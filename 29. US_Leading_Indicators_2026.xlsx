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5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6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7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8.xml" ContentType="application/vnd.openxmlformats-officedocument.drawing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9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eadwayheavy-my.sharepoint.com/personal/nikhil_leadway_co_th/Documents/Desktop/Global Macro Hedge Fund Strategy/raw/2. Macro Indicators/2.8 Updated Detailed Macro Indicators/"/>
    </mc:Choice>
  </mc:AlternateContent>
  <xr:revisionPtr revIDLastSave="855" documentId="8_{E75E2C75-4D1A-4494-BF38-4D80C187A38D}" xr6:coauthVersionLast="47" xr6:coauthVersionMax="47" xr10:uidLastSave="{FE5AF973-FB53-4547-8016-C5571388C0A8}"/>
  <bookViews>
    <workbookView xWindow="-98" yWindow="-98" windowWidth="21795" windowHeight="13875" xr2:uid="{88889582-C422-4940-BC70-99DAEA39A5AF}"/>
  </bookViews>
  <sheets>
    <sheet name="Dashboard" sheetId="1" r:id="rId1"/>
    <sheet name="PHILLY" sheetId="2" r:id="rId2"/>
    <sheet name="CLAIMS" sheetId="3" r:id="rId3"/>
    <sheet name="UMCSI" sheetId="4" r:id="rId4"/>
    <sheet name="CHIPMI" sheetId="5" r:id="rId5"/>
    <sheet name="NFP" sheetId="6" r:id="rId6"/>
    <sheet name="UNEMP" sheetId="7" r:id="rId7"/>
    <sheet name="CAPU" sheetId="8" r:id="rId8"/>
    <sheet name="ISM" sheetId="9" r:id="rId9"/>
    <sheet name="RETX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R6" i="10" l="1"/>
  <c r="F15" i="1"/>
  <c r="G15" i="1"/>
  <c r="H15" i="1"/>
  <c r="J15" i="1"/>
  <c r="K15" i="1"/>
  <c r="L15" i="1"/>
  <c r="F14" i="1"/>
  <c r="G14" i="1"/>
  <c r="H14" i="1"/>
  <c r="J14" i="1"/>
  <c r="K14" i="1"/>
  <c r="L14" i="1"/>
  <c r="F13" i="1"/>
  <c r="G13" i="1"/>
  <c r="H13" i="1"/>
  <c r="J13" i="1"/>
  <c r="K13" i="1"/>
  <c r="L13" i="1"/>
  <c r="F12" i="1"/>
  <c r="G12" i="1"/>
  <c r="H12" i="1"/>
  <c r="J12" i="1"/>
  <c r="K12" i="1"/>
  <c r="L12" i="1"/>
  <c r="F11" i="1"/>
  <c r="G11" i="1"/>
  <c r="H11" i="1"/>
  <c r="J11" i="1"/>
  <c r="K11" i="1"/>
  <c r="L11" i="1"/>
  <c r="F10" i="1"/>
  <c r="G10" i="1"/>
  <c r="H10" i="1"/>
  <c r="J10" i="1"/>
  <c r="K10" i="1"/>
  <c r="L10" i="1"/>
  <c r="F9" i="1"/>
  <c r="G9" i="1"/>
  <c r="H9" i="1"/>
  <c r="J9" i="1"/>
  <c r="K9" i="1"/>
  <c r="L9" i="1"/>
  <c r="F8" i="1"/>
  <c r="G8" i="1"/>
  <c r="H8" i="1"/>
  <c r="J8" i="1"/>
  <c r="K8" i="1"/>
  <c r="L8" i="1"/>
  <c r="F7" i="1"/>
  <c r="G7" i="1"/>
  <c r="H7" i="1"/>
  <c r="J7" i="1"/>
  <c r="K7" i="1"/>
  <c r="L7" i="1"/>
  <c r="F6" i="1"/>
  <c r="G6" i="1"/>
  <c r="H6" i="1"/>
  <c r="J6" i="1"/>
  <c r="K6" i="1"/>
  <c r="L6" i="1"/>
  <c r="X9" i="10"/>
  <c r="X10" i="10"/>
  <c r="X11" i="10"/>
  <c r="V9" i="10"/>
  <c r="V10" i="10"/>
  <c r="V11" i="10"/>
  <c r="V4" i="10"/>
  <c r="W4" i="10"/>
  <c r="X4" i="10"/>
  <c r="V5" i="10"/>
  <c r="W5" i="10"/>
  <c r="X5" i="10"/>
  <c r="H13" i="10"/>
  <c r="I13" i="10"/>
  <c r="K13" i="10" s="1"/>
  <c r="J13" i="10"/>
  <c r="H14" i="10"/>
  <c r="J15" i="10" s="1"/>
  <c r="I14" i="10"/>
  <c r="K14" i="10" s="1"/>
  <c r="J14" i="10"/>
  <c r="H15" i="10"/>
  <c r="J16" i="10" s="1"/>
  <c r="I15" i="10"/>
  <c r="K15" i="10" s="1"/>
  <c r="H16" i="10"/>
  <c r="H17" i="10"/>
  <c r="I18" i="10" s="1"/>
  <c r="K18" i="10" s="1"/>
  <c r="I17" i="10"/>
  <c r="K17" i="10" s="1"/>
  <c r="J17" i="10"/>
  <c r="H18" i="10"/>
  <c r="H19" i="10"/>
  <c r="I20" i="10" s="1"/>
  <c r="K20" i="10" s="1"/>
  <c r="I19" i="10"/>
  <c r="K19" i="10" s="1"/>
  <c r="J19" i="10"/>
  <c r="H20" i="10"/>
  <c r="I21" i="10" s="1"/>
  <c r="K21" i="10" s="1"/>
  <c r="H21" i="10"/>
  <c r="H22" i="10"/>
  <c r="I23" i="10" s="1"/>
  <c r="K23" i="10" s="1"/>
  <c r="I22" i="10"/>
  <c r="K22" i="10" s="1"/>
  <c r="J22" i="10"/>
  <c r="H23" i="10"/>
  <c r="H24" i="10"/>
  <c r="I24" i="10"/>
  <c r="K24" i="10" s="1"/>
  <c r="J24" i="10"/>
  <c r="S9" i="10"/>
  <c r="S10" i="10"/>
  <c r="R3" i="10"/>
  <c r="R4" i="10"/>
  <c r="R5" i="10"/>
  <c r="R7" i="10"/>
  <c r="R8" i="10"/>
  <c r="R9" i="10"/>
  <c r="R10" i="10"/>
  <c r="R11" i="10"/>
  <c r="R12" i="10"/>
  <c r="R13" i="10"/>
  <c r="R14" i="10"/>
  <c r="R15" i="10"/>
  <c r="G3" i="10"/>
  <c r="G4" i="10" a="1"/>
  <c r="G4" i="10" s="1"/>
  <c r="G6" i="10" s="1"/>
  <c r="G5" i="10" a="1"/>
  <c r="G5" i="10" s="1"/>
  <c r="G7" i="10" a="1"/>
  <c r="G7" i="10" s="1"/>
  <c r="X9" i="9"/>
  <c r="X10" i="9"/>
  <c r="X11" i="9"/>
  <c r="V9" i="9"/>
  <c r="V10" i="9"/>
  <c r="V11" i="9"/>
  <c r="V4" i="9"/>
  <c r="W4" i="9"/>
  <c r="X4" i="9"/>
  <c r="V5" i="9"/>
  <c r="W5" i="9"/>
  <c r="X5" i="9"/>
  <c r="H13" i="9"/>
  <c r="I13" i="9"/>
  <c r="K13" i="9" s="1"/>
  <c r="J13" i="9"/>
  <c r="H14" i="9"/>
  <c r="J15" i="9" s="1"/>
  <c r="I14" i="9"/>
  <c r="K14" i="9" s="1"/>
  <c r="J14" i="9"/>
  <c r="H15" i="9"/>
  <c r="I15" i="9" s="1"/>
  <c r="K15" i="9" s="1"/>
  <c r="H16" i="9"/>
  <c r="H17" i="9"/>
  <c r="I18" i="9" s="1"/>
  <c r="K18" i="9" s="1"/>
  <c r="I17" i="9"/>
  <c r="K17" i="9" s="1"/>
  <c r="J17" i="9"/>
  <c r="H18" i="9"/>
  <c r="H19" i="9"/>
  <c r="I20" i="9" s="1"/>
  <c r="K20" i="9" s="1"/>
  <c r="I19" i="9"/>
  <c r="K19" i="9" s="1"/>
  <c r="J19" i="9"/>
  <c r="H20" i="9"/>
  <c r="J21" i="9" s="1"/>
  <c r="H21" i="9"/>
  <c r="H22" i="9"/>
  <c r="I23" i="9" s="1"/>
  <c r="K23" i="9" s="1"/>
  <c r="I22" i="9"/>
  <c r="K22" i="9" s="1"/>
  <c r="J22" i="9"/>
  <c r="H23" i="9"/>
  <c r="H24" i="9"/>
  <c r="I24" i="9"/>
  <c r="K24" i="9" s="1"/>
  <c r="J24" i="9"/>
  <c r="S9" i="9"/>
  <c r="S10" i="9"/>
  <c r="R3" i="9"/>
  <c r="R4" i="9"/>
  <c r="R5" i="9"/>
  <c r="R6" i="9"/>
  <c r="R7" i="9"/>
  <c r="R8" i="9"/>
  <c r="R9" i="9"/>
  <c r="R10" i="9"/>
  <c r="R11" i="9"/>
  <c r="R12" i="9"/>
  <c r="R13" i="9"/>
  <c r="R14" i="9"/>
  <c r="R15" i="9"/>
  <c r="G3" i="9"/>
  <c r="G4" i="9"/>
  <c r="G6" i="9" s="1"/>
  <c r="G5" i="9"/>
  <c r="G7" i="9"/>
  <c r="X9" i="8"/>
  <c r="X10" i="8"/>
  <c r="X11" i="8"/>
  <c r="V9" i="8"/>
  <c r="V10" i="8"/>
  <c r="V11" i="8"/>
  <c r="V4" i="8"/>
  <c r="W4" i="8"/>
  <c r="X4" i="8"/>
  <c r="V5" i="8"/>
  <c r="W5" i="8"/>
  <c r="X5" i="8"/>
  <c r="H13" i="8"/>
  <c r="I13" i="8"/>
  <c r="K13" i="8" s="1"/>
  <c r="J13" i="8"/>
  <c r="H14" i="8"/>
  <c r="J15" i="8" s="1"/>
  <c r="I14" i="8"/>
  <c r="K14" i="8" s="1"/>
  <c r="J14" i="8"/>
  <c r="H15" i="8"/>
  <c r="I16" i="8" s="1"/>
  <c r="K16" i="8" s="1"/>
  <c r="I15" i="8"/>
  <c r="K15" i="8" s="1"/>
  <c r="H16" i="8"/>
  <c r="H17" i="8"/>
  <c r="I18" i="8" s="1"/>
  <c r="K18" i="8" s="1"/>
  <c r="I17" i="8"/>
  <c r="K17" i="8" s="1"/>
  <c r="J17" i="8"/>
  <c r="H18" i="8"/>
  <c r="H19" i="8"/>
  <c r="I20" i="8" s="1"/>
  <c r="K20" i="8" s="1"/>
  <c r="I19" i="8"/>
  <c r="K19" i="8" s="1"/>
  <c r="J19" i="8"/>
  <c r="H20" i="8"/>
  <c r="J20" i="8" s="1"/>
  <c r="H21" i="8"/>
  <c r="H22" i="8"/>
  <c r="I23" i="8" s="1"/>
  <c r="K23" i="8" s="1"/>
  <c r="I22" i="8"/>
  <c r="K22" i="8" s="1"/>
  <c r="J22" i="8"/>
  <c r="H23" i="8"/>
  <c r="H24" i="8"/>
  <c r="I24" i="8"/>
  <c r="K24" i="8" s="1"/>
  <c r="J24" i="8"/>
  <c r="S9" i="8"/>
  <c r="S10" i="8"/>
  <c r="R3" i="8"/>
  <c r="R4" i="8"/>
  <c r="R5" i="8"/>
  <c r="R6" i="8"/>
  <c r="R7" i="8"/>
  <c r="R8" i="8"/>
  <c r="R9" i="8"/>
  <c r="R10" i="8"/>
  <c r="R11" i="8"/>
  <c r="R12" i="8"/>
  <c r="R13" i="8"/>
  <c r="R14" i="8"/>
  <c r="R15" i="8"/>
  <c r="G3" i="8"/>
  <c r="G4" i="8"/>
  <c r="G6" i="8" s="1"/>
  <c r="G5" i="8"/>
  <c r="G7" i="8"/>
  <c r="X9" i="7"/>
  <c r="X10" i="7"/>
  <c r="X11" i="7"/>
  <c r="V9" i="7"/>
  <c r="V10" i="7"/>
  <c r="V11" i="7"/>
  <c r="V4" i="7"/>
  <c r="W4" i="7"/>
  <c r="X4" i="7"/>
  <c r="V5" i="7"/>
  <c r="W5" i="7"/>
  <c r="X5" i="7"/>
  <c r="H13" i="7"/>
  <c r="I13" i="7"/>
  <c r="K13" i="7" s="1"/>
  <c r="J13" i="7"/>
  <c r="H14" i="7"/>
  <c r="J15" i="7" s="1"/>
  <c r="I14" i="7"/>
  <c r="K14" i="7" s="1"/>
  <c r="J14" i="7"/>
  <c r="H15" i="7"/>
  <c r="I16" i="7" s="1"/>
  <c r="K16" i="7" s="1"/>
  <c r="I15" i="7"/>
  <c r="K15" i="7" s="1"/>
  <c r="H16" i="7"/>
  <c r="H17" i="7"/>
  <c r="I18" i="7" s="1"/>
  <c r="K18" i="7" s="1"/>
  <c r="I17" i="7"/>
  <c r="K17" i="7" s="1"/>
  <c r="J17" i="7"/>
  <c r="H18" i="7"/>
  <c r="H19" i="7"/>
  <c r="I20" i="7" s="1"/>
  <c r="K20" i="7" s="1"/>
  <c r="I19" i="7"/>
  <c r="K19" i="7" s="1"/>
  <c r="J19" i="7"/>
  <c r="H20" i="7"/>
  <c r="I21" i="7" s="1"/>
  <c r="K21" i="7" s="1"/>
  <c r="H21" i="7"/>
  <c r="H22" i="7"/>
  <c r="I23" i="7" s="1"/>
  <c r="K23" i="7" s="1"/>
  <c r="I22" i="7"/>
  <c r="K22" i="7" s="1"/>
  <c r="J22" i="7"/>
  <c r="H23" i="7"/>
  <c r="H24" i="7"/>
  <c r="I24" i="7"/>
  <c r="J24" i="7"/>
  <c r="K24" i="7"/>
  <c r="S9" i="7"/>
  <c r="S10" i="7"/>
  <c r="R3" i="7"/>
  <c r="R4" i="7"/>
  <c r="R5" i="7"/>
  <c r="R6" i="7"/>
  <c r="R7" i="7"/>
  <c r="R8" i="7"/>
  <c r="R9" i="7"/>
  <c r="R10" i="7"/>
  <c r="R11" i="7"/>
  <c r="R12" i="7"/>
  <c r="R13" i="7"/>
  <c r="R14" i="7"/>
  <c r="R15" i="7"/>
  <c r="G3" i="7"/>
  <c r="G4" i="7"/>
  <c r="G5" i="7"/>
  <c r="G6" i="7" s="1"/>
  <c r="G7" i="7"/>
  <c r="X9" i="6"/>
  <c r="X10" i="6"/>
  <c r="X11" i="6"/>
  <c r="V9" i="6"/>
  <c r="V10" i="6"/>
  <c r="V11" i="6"/>
  <c r="V4" i="6"/>
  <c r="W4" i="6"/>
  <c r="X4" i="6"/>
  <c r="V5" i="6"/>
  <c r="W5" i="6"/>
  <c r="X5" i="6"/>
  <c r="H13" i="6"/>
  <c r="I13" i="6"/>
  <c r="K13" i="6" s="1"/>
  <c r="J13" i="6"/>
  <c r="H14" i="6"/>
  <c r="J15" i="6" s="1"/>
  <c r="I14" i="6"/>
  <c r="K14" i="6" s="1"/>
  <c r="J14" i="6"/>
  <c r="H15" i="6"/>
  <c r="I16" i="6" s="1"/>
  <c r="K16" i="6" s="1"/>
  <c r="I15" i="6"/>
  <c r="K15" i="6" s="1"/>
  <c r="H16" i="6"/>
  <c r="H17" i="6"/>
  <c r="I18" i="6" s="1"/>
  <c r="K18" i="6" s="1"/>
  <c r="I17" i="6"/>
  <c r="K17" i="6" s="1"/>
  <c r="J17" i="6"/>
  <c r="H18" i="6"/>
  <c r="H19" i="6"/>
  <c r="I20" i="6" s="1"/>
  <c r="K20" i="6" s="1"/>
  <c r="I19" i="6"/>
  <c r="K19" i="6" s="1"/>
  <c r="J19" i="6"/>
  <c r="H20" i="6"/>
  <c r="J21" i="6" s="1"/>
  <c r="H21" i="6"/>
  <c r="H22" i="6"/>
  <c r="I23" i="6" s="1"/>
  <c r="K23" i="6" s="1"/>
  <c r="I22" i="6"/>
  <c r="K22" i="6" s="1"/>
  <c r="J22" i="6"/>
  <c r="H23" i="6"/>
  <c r="H24" i="6"/>
  <c r="I24" i="6"/>
  <c r="J24" i="6"/>
  <c r="K24" i="6"/>
  <c r="S9" i="6"/>
  <c r="S10" i="6"/>
  <c r="R3" i="6"/>
  <c r="R4" i="6"/>
  <c r="R5" i="6"/>
  <c r="R6" i="6"/>
  <c r="R7" i="6"/>
  <c r="R8" i="6"/>
  <c r="R9" i="6"/>
  <c r="R10" i="6"/>
  <c r="R11" i="6"/>
  <c r="R12" i="6"/>
  <c r="R13" i="6"/>
  <c r="R14" i="6"/>
  <c r="R15" i="6"/>
  <c r="G3" i="6"/>
  <c r="G4" i="6"/>
  <c r="G6" i="6" s="1"/>
  <c r="G5" i="6"/>
  <c r="G7" i="6"/>
  <c r="X9" i="5"/>
  <c r="X10" i="5"/>
  <c r="X11" i="5"/>
  <c r="V9" i="5"/>
  <c r="V10" i="5"/>
  <c r="V11" i="5"/>
  <c r="V4" i="5"/>
  <c r="W4" i="5"/>
  <c r="X4" i="5"/>
  <c r="V5" i="5"/>
  <c r="W5" i="5"/>
  <c r="X5" i="5"/>
  <c r="H13" i="5"/>
  <c r="I13" i="5"/>
  <c r="K13" i="5" s="1"/>
  <c r="J13" i="5"/>
  <c r="H14" i="5"/>
  <c r="J15" i="5" s="1"/>
  <c r="J14" i="5"/>
  <c r="H15" i="5"/>
  <c r="I16" i="5" s="1"/>
  <c r="K16" i="5" s="1"/>
  <c r="I15" i="5"/>
  <c r="K15" i="5" s="1"/>
  <c r="H16" i="5"/>
  <c r="H17" i="5"/>
  <c r="I18" i="5" s="1"/>
  <c r="K18" i="5" s="1"/>
  <c r="I17" i="5"/>
  <c r="K17" i="5" s="1"/>
  <c r="J17" i="5"/>
  <c r="H18" i="5"/>
  <c r="H19" i="5"/>
  <c r="I20" i="5" s="1"/>
  <c r="K20" i="5" s="1"/>
  <c r="I19" i="5"/>
  <c r="K19" i="5" s="1"/>
  <c r="J19" i="5"/>
  <c r="H20" i="5"/>
  <c r="I21" i="5" s="1"/>
  <c r="K21" i="5" s="1"/>
  <c r="H21" i="5"/>
  <c r="H22" i="5"/>
  <c r="I23" i="5" s="1"/>
  <c r="K23" i="5" s="1"/>
  <c r="I22" i="5"/>
  <c r="K22" i="5" s="1"/>
  <c r="J22" i="5"/>
  <c r="H23" i="5"/>
  <c r="H24" i="5"/>
  <c r="I24" i="5" s="1"/>
  <c r="K24" i="5" s="1"/>
  <c r="J24" i="5"/>
  <c r="S9" i="5"/>
  <c r="S10" i="5"/>
  <c r="R3" i="5"/>
  <c r="R4" i="5"/>
  <c r="R5" i="5"/>
  <c r="R6" i="5"/>
  <c r="R7" i="5"/>
  <c r="R8" i="5"/>
  <c r="R9" i="5"/>
  <c r="R10" i="5"/>
  <c r="R11" i="5"/>
  <c r="R12" i="5"/>
  <c r="R13" i="5"/>
  <c r="R14" i="5"/>
  <c r="R15" i="5"/>
  <c r="G3" i="5"/>
  <c r="G4" i="5"/>
  <c r="G6" i="5" s="1"/>
  <c r="G5" i="5"/>
  <c r="G7" i="5"/>
  <c r="X11" i="4"/>
  <c r="V11" i="4"/>
  <c r="X10" i="4"/>
  <c r="V10" i="4"/>
  <c r="X9" i="4"/>
  <c r="V9" i="4"/>
  <c r="V4" i="4"/>
  <c r="W4" i="4"/>
  <c r="X4" i="4"/>
  <c r="V5" i="4"/>
  <c r="W5" i="4"/>
  <c r="X5" i="4"/>
  <c r="L24" i="4"/>
  <c r="K24" i="4"/>
  <c r="J24" i="4"/>
  <c r="I24" i="4"/>
  <c r="H24" i="4"/>
  <c r="L23" i="4"/>
  <c r="K23" i="4"/>
  <c r="J23" i="4"/>
  <c r="I23" i="4"/>
  <c r="H23" i="4"/>
  <c r="L22" i="4"/>
  <c r="K22" i="4"/>
  <c r="J22" i="4"/>
  <c r="I22" i="4"/>
  <c r="H22" i="4"/>
  <c r="L21" i="4"/>
  <c r="K21" i="4"/>
  <c r="J21" i="4"/>
  <c r="I21" i="4"/>
  <c r="H21" i="4"/>
  <c r="L20" i="4"/>
  <c r="K20" i="4"/>
  <c r="J20" i="4"/>
  <c r="I20" i="4"/>
  <c r="H20" i="4"/>
  <c r="L19" i="4"/>
  <c r="K19" i="4"/>
  <c r="J19" i="4"/>
  <c r="I19" i="4"/>
  <c r="H19" i="4"/>
  <c r="L18" i="4"/>
  <c r="K18" i="4"/>
  <c r="J18" i="4"/>
  <c r="I18" i="4"/>
  <c r="H18" i="4"/>
  <c r="L17" i="4"/>
  <c r="K17" i="4"/>
  <c r="J17" i="4"/>
  <c r="I17" i="4"/>
  <c r="H17" i="4"/>
  <c r="L16" i="4"/>
  <c r="K16" i="4"/>
  <c r="J16" i="4"/>
  <c r="I16" i="4"/>
  <c r="H16" i="4"/>
  <c r="L15" i="4"/>
  <c r="K15" i="4"/>
  <c r="J15" i="4"/>
  <c r="I15" i="4"/>
  <c r="H15" i="4"/>
  <c r="L14" i="4"/>
  <c r="K14" i="4"/>
  <c r="J14" i="4"/>
  <c r="I14" i="4"/>
  <c r="H14" i="4"/>
  <c r="L13" i="4"/>
  <c r="K13" i="4"/>
  <c r="J13" i="4"/>
  <c r="I13" i="4"/>
  <c r="H13" i="4"/>
  <c r="S10" i="4"/>
  <c r="S9" i="4"/>
  <c r="R3" i="4"/>
  <c r="R4" i="4"/>
  <c r="R5" i="4"/>
  <c r="R6" i="4"/>
  <c r="R7" i="4"/>
  <c r="R8" i="4"/>
  <c r="R9" i="4"/>
  <c r="R10" i="4"/>
  <c r="R11" i="4"/>
  <c r="R12" i="4"/>
  <c r="R13" i="4"/>
  <c r="R14" i="4"/>
  <c r="R15" i="4"/>
  <c r="G3" i="4"/>
  <c r="G4" i="4"/>
  <c r="G6" i="4" s="1"/>
  <c r="G5" i="4"/>
  <c r="G7" i="4"/>
  <c r="X11" i="3"/>
  <c r="V11" i="3"/>
  <c r="X10" i="3"/>
  <c r="V10" i="3"/>
  <c r="X9" i="3"/>
  <c r="V9" i="3"/>
  <c r="V4" i="3"/>
  <c r="W4" i="3"/>
  <c r="X4" i="3"/>
  <c r="V5" i="3"/>
  <c r="W5" i="3"/>
  <c r="X5" i="3"/>
  <c r="L24" i="3"/>
  <c r="K24" i="3"/>
  <c r="J24" i="3"/>
  <c r="I24" i="3"/>
  <c r="H24" i="3"/>
  <c r="L23" i="3"/>
  <c r="K23" i="3"/>
  <c r="J23" i="3"/>
  <c r="I23" i="3"/>
  <c r="H23" i="3"/>
  <c r="L22" i="3"/>
  <c r="K22" i="3"/>
  <c r="J22" i="3"/>
  <c r="I22" i="3"/>
  <c r="H22" i="3"/>
  <c r="L21" i="3"/>
  <c r="K21" i="3"/>
  <c r="J21" i="3"/>
  <c r="I21" i="3"/>
  <c r="H21" i="3"/>
  <c r="L20" i="3"/>
  <c r="K20" i="3"/>
  <c r="J20" i="3"/>
  <c r="I20" i="3"/>
  <c r="H20" i="3"/>
  <c r="L19" i="3"/>
  <c r="K19" i="3"/>
  <c r="J19" i="3"/>
  <c r="I19" i="3"/>
  <c r="H19" i="3"/>
  <c r="L18" i="3"/>
  <c r="K18" i="3"/>
  <c r="J18" i="3"/>
  <c r="I18" i="3"/>
  <c r="H18" i="3"/>
  <c r="L17" i="3"/>
  <c r="K17" i="3"/>
  <c r="J17" i="3"/>
  <c r="I17" i="3"/>
  <c r="H17" i="3"/>
  <c r="L16" i="3"/>
  <c r="K16" i="3"/>
  <c r="J16" i="3"/>
  <c r="I16" i="3"/>
  <c r="H16" i="3"/>
  <c r="L15" i="3"/>
  <c r="K15" i="3"/>
  <c r="J15" i="3"/>
  <c r="I15" i="3"/>
  <c r="H15" i="3"/>
  <c r="L14" i="3"/>
  <c r="K14" i="3"/>
  <c r="J14" i="3"/>
  <c r="I14" i="3"/>
  <c r="H14" i="3"/>
  <c r="L13" i="3"/>
  <c r="K13" i="3"/>
  <c r="J13" i="3"/>
  <c r="I13" i="3"/>
  <c r="H13" i="3"/>
  <c r="S10" i="3"/>
  <c r="S9" i="3"/>
  <c r="R3" i="3"/>
  <c r="R4" i="3"/>
  <c r="R5" i="3"/>
  <c r="R6" i="3"/>
  <c r="R7" i="3"/>
  <c r="R8" i="3"/>
  <c r="R9" i="3"/>
  <c r="R10" i="3"/>
  <c r="R11" i="3"/>
  <c r="R12" i="3"/>
  <c r="R13" i="3"/>
  <c r="R14" i="3"/>
  <c r="R15" i="3"/>
  <c r="G3" i="3"/>
  <c r="G4" i="3"/>
  <c r="G6" i="3" s="1"/>
  <c r="G5" i="3"/>
  <c r="G7" i="3"/>
  <c r="X11" i="2"/>
  <c r="V11" i="2"/>
  <c r="X10" i="2"/>
  <c r="V10" i="2"/>
  <c r="X9" i="2"/>
  <c r="V9" i="2"/>
  <c r="V4" i="2"/>
  <c r="W4" i="2"/>
  <c r="X4" i="2"/>
  <c r="V5" i="2"/>
  <c r="W5" i="2"/>
  <c r="X5" i="2"/>
  <c r="L24" i="2"/>
  <c r="K24" i="2"/>
  <c r="J24" i="2"/>
  <c r="I24" i="2"/>
  <c r="H24" i="2"/>
  <c r="L23" i="2"/>
  <c r="K23" i="2"/>
  <c r="J23" i="2"/>
  <c r="I23" i="2"/>
  <c r="H23" i="2"/>
  <c r="L22" i="2"/>
  <c r="K22" i="2"/>
  <c r="J22" i="2"/>
  <c r="I22" i="2"/>
  <c r="H22" i="2"/>
  <c r="L21" i="2"/>
  <c r="K21" i="2"/>
  <c r="J21" i="2"/>
  <c r="I21" i="2"/>
  <c r="H21" i="2"/>
  <c r="L20" i="2"/>
  <c r="K20" i="2"/>
  <c r="J20" i="2"/>
  <c r="I20" i="2"/>
  <c r="H20" i="2"/>
  <c r="L19" i="2"/>
  <c r="K19" i="2"/>
  <c r="J19" i="2"/>
  <c r="I19" i="2"/>
  <c r="H19" i="2"/>
  <c r="L18" i="2"/>
  <c r="K18" i="2"/>
  <c r="J18" i="2"/>
  <c r="I18" i="2"/>
  <c r="H18" i="2"/>
  <c r="L17" i="2"/>
  <c r="K17" i="2"/>
  <c r="J17" i="2"/>
  <c r="I17" i="2"/>
  <c r="H17" i="2"/>
  <c r="L16" i="2"/>
  <c r="K16" i="2"/>
  <c r="J16" i="2"/>
  <c r="I16" i="2"/>
  <c r="H16" i="2"/>
  <c r="L15" i="2"/>
  <c r="K15" i="2"/>
  <c r="J15" i="2"/>
  <c r="I15" i="2"/>
  <c r="H15" i="2"/>
  <c r="L14" i="2"/>
  <c r="K14" i="2"/>
  <c r="J14" i="2"/>
  <c r="I14" i="2"/>
  <c r="H14" i="2"/>
  <c r="L13" i="2"/>
  <c r="K13" i="2"/>
  <c r="J13" i="2"/>
  <c r="I13" i="2"/>
  <c r="H13" i="2"/>
  <c r="S10" i="2"/>
  <c r="S9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G3" i="2"/>
  <c r="G4" i="2"/>
  <c r="G5" i="2"/>
  <c r="G6" i="2" s="1"/>
  <c r="G7" i="2"/>
  <c r="C418" i="10"/>
  <c r="C947" i="9"/>
  <c r="C946" i="7"/>
  <c r="C1055" i="6"/>
  <c r="C1054" i="6"/>
  <c r="C1053" i="6"/>
  <c r="C716" i="5"/>
  <c r="C715" i="5"/>
  <c r="C714" i="5"/>
  <c r="C713" i="5"/>
  <c r="C712" i="5"/>
  <c r="C711" i="5"/>
  <c r="C679" i="4"/>
  <c r="C3113" i="3"/>
  <c r="C3112" i="3"/>
  <c r="C3111" i="3"/>
  <c r="C3110" i="3"/>
  <c r="C3109" i="3"/>
  <c r="L14" i="10" l="1"/>
  <c r="L15" i="10"/>
  <c r="L13" i="10"/>
  <c r="J23" i="10"/>
  <c r="I16" i="10"/>
  <c r="K16" i="10" s="1"/>
  <c r="L22" i="10" s="1"/>
  <c r="J21" i="10"/>
  <c r="J18" i="10"/>
  <c r="J20" i="10"/>
  <c r="G8" i="10"/>
  <c r="G9" i="10"/>
  <c r="L15" i="9"/>
  <c r="L13" i="9"/>
  <c r="L14" i="9"/>
  <c r="I21" i="9"/>
  <c r="K21" i="9" s="1"/>
  <c r="J16" i="9"/>
  <c r="J23" i="9"/>
  <c r="I16" i="9"/>
  <c r="K16" i="9" s="1"/>
  <c r="L17" i="9" s="1"/>
  <c r="J18" i="9"/>
  <c r="J20" i="9"/>
  <c r="G9" i="9"/>
  <c r="G8" i="9"/>
  <c r="L17" i="8"/>
  <c r="L19" i="8"/>
  <c r="L24" i="8"/>
  <c r="L22" i="8"/>
  <c r="L15" i="8"/>
  <c r="L16" i="8"/>
  <c r="L21" i="8"/>
  <c r="L14" i="8"/>
  <c r="L20" i="8"/>
  <c r="L13" i="8"/>
  <c r="L23" i="8"/>
  <c r="L18" i="8"/>
  <c r="I21" i="8"/>
  <c r="K21" i="8" s="1"/>
  <c r="J16" i="8"/>
  <c r="J21" i="8"/>
  <c r="J23" i="8"/>
  <c r="J18" i="8"/>
  <c r="G8" i="8"/>
  <c r="G9" i="8"/>
  <c r="L17" i="7"/>
  <c r="L22" i="7"/>
  <c r="L15" i="7"/>
  <c r="L20" i="7"/>
  <c r="L13" i="7"/>
  <c r="L18" i="7"/>
  <c r="L14" i="7"/>
  <c r="L23" i="7"/>
  <c r="L16" i="7"/>
  <c r="L24" i="7"/>
  <c r="L21" i="7"/>
  <c r="L19" i="7"/>
  <c r="J21" i="7"/>
  <c r="J16" i="7"/>
  <c r="J23" i="7"/>
  <c r="J18" i="7"/>
  <c r="J20" i="7"/>
  <c r="G9" i="7"/>
  <c r="G8" i="7"/>
  <c r="L17" i="6"/>
  <c r="L16" i="6"/>
  <c r="L15" i="6"/>
  <c r="L23" i="6"/>
  <c r="L21" i="6"/>
  <c r="L14" i="6"/>
  <c r="L20" i="6"/>
  <c r="L13" i="6"/>
  <c r="L18" i="6"/>
  <c r="L24" i="6"/>
  <c r="L19" i="6"/>
  <c r="I21" i="6"/>
  <c r="K21" i="6" s="1"/>
  <c r="L22" i="6" s="1"/>
  <c r="J16" i="6"/>
  <c r="J23" i="6"/>
  <c r="J18" i="6"/>
  <c r="J20" i="6"/>
  <c r="G9" i="6"/>
  <c r="G8" i="6"/>
  <c r="L20" i="5"/>
  <c r="L13" i="5"/>
  <c r="L21" i="5"/>
  <c r="L14" i="5"/>
  <c r="L16" i="5"/>
  <c r="L18" i="5"/>
  <c r="L23" i="5"/>
  <c r="L24" i="5"/>
  <c r="L19" i="5"/>
  <c r="J21" i="5"/>
  <c r="I14" i="5"/>
  <c r="K14" i="5" s="1"/>
  <c r="L17" i="5" s="1"/>
  <c r="J16" i="5"/>
  <c r="J23" i="5"/>
  <c r="J18" i="5"/>
  <c r="J20" i="5"/>
  <c r="G8" i="5"/>
  <c r="G9" i="5"/>
  <c r="G8" i="4"/>
  <c r="G9" i="4"/>
  <c r="G8" i="3"/>
  <c r="G9" i="3"/>
  <c r="G8" i="2"/>
  <c r="G9" i="2"/>
  <c r="L17" i="10" l="1"/>
  <c r="L19" i="10"/>
  <c r="L16" i="10"/>
  <c r="L23" i="10"/>
  <c r="L18" i="10"/>
  <c r="L20" i="10"/>
  <c r="L21" i="10"/>
  <c r="L24" i="10"/>
  <c r="L21" i="9"/>
  <c r="L23" i="9"/>
  <c r="L18" i="9"/>
  <c r="L20" i="9"/>
  <c r="L24" i="9"/>
  <c r="L16" i="9"/>
  <c r="L22" i="9"/>
  <c r="L19" i="9"/>
  <c r="L15" i="5"/>
  <c r="L22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<sst xmlns="http://schemas.openxmlformats.org/spreadsheetml/2006/main" count="437" uniqueCount="123">
  <si>
    <t>Philadelphia Fed index (current activity, SA)  ·  PHILLY  ·  FRED GACDFSA066MSFRBPHI</t>
  </si>
  <si>
    <t>Date</t>
  </si>
  <si>
    <t>Value</t>
  </si>
  <si>
    <t>Chg MoM (pts)</t>
  </si>
  <si>
    <t>Z-ANALYSIS — latest level vs full history</t>
  </si>
  <si>
    <t>Latest</t>
  </si>
  <si>
    <t>Hist mean</t>
  </si>
  <si>
    <t>Hist std dev</t>
  </si>
  <si>
    <t>Z-score</t>
  </si>
  <si>
    <t>Percentile</t>
  </si>
  <si>
    <t>Read</t>
  </si>
  <si>
    <t>Economy read</t>
  </si>
  <si>
    <t>Histogram — Chg MoM (pts)</t>
  </si>
  <si>
    <t>Bin</t>
  </si>
  <si>
    <t>Frequency</t>
  </si>
  <si>
    <t>Range</t>
  </si>
  <si>
    <t>Probability</t>
  </si>
  <si>
    <t>Cumulative</t>
  </si>
  <si>
    <t>PHILLY Stats — Chg MoM (pts)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</si>
  <si>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</si>
  <si>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</si>
  <si>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</si>
  <si>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</si>
  <si>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</si>
  <si>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</si>
  <si>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</si>
  <si>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</si>
  <si>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Minimum</t>
  </si>
  <si>
    <t>Maximum</t>
  </si>
  <si>
    <t>Sum</t>
  </si>
  <si>
    <t>Count</t>
  </si>
  <si>
    <t>observations of Chg MoM (pts)</t>
  </si>
  <si>
    <t>Std Dev bands</t>
  </si>
  <si>
    <t>k</t>
  </si>
  <si>
    <t>Upper</t>
  </si>
  <si>
    <t>Lower</t>
  </si>
  <si>
    <t>Actual vs Normal distribution</t>
  </si>
  <si>
    <t>±kσ</t>
  </si>
  <si>
    <t>Actual %</t>
  </si>
  <si>
    <t>Normal %</t>
  </si>
  <si>
    <t>Verdict</t>
  </si>
  <si>
    <t>Initial unemployment claims (weekly, SA)  ·  CLAIMS  ·  FRED ICSA</t>
  </si>
  <si>
    <t>WoW %</t>
  </si>
  <si>
    <t>Histogram — WoW %</t>
  </si>
  <si>
    <t>CLAIMS Stats — WoW %</t>
  </si>
  <si>
    <t>observations of WoW %</t>
  </si>
  <si>
    <t>UM consumer confidence (final; prelim not archived free)  ·  UMCSI  ·  FRED UMCSENT</t>
  </si>
  <si>
    <t>UMCSI Stats — Chg MoM (pts)</t>
  </si>
  <si>
    <t>Chicago Fed National Activity Index — FREE SUBSTITUTE for Chicago PMI (paid/MNI)  ·  CHIPMI  ·  FRED CFNAI</t>
  </si>
  <si>
    <t>Chg MoM</t>
  </si>
  <si>
    <t>Histogram — Chg MoM</t>
  </si>
  <si>
    <t>CHIPMI Stats — Chg MoM</t>
  </si>
  <si>
    <t>observations of Chg MoM</t>
  </si>
  <si>
    <t>Nonfarm payroll employment (thousands)  ·  NFP  ·  FRED PAYEMS</t>
  </si>
  <si>
    <t>Chg MoM (k)</t>
  </si>
  <si>
    <t>Z-ANALYSIS — latest MoM change vs full history</t>
  </si>
  <si>
    <t>Histogram — Chg MoM (k)</t>
  </si>
  <si>
    <t>NFP Stats — Chg MoM (k)</t>
  </si>
  <si>
    <t>observations of Chg MoM (k)</t>
  </si>
  <si>
    <t>Unemployment rate  ·  UNEMP  ·  FRED UNRATE</t>
  </si>
  <si>
    <t>Chg MoM (pp)</t>
  </si>
  <si>
    <t>Histogram — Chg MoM (pp)</t>
  </si>
  <si>
    <t>UNEMP Stats — Chg MoM (pp)</t>
  </si>
  <si>
    <t>observations of Chg MoM (pp)</t>
  </si>
  <si>
    <t>Capacity utilization (total)  ·  CAPU  ·  FRED TCU</t>
  </si>
  <si>
    <t>CAPU Stats — Chg MoM (pp)</t>
  </si>
  <si>
    <t>ISM Manufacturing PMI (local full-history file)  ·  ISM  ·  ISM Manufacturing PMI — local full-history file (FRED's NAPM is discontinued/proprietary)</t>
  </si>
  <si>
    <t>ISM Stats — Chg MoM (pts)</t>
  </si>
  <si>
    <t>Retail sales ex motor vehicles &amp; parts ($m)  ·  RETX  ·  FRED RSFSXMV</t>
  </si>
  <si>
    <t>MoM %</t>
  </si>
  <si>
    <t>Z-ANALYSIS — latest YoY % vs full history</t>
  </si>
  <si>
    <t>Histogram — MoM %</t>
  </si>
  <si>
    <t>RETX Stats — MoM %</t>
  </si>
  <si>
    <t>observations of MoM %</t>
  </si>
  <si>
    <t>US LEADING INDICATORS — USEFULNESS IN TRACKING GDP</t>
  </si>
  <si>
    <t>Rank</t>
  </si>
  <si>
    <t>Indicator (as ranked)</t>
  </si>
  <si>
    <t>Intrinsic value</t>
  </si>
  <si>
    <t>Sheet</t>
  </si>
  <si>
    <t>Coverage</t>
  </si>
  <si>
    <t>Latest date</t>
  </si>
  <si>
    <t>Z-metric</t>
  </si>
  <si>
    <t>Z (hist)</t>
  </si>
  <si>
    <t>Pctl</t>
  </si>
  <si>
    <t>Philadelphia Fed index</t>
  </si>
  <si>
    <t>PHILLY</t>
  </si>
  <si>
    <t>level</t>
  </si>
  <si>
    <t>Initial unemployment claims</t>
  </si>
  <si>
    <t>CLAIMS</t>
  </si>
  <si>
    <t>UM consumer confidence preliminary</t>
  </si>
  <si>
    <t>UMCSI</t>
  </si>
  <si>
    <t>Chicago PMI</t>
  </si>
  <si>
    <t>CHIPMI</t>
  </si>
  <si>
    <t>Nonfarm payroll employment</t>
  </si>
  <si>
    <t>NFP</t>
  </si>
  <si>
    <t>MoM chg</t>
  </si>
  <si>
    <t>Unemployment report</t>
  </si>
  <si>
    <t>UNEMP</t>
  </si>
  <si>
    <t>Capacity utilization</t>
  </si>
  <si>
    <t>CAPU</t>
  </si>
  <si>
    <t>ISM PMI</t>
  </si>
  <si>
    <t>ISM</t>
  </si>
  <si>
    <t>UM consumer confidence final</t>
  </si>
  <si>
    <t>Retail sales less automobiles</t>
  </si>
  <si>
    <t>RETX</t>
  </si>
  <si>
    <t>YoY %</t>
  </si>
  <si>
    <t>HONEST NOTES</t>
  </si>
  <si>
    <t>• Rank 4: Chicago PMI is proprietary (MNI Indicators) — the sheet shows the Chicago Fed National Activity Index (CFNAI) as a free substitute; a DIFFERENT indicator, disclosed.</t>
  </si>
  <si>
    <t>• Rank 8: ISM PMI left FRED (proprietary) — data from the local full-history ISM file (1948→), maintained from ISM releases.</t>
  </si>
  <si>
    <t>• Claims &amp; unemployment are INVERTED for the economy read (high = weakness). NFP z-scored on the monthly change; retail ex-autos on YoY %.</t>
  </si>
  <si>
    <t>• All other series from FRED. Intrinsic-value column is the published ranking's metric, not recomputed here.</t>
  </si>
  <si>
    <t>• Each sheet: full history, change transform, 12-bin histogram + probabilities, descriptive stats (kurtosis/skew), ±1/2/3σ bands, actual-vs-normal, Z-analysis, 3 charts.</t>
  </si>
  <si>
    <t>Source: https://fred.stlouisfed.org/series/GACDFSA066MSFRBPHI  ·  refreshed 2026-08-10  ·  monthly</t>
  </si>
  <si>
    <t>Source: https://fred.stlouisfed.org/series/ICSA  ·  refreshed 2026-08-10  ·  weekly</t>
  </si>
  <si>
    <t>Source: University of Michigan Surveys of Consumers final July 2026 release / FRED UMCSENT history  ·  refreshed 2026-08-10  ·  monthly</t>
  </si>
  <si>
    <t>Top-10 ranking from 'Table 1: Usefulness in tracking GDP' (intrinsic values as published; Goldman Sachs research ranking). Full free-data history + Analysis-3.0 statistical layer + 3 charts per sheet  ·  refreshed 2026-08-10</t>
  </si>
  <si>
    <t>• Ranks 3 &amp; 9: the UMich preliminary vintage is not freely archived — both rows point to the final sentiment series; July 2026 final is from the University of Michigan release pending FRED's one-month delay.</t>
  </si>
  <si>
    <t>Source: https://fred.stlouisfed.org/series/CFNAI  ·  refreshed 2026-08-10  ·  monthly (latest available: June 2026)</t>
  </si>
  <si>
    <t>Source: https://fred.stlouisfed.org/series/PAYEMS  ·  refreshed 2026-08-10  ·  monthly</t>
  </si>
  <si>
    <t>Source: https://fred.stlouisfed.org/series/UNRATE  ·  refreshed 2026-08-10  ·  monthly</t>
  </si>
  <si>
    <t>Source: Federal Reserve G.17 release / FRED TCU history  ·  refreshed 2026-08-10  ·  monthly (latest available: June 2026)</t>
  </si>
  <si>
    <t>Source: Institute for Supply Management July 2026 release / local full-history file  ·  refreshed 2026-08-10  ·  monthly</t>
  </si>
  <si>
    <t>Source: https://fred.stlouisfed.org/series/RSFSXMV  ·  refreshed 2026-08-10  ·  monthly (latest available: June 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</si>
</sst>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yyyy/mm/dd"/>
    <numFmt numFmtId="165" formatCode="0.0"/>
    <numFmt numFmtId="166" formatCode="0.0%"/>
    <numFmt numFmtId="167" formatCode="0.0000"/>
    <numFmt numFmtId="168" formatCode="0.000"/>
  </numFmts>
  <fonts count="1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"/>
      <family val="2"/>
    </font>
    <font>
      <b/>
      <sz val="14"/>
      <color rgb="FF1F4E79"/>
      <name val="Aptos"/>
      <family val="2"/>
    </font>
    <font>
      <i/>
      <sz val="10"/>
      <color rgb="FF666666"/>
      <name val="Aptos"/>
      <family val="2"/>
    </font>
    <font>
      <b/>
      <sz val="10"/>
      <color rgb="FFFFFFFF"/>
      <name val="Aptos"/>
      <family val="2"/>
    </font>
    <font>
      <b/>
      <i/>
      <sz val="10"/>
      <color rgb="FFFFFFFF"/>
      <name val="Aptos"/>
      <family val="2"/>
    </font>
    <font>
      <b/>
      <sz val="10"/>
      <color rgb="FF1F1F1F"/>
      <name val="Aptos"/>
      <family val="2"/>
    </font>
    <font>
      <b/>
      <sz val="16"/>
      <color rgb="FF1F4E79"/>
      <name val="Aptos Narrow"/>
      <family val="2"/>
      <scheme val="minor"/>
    </font>
    <font>
      <i/>
      <sz val="10"/>
      <color rgb="FF595959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1"/>
      <color rgb="FF1F4E79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EAF2F8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rgb="FFD9E2F3"/>
      </bottom>
      <diagonal/>
    </border>
    <border>
      <left/>
      <right/>
      <top style="thin">
        <color rgb="FFD9E2F3"/>
      </top>
      <bottom style="thin">
        <color rgb="FFD9E2F3"/>
      </bottom>
      <diagonal/>
    </border>
    <border>
      <left/>
      <right/>
      <top style="thin">
        <color rgb="FFD9E2F3"/>
      </top>
      <bottom style="thin">
        <color rgb="FFBFBFBF"/>
      </bottom>
      <diagonal/>
    </border>
    <border>
      <left style="thin">
        <color rgb="FF1F4E79"/>
      </left>
      <right style="thin">
        <color rgb="FFD9D9D9"/>
      </right>
      <top style="medium">
        <color rgb="FF1F4E7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medium">
        <color rgb="FF1F4E79"/>
      </top>
      <bottom style="thin">
        <color rgb="FFD9D9D9"/>
      </bottom>
      <diagonal/>
    </border>
    <border>
      <left style="thin">
        <color rgb="FFD9D9D9"/>
      </left>
      <right style="thin">
        <color rgb="FF1F4E79"/>
      </right>
      <top style="medium">
        <color rgb="FF1F4E79"/>
      </top>
      <bottom style="thin">
        <color rgb="FFD9D9D9"/>
      </bottom>
      <diagonal/>
    </border>
    <border>
      <left style="thin">
        <color rgb="FF1F4E7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1F4E79"/>
      </right>
      <top style="thin">
        <color rgb="FFD9D9D9"/>
      </top>
      <bottom style="thin">
        <color rgb="FFD9D9D9"/>
      </bottom>
      <diagonal/>
    </border>
    <border>
      <left style="thin">
        <color rgb="FF1F4E79"/>
      </left>
      <right style="thin">
        <color rgb="FFD9D9D9"/>
      </right>
      <top style="thin">
        <color rgb="FFD9D9D9"/>
      </top>
      <bottom style="medium">
        <color rgb="FF1F4E7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1F4E79"/>
      </bottom>
      <diagonal/>
    </border>
    <border>
      <left style="thin">
        <color rgb="FFD9D9D9"/>
      </left>
      <right style="thin">
        <color rgb="FF1F4E79"/>
      </right>
      <top style="thin">
        <color rgb="FFD9D9D9"/>
      </top>
      <bottom style="medium">
        <color rgb="FF1F4E79"/>
      </bottom>
      <diagonal/>
    </border>
    <border>
      <left/>
      <right/>
      <top/>
      <bottom style="medium">
        <color rgb="FFBF9000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  <xf numFmtId="2" fontId="0" fillId="0" borderId="0" xfId="0" applyNumberFormat="1"/>
    <xf numFmtId="166" fontId="0" fillId="0" borderId="0" xfId="0" applyNumberFormat="1"/>
    <xf numFmtId="167" fontId="0" fillId="0" borderId="0" xfId="0" applyNumberFormat="1"/>
    <xf numFmtId="3" fontId="0" fillId="0" borderId="0" xfId="0" applyNumberFormat="1"/>
    <xf numFmtId="10" fontId="0" fillId="0" borderId="0" xfId="0" applyNumberFormat="1"/>
    <xf numFmtId="0" fontId="2" fillId="0" borderId="0" xfId="0" applyFont="1" applyAlignment="1">
      <alignment vertical="center"/>
    </xf>
    <xf numFmtId="0" fontId="3" fillId="2" borderId="0" xfId="0" applyFont="1" applyFill="1" applyAlignment="1">
      <alignment vertical="center"/>
    </xf>
    <xf numFmtId="0" fontId="4" fillId="3" borderId="0" xfId="0" applyFont="1" applyFill="1" applyAlignment="1">
      <alignment vertical="center"/>
    </xf>
    <xf numFmtId="164" fontId="2" fillId="0" borderId="0" xfId="0" applyNumberFormat="1" applyFont="1" applyAlignment="1">
      <alignment horizontal="left" vertical="center"/>
    </xf>
    <xf numFmtId="0" fontId="5" fillId="4" borderId="0" xfId="0" applyFont="1" applyFill="1" applyAlignment="1">
      <alignment horizontal="center" vertical="center"/>
    </xf>
    <xf numFmtId="165" fontId="2" fillId="0" borderId="0" xfId="0" applyNumberFormat="1" applyFont="1" applyAlignment="1">
      <alignment horizontal="right" vertical="center"/>
    </xf>
    <xf numFmtId="0" fontId="6" fillId="4" borderId="0" xfId="0" applyFont="1" applyFill="1" applyAlignment="1">
      <alignment horizontal="center" vertical="center"/>
    </xf>
    <xf numFmtId="166" fontId="2" fillId="0" borderId="2" xfId="0" applyNumberFormat="1" applyFont="1" applyBorder="1" applyAlignment="1">
      <alignment vertical="center"/>
    </xf>
    <xf numFmtId="166" fontId="2" fillId="0" borderId="3" xfId="0" applyNumberFormat="1" applyFont="1" applyBorder="1" applyAlignment="1">
      <alignment vertical="center"/>
    </xf>
    <xf numFmtId="0" fontId="7" fillId="5" borderId="1" xfId="0" applyFont="1" applyFill="1" applyBorder="1" applyAlignment="1">
      <alignment vertical="center"/>
    </xf>
    <xf numFmtId="165" fontId="2" fillId="0" borderId="1" xfId="0" applyNumberFormat="1" applyFont="1" applyBorder="1" applyAlignment="1">
      <alignment vertical="center"/>
    </xf>
    <xf numFmtId="165" fontId="2" fillId="0" borderId="2" xfId="0" applyNumberFormat="1" applyFont="1" applyBorder="1" applyAlignment="1">
      <alignment vertical="center"/>
    </xf>
    <xf numFmtId="168" fontId="2" fillId="0" borderId="1" xfId="0" applyNumberFormat="1" applyFont="1" applyBorder="1" applyAlignment="1">
      <alignment vertical="center"/>
    </xf>
    <xf numFmtId="168" fontId="2" fillId="0" borderId="2" xfId="0" applyNumberFormat="1" applyFont="1" applyBorder="1" applyAlignment="1">
      <alignment vertical="center"/>
    </xf>
    <xf numFmtId="3" fontId="2" fillId="0" borderId="3" xfId="0" applyNumberFormat="1" applyFont="1" applyBorder="1" applyAlignment="1">
      <alignment vertical="center"/>
    </xf>
    <xf numFmtId="165" fontId="7" fillId="5" borderId="2" xfId="0" applyNumberFormat="1" applyFont="1" applyFill="1" applyBorder="1" applyAlignment="1">
      <alignment vertical="center"/>
    </xf>
    <xf numFmtId="165" fontId="7" fillId="5" borderId="3" xfId="0" applyNumberFormat="1" applyFont="1" applyFill="1" applyBorder="1" applyAlignment="1">
      <alignment vertical="center"/>
    </xf>
    <xf numFmtId="3" fontId="2" fillId="0" borderId="2" xfId="0" applyNumberFormat="1" applyFont="1" applyBorder="1" applyAlignment="1">
      <alignment vertical="center"/>
    </xf>
    <xf numFmtId="0" fontId="7" fillId="5" borderId="1" xfId="0" applyFont="1" applyFill="1" applyBorder="1" applyAlignment="1">
      <alignment horizontal="left" vertical="center"/>
    </xf>
    <xf numFmtId="0" fontId="7" fillId="5" borderId="2" xfId="0" applyFont="1" applyFill="1" applyBorder="1" applyAlignment="1">
      <alignment horizontal="left" vertical="center"/>
    </xf>
    <xf numFmtId="0" fontId="7" fillId="5" borderId="3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165" fontId="2" fillId="0" borderId="2" xfId="0" applyNumberFormat="1" applyFont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  <xf numFmtId="165" fontId="2" fillId="0" borderId="3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66" fontId="2" fillId="0" borderId="3" xfId="0" applyNumberFormat="1" applyFont="1" applyBorder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8" fillId="0" borderId="0" xfId="0" applyFont="1"/>
    <xf numFmtId="0" fontId="10" fillId="4" borderId="4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0" fillId="6" borderId="7" xfId="0" applyFill="1" applyBorder="1" applyAlignment="1">
      <alignment horizontal="center"/>
    </xf>
    <xf numFmtId="0" fontId="0" fillId="6" borderId="8" xfId="0" applyFill="1" applyBorder="1"/>
    <xf numFmtId="14" fontId="0" fillId="6" borderId="8" xfId="0" applyNumberFormat="1" applyFill="1" applyBorder="1"/>
    <xf numFmtId="9" fontId="0" fillId="6" borderId="8" xfId="0" applyNumberFormat="1" applyFill="1" applyBorder="1"/>
    <xf numFmtId="0" fontId="0" fillId="6" borderId="9" xfId="0" applyFill="1" applyBorder="1"/>
    <xf numFmtId="0" fontId="0" fillId="2" borderId="7" xfId="0" applyFill="1" applyBorder="1" applyAlignment="1">
      <alignment horizontal="center"/>
    </xf>
    <xf numFmtId="0" fontId="0" fillId="2" borderId="8" xfId="0" applyFill="1" applyBorder="1"/>
    <xf numFmtId="14" fontId="0" fillId="2" borderId="8" xfId="0" applyNumberFormat="1" applyFill="1" applyBorder="1"/>
    <xf numFmtId="9" fontId="0" fillId="2" borderId="8" xfId="0" applyNumberFormat="1" applyFill="1" applyBorder="1"/>
    <xf numFmtId="0" fontId="0" fillId="2" borderId="9" xfId="0" applyFill="1" applyBorder="1"/>
    <xf numFmtId="0" fontId="0" fillId="2" borderId="10" xfId="0" applyFill="1" applyBorder="1" applyAlignment="1">
      <alignment horizontal="center"/>
    </xf>
    <xf numFmtId="0" fontId="0" fillId="2" borderId="11" xfId="0" applyFill="1" applyBorder="1"/>
    <xf numFmtId="14" fontId="0" fillId="2" borderId="11" xfId="0" applyNumberFormat="1" applyFill="1" applyBorder="1"/>
    <xf numFmtId="9" fontId="0" fillId="2" borderId="11" xfId="0" applyNumberFormat="1" applyFill="1" applyBorder="1"/>
    <xf numFmtId="0" fontId="0" fillId="2" borderId="12" xfId="0" applyFill="1" applyBorder="1"/>
    <xf numFmtId="0" fontId="11" fillId="0" borderId="13" xfId="0" applyFont="1" applyBorder="1"/>
    <xf numFmtId="165" fontId="0" fillId="6" borderId="8" xfId="0" applyNumberFormat="1" applyFill="1" applyBorder="1"/>
    <xf numFmtId="2" fontId="0" fillId="6" borderId="8" xfId="0" applyNumberFormat="1" applyFill="1" applyBorder="1"/>
    <xf numFmtId="3" fontId="0" fillId="2" borderId="8" xfId="0" applyNumberFormat="1" applyFill="1" applyBorder="1"/>
    <xf numFmtId="2" fontId="0" fillId="2" borderId="8" xfId="0" applyNumberFormat="1" applyFill="1" applyBorder="1"/>
    <xf numFmtId="0" fontId="9" fillId="0" borderId="0" xfId="0" applyFont="1" applyAlignment="1">
      <alignment wrapText="1"/>
    </xf>
    <xf numFmtId="0" fontId="0" fillId="0" borderId="0" xfId="0" applyAlignment="1">
      <alignment wrapText="1"/>
    </xf>
    <xf numFmtId="3" fontId="0" fillId="6" borderId="8" xfId="0" applyNumberFormat="1" applyFill="1" applyBorder="1"/>
    <xf numFmtId="0" fontId="3" fillId="2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3" fontId="0" fillId="2" borderId="11" xfId="0" applyNumberFormat="1" applyFill="1" applyBorder="1"/>
    <xf numFmtId="2" fontId="0" fillId="2" borderId="11" xfId="0" applyNumberFormat="1" applyFill="1" applyBorder="1"/>
  </cellXfs>
  <cellStyles count="1">
    <cellStyle name="Normal" xfId="0" builtinId="0"/>
  </cellStyles>
  <dxfs count="8"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7F60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sz val="10"/>
        <name val="Aptos"/>
      </font>
      <numFmt numFmtId="165" formatCode="0.0"/>
      <alignment horizontal="right" vertical="center"/>
    </dxf>
    <dxf>
      <font>
        <sz val="10"/>
        <name val="Aptos"/>
      </font>
      <numFmt numFmtId="165" formatCode="0.0"/>
      <alignment horizontal="right" vertical="center"/>
    </dxf>
    <dxf>
      <font>
        <sz val="10"/>
        <name val="Aptos"/>
      </font>
      <numFmt numFmtId="164" formatCode="yyyy/mm/dd"/>
      <alignment horizontal="left" vertical="center"/>
    </dxf>
    <dxf>
      <font>
        <sz val="10"/>
        <name val="Aptos"/>
      </font>
      <alignment horizontal="left"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ptos"/>
        <scheme val="minor"/>
      </font>
      <fill>
        <patternFill patternType="solid">
          <fgColor indexed="64"/>
          <bgColor rgb="FF1F4E79"/>
        </patternFill>
      </fill>
      <alignment horizontal="center"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1F4E79"/>
                </a:solidFill>
                <a:latin typeface="Aptos Narrow"/>
                <a:ea typeface="Aptos Narrow"/>
                <a:cs typeface="Aptos Narrow"/>
              </a:defRPr>
            </a:pPr>
            <a:r>
              <a:rPr lang="en-US"/>
              <a:t>Philadelphia Fed index (current activity, SA) — level, 1968–present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1F4E79"/>
              </a:solidFill>
              <a:latin typeface="Aptos Narrow"/>
              <a:ea typeface="Aptos Narrow"/>
              <a:cs typeface="Aptos Narrow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PHILLY!$B$4</c:f>
              <c:strCache>
                <c:ptCount val="1"/>
                <c:pt idx="0">
                  <c:v>Value</c:v>
                </c:pt>
              </c:strCache>
            </c:strRef>
          </c:tx>
          <c:spPr>
            <a:ln w="25400" cap="rnd">
              <a:solidFill>
                <a:srgbClr val="1F4E79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PHILLY!$A$5:$A$703</c:f>
              <c:numCache>
                <c:formatCode>yyyy/mm/dd</c:formatCode>
                <c:ptCount val="699"/>
                <c:pt idx="0">
                  <c:v>24959</c:v>
                </c:pt>
                <c:pt idx="1">
                  <c:v>24990</c:v>
                </c:pt>
                <c:pt idx="2">
                  <c:v>25020</c:v>
                </c:pt>
                <c:pt idx="3">
                  <c:v>25051</c:v>
                </c:pt>
                <c:pt idx="4">
                  <c:v>25082</c:v>
                </c:pt>
                <c:pt idx="5">
                  <c:v>25112</c:v>
                </c:pt>
                <c:pt idx="6">
                  <c:v>25143</c:v>
                </c:pt>
                <c:pt idx="7">
                  <c:v>25173</c:v>
                </c:pt>
                <c:pt idx="8">
                  <c:v>25204</c:v>
                </c:pt>
                <c:pt idx="9">
                  <c:v>25235</c:v>
                </c:pt>
                <c:pt idx="10">
                  <c:v>25263</c:v>
                </c:pt>
                <c:pt idx="11">
                  <c:v>25294</c:v>
                </c:pt>
                <c:pt idx="12">
                  <c:v>25324</c:v>
                </c:pt>
                <c:pt idx="13">
                  <c:v>25355</c:v>
                </c:pt>
                <c:pt idx="14">
                  <c:v>25385</c:v>
                </c:pt>
                <c:pt idx="15">
                  <c:v>25416</c:v>
                </c:pt>
                <c:pt idx="16">
                  <c:v>25447</c:v>
                </c:pt>
                <c:pt idx="17">
                  <c:v>25477</c:v>
                </c:pt>
                <c:pt idx="18">
                  <c:v>25508</c:v>
                </c:pt>
                <c:pt idx="19">
                  <c:v>25538</c:v>
                </c:pt>
                <c:pt idx="20">
                  <c:v>25569</c:v>
                </c:pt>
                <c:pt idx="21">
                  <c:v>25600</c:v>
                </c:pt>
                <c:pt idx="22">
                  <c:v>25628</c:v>
                </c:pt>
                <c:pt idx="23">
                  <c:v>25659</c:v>
                </c:pt>
                <c:pt idx="24">
                  <c:v>25689</c:v>
                </c:pt>
                <c:pt idx="25">
                  <c:v>25720</c:v>
                </c:pt>
                <c:pt idx="26">
                  <c:v>25750</c:v>
                </c:pt>
                <c:pt idx="27">
                  <c:v>25781</c:v>
                </c:pt>
                <c:pt idx="28">
                  <c:v>25812</c:v>
                </c:pt>
                <c:pt idx="29">
                  <c:v>25842</c:v>
                </c:pt>
                <c:pt idx="30">
                  <c:v>25873</c:v>
                </c:pt>
                <c:pt idx="31">
                  <c:v>25903</c:v>
                </c:pt>
                <c:pt idx="32">
                  <c:v>25934</c:v>
                </c:pt>
                <c:pt idx="33">
                  <c:v>25965</c:v>
                </c:pt>
                <c:pt idx="34">
                  <c:v>25993</c:v>
                </c:pt>
                <c:pt idx="35">
                  <c:v>26024</c:v>
                </c:pt>
                <c:pt idx="36">
                  <c:v>26054</c:v>
                </c:pt>
                <c:pt idx="37">
                  <c:v>26085</c:v>
                </c:pt>
                <c:pt idx="38">
                  <c:v>26115</c:v>
                </c:pt>
                <c:pt idx="39">
                  <c:v>26146</c:v>
                </c:pt>
                <c:pt idx="40">
                  <c:v>26177</c:v>
                </c:pt>
                <c:pt idx="41">
                  <c:v>26207</c:v>
                </c:pt>
                <c:pt idx="42">
                  <c:v>26238</c:v>
                </c:pt>
                <c:pt idx="43">
                  <c:v>26268</c:v>
                </c:pt>
                <c:pt idx="44">
                  <c:v>26299</c:v>
                </c:pt>
                <c:pt idx="45">
                  <c:v>26330</c:v>
                </c:pt>
                <c:pt idx="46">
                  <c:v>26359</c:v>
                </c:pt>
                <c:pt idx="47">
                  <c:v>26390</c:v>
                </c:pt>
                <c:pt idx="48">
                  <c:v>26420</c:v>
                </c:pt>
                <c:pt idx="49">
                  <c:v>26451</c:v>
                </c:pt>
                <c:pt idx="50">
                  <c:v>26481</c:v>
                </c:pt>
                <c:pt idx="51">
                  <c:v>26512</c:v>
                </c:pt>
                <c:pt idx="52">
                  <c:v>26543</c:v>
                </c:pt>
                <c:pt idx="53">
                  <c:v>26573</c:v>
                </c:pt>
                <c:pt idx="54">
                  <c:v>26604</c:v>
                </c:pt>
                <c:pt idx="55">
                  <c:v>26634</c:v>
                </c:pt>
                <c:pt idx="56">
                  <c:v>26665</c:v>
                </c:pt>
                <c:pt idx="57">
                  <c:v>26696</c:v>
                </c:pt>
                <c:pt idx="58">
                  <c:v>26724</c:v>
                </c:pt>
                <c:pt idx="59">
                  <c:v>26755</c:v>
                </c:pt>
                <c:pt idx="60">
                  <c:v>26785</c:v>
                </c:pt>
                <c:pt idx="61">
                  <c:v>26816</c:v>
                </c:pt>
                <c:pt idx="62">
                  <c:v>26846</c:v>
                </c:pt>
                <c:pt idx="63">
                  <c:v>26877</c:v>
                </c:pt>
                <c:pt idx="64">
                  <c:v>26908</c:v>
                </c:pt>
                <c:pt idx="65">
                  <c:v>26938</c:v>
                </c:pt>
                <c:pt idx="66">
                  <c:v>26969</c:v>
                </c:pt>
                <c:pt idx="67">
                  <c:v>26999</c:v>
                </c:pt>
                <c:pt idx="68">
                  <c:v>27030</c:v>
                </c:pt>
                <c:pt idx="69">
                  <c:v>27061</c:v>
                </c:pt>
                <c:pt idx="70">
                  <c:v>27089</c:v>
                </c:pt>
                <c:pt idx="71">
                  <c:v>27120</c:v>
                </c:pt>
                <c:pt idx="72">
                  <c:v>27150</c:v>
                </c:pt>
                <c:pt idx="73">
                  <c:v>27181</c:v>
                </c:pt>
                <c:pt idx="74">
                  <c:v>27211</c:v>
                </c:pt>
                <c:pt idx="75">
                  <c:v>27242</c:v>
                </c:pt>
                <c:pt idx="76">
                  <c:v>27273</c:v>
                </c:pt>
                <c:pt idx="77">
                  <c:v>27303</c:v>
                </c:pt>
                <c:pt idx="78">
                  <c:v>27334</c:v>
                </c:pt>
                <c:pt idx="79">
                  <c:v>27364</c:v>
                </c:pt>
                <c:pt idx="80">
                  <c:v>27395</c:v>
                </c:pt>
                <c:pt idx="81">
                  <c:v>27426</c:v>
                </c:pt>
                <c:pt idx="82">
                  <c:v>27454</c:v>
                </c:pt>
                <c:pt idx="83">
                  <c:v>27485</c:v>
                </c:pt>
                <c:pt idx="84">
                  <c:v>27515</c:v>
                </c:pt>
                <c:pt idx="85">
                  <c:v>27546</c:v>
                </c:pt>
                <c:pt idx="86">
                  <c:v>27576</c:v>
                </c:pt>
                <c:pt idx="87">
                  <c:v>27607</c:v>
                </c:pt>
                <c:pt idx="88">
                  <c:v>27638</c:v>
                </c:pt>
                <c:pt idx="89">
                  <c:v>27668</c:v>
                </c:pt>
                <c:pt idx="90">
                  <c:v>27699</c:v>
                </c:pt>
                <c:pt idx="91">
                  <c:v>27729</c:v>
                </c:pt>
                <c:pt idx="92">
                  <c:v>27760</c:v>
                </c:pt>
                <c:pt idx="93">
                  <c:v>27791</c:v>
                </c:pt>
                <c:pt idx="94">
                  <c:v>27820</c:v>
                </c:pt>
                <c:pt idx="95">
                  <c:v>27851</c:v>
                </c:pt>
                <c:pt idx="96">
                  <c:v>27881</c:v>
                </c:pt>
                <c:pt idx="97">
                  <c:v>27912</c:v>
                </c:pt>
                <c:pt idx="98">
                  <c:v>27942</c:v>
                </c:pt>
                <c:pt idx="99">
                  <c:v>27973</c:v>
                </c:pt>
                <c:pt idx="100">
                  <c:v>28004</c:v>
                </c:pt>
                <c:pt idx="101">
                  <c:v>28034</c:v>
                </c:pt>
                <c:pt idx="102">
                  <c:v>28065</c:v>
                </c:pt>
                <c:pt idx="103">
                  <c:v>28095</c:v>
                </c:pt>
                <c:pt idx="104">
                  <c:v>28126</c:v>
                </c:pt>
                <c:pt idx="105">
                  <c:v>28157</c:v>
                </c:pt>
                <c:pt idx="106">
                  <c:v>28185</c:v>
                </c:pt>
                <c:pt idx="107">
                  <c:v>28216</c:v>
                </c:pt>
                <c:pt idx="108">
                  <c:v>28246</c:v>
                </c:pt>
                <c:pt idx="109">
                  <c:v>28277</c:v>
                </c:pt>
                <c:pt idx="110">
                  <c:v>28307</c:v>
                </c:pt>
                <c:pt idx="111">
                  <c:v>28338</c:v>
                </c:pt>
                <c:pt idx="112">
                  <c:v>28369</c:v>
                </c:pt>
                <c:pt idx="113">
                  <c:v>28399</c:v>
                </c:pt>
                <c:pt idx="114">
                  <c:v>28430</c:v>
                </c:pt>
                <c:pt idx="115">
                  <c:v>28460</c:v>
                </c:pt>
                <c:pt idx="116">
                  <c:v>28491</c:v>
                </c:pt>
                <c:pt idx="117">
                  <c:v>28522</c:v>
                </c:pt>
                <c:pt idx="118">
                  <c:v>28550</c:v>
                </c:pt>
                <c:pt idx="119">
                  <c:v>28581</c:v>
                </c:pt>
                <c:pt idx="120">
                  <c:v>28611</c:v>
                </c:pt>
                <c:pt idx="121">
                  <c:v>28642</c:v>
                </c:pt>
                <c:pt idx="122">
                  <c:v>28672</c:v>
                </c:pt>
                <c:pt idx="123">
                  <c:v>28703</c:v>
                </c:pt>
                <c:pt idx="124">
                  <c:v>28734</c:v>
                </c:pt>
                <c:pt idx="125">
                  <c:v>28764</c:v>
                </c:pt>
                <c:pt idx="126">
                  <c:v>28795</c:v>
                </c:pt>
                <c:pt idx="127">
                  <c:v>28825</c:v>
                </c:pt>
                <c:pt idx="128">
                  <c:v>28856</c:v>
                </c:pt>
                <c:pt idx="129">
                  <c:v>28887</c:v>
                </c:pt>
                <c:pt idx="130">
                  <c:v>28915</c:v>
                </c:pt>
                <c:pt idx="131">
                  <c:v>28946</c:v>
                </c:pt>
                <c:pt idx="132">
                  <c:v>28976</c:v>
                </c:pt>
                <c:pt idx="133">
                  <c:v>29007</c:v>
                </c:pt>
                <c:pt idx="134">
                  <c:v>29037</c:v>
                </c:pt>
                <c:pt idx="135">
                  <c:v>29068</c:v>
                </c:pt>
                <c:pt idx="136">
                  <c:v>29099</c:v>
                </c:pt>
                <c:pt idx="137">
                  <c:v>29129</c:v>
                </c:pt>
                <c:pt idx="138">
                  <c:v>29160</c:v>
                </c:pt>
                <c:pt idx="139">
                  <c:v>29190</c:v>
                </c:pt>
                <c:pt idx="140">
                  <c:v>29221</c:v>
                </c:pt>
                <c:pt idx="141">
                  <c:v>29252</c:v>
                </c:pt>
                <c:pt idx="142">
                  <c:v>29281</c:v>
                </c:pt>
                <c:pt idx="143">
                  <c:v>29312</c:v>
                </c:pt>
                <c:pt idx="144">
                  <c:v>29342</c:v>
                </c:pt>
                <c:pt idx="145">
                  <c:v>29373</c:v>
                </c:pt>
                <c:pt idx="146">
                  <c:v>29403</c:v>
                </c:pt>
                <c:pt idx="147">
                  <c:v>29434</c:v>
                </c:pt>
                <c:pt idx="148">
                  <c:v>29465</c:v>
                </c:pt>
                <c:pt idx="149">
                  <c:v>29495</c:v>
                </c:pt>
                <c:pt idx="150">
                  <c:v>29526</c:v>
                </c:pt>
                <c:pt idx="151">
                  <c:v>29556</c:v>
                </c:pt>
                <c:pt idx="152">
                  <c:v>29587</c:v>
                </c:pt>
                <c:pt idx="153">
                  <c:v>29618</c:v>
                </c:pt>
                <c:pt idx="154">
                  <c:v>29646</c:v>
                </c:pt>
                <c:pt idx="155">
                  <c:v>29677</c:v>
                </c:pt>
                <c:pt idx="156">
                  <c:v>29707</c:v>
                </c:pt>
                <c:pt idx="157">
                  <c:v>29738</c:v>
                </c:pt>
                <c:pt idx="158">
                  <c:v>29768</c:v>
                </c:pt>
                <c:pt idx="159">
                  <c:v>29799</c:v>
                </c:pt>
                <c:pt idx="160">
                  <c:v>29830</c:v>
                </c:pt>
                <c:pt idx="161">
                  <c:v>29860</c:v>
                </c:pt>
                <c:pt idx="162">
                  <c:v>29891</c:v>
                </c:pt>
                <c:pt idx="163">
                  <c:v>29921</c:v>
                </c:pt>
                <c:pt idx="164">
                  <c:v>29952</c:v>
                </c:pt>
                <c:pt idx="165">
                  <c:v>29983</c:v>
                </c:pt>
                <c:pt idx="166">
                  <c:v>30011</c:v>
                </c:pt>
                <c:pt idx="167">
                  <c:v>30042</c:v>
                </c:pt>
                <c:pt idx="168">
                  <c:v>30072</c:v>
                </c:pt>
                <c:pt idx="169">
                  <c:v>30103</c:v>
                </c:pt>
                <c:pt idx="170">
                  <c:v>30133</c:v>
                </c:pt>
                <c:pt idx="171">
                  <c:v>30164</c:v>
                </c:pt>
                <c:pt idx="172">
                  <c:v>30195</c:v>
                </c:pt>
                <c:pt idx="173">
                  <c:v>30225</c:v>
                </c:pt>
                <c:pt idx="174">
                  <c:v>30256</c:v>
                </c:pt>
                <c:pt idx="175">
                  <c:v>30286</c:v>
                </c:pt>
                <c:pt idx="176">
                  <c:v>30317</c:v>
                </c:pt>
                <c:pt idx="177">
                  <c:v>30348</c:v>
                </c:pt>
                <c:pt idx="178">
                  <c:v>30376</c:v>
                </c:pt>
                <c:pt idx="179">
                  <c:v>30407</c:v>
                </c:pt>
                <c:pt idx="180">
                  <c:v>30437</c:v>
                </c:pt>
                <c:pt idx="181">
                  <c:v>30468</c:v>
                </c:pt>
                <c:pt idx="182">
                  <c:v>30498</c:v>
                </c:pt>
                <c:pt idx="183">
                  <c:v>30529</c:v>
                </c:pt>
                <c:pt idx="184">
                  <c:v>30560</c:v>
                </c:pt>
                <c:pt idx="185">
                  <c:v>30590</c:v>
                </c:pt>
                <c:pt idx="186">
                  <c:v>30621</c:v>
                </c:pt>
                <c:pt idx="187">
                  <c:v>30651</c:v>
                </c:pt>
                <c:pt idx="188">
                  <c:v>30682</c:v>
                </c:pt>
                <c:pt idx="189">
                  <c:v>30713</c:v>
                </c:pt>
                <c:pt idx="190">
                  <c:v>30742</c:v>
                </c:pt>
                <c:pt idx="191">
                  <c:v>30773</c:v>
                </c:pt>
                <c:pt idx="192">
                  <c:v>30803</c:v>
                </c:pt>
                <c:pt idx="193">
                  <c:v>30834</c:v>
                </c:pt>
                <c:pt idx="194">
                  <c:v>30864</c:v>
                </c:pt>
                <c:pt idx="195">
                  <c:v>30895</c:v>
                </c:pt>
                <c:pt idx="196">
                  <c:v>30926</c:v>
                </c:pt>
                <c:pt idx="197">
                  <c:v>30956</c:v>
                </c:pt>
                <c:pt idx="198">
                  <c:v>30987</c:v>
                </c:pt>
                <c:pt idx="199">
                  <c:v>31017</c:v>
                </c:pt>
                <c:pt idx="200">
                  <c:v>31048</c:v>
                </c:pt>
                <c:pt idx="201">
                  <c:v>31079</c:v>
                </c:pt>
                <c:pt idx="202">
                  <c:v>31107</c:v>
                </c:pt>
                <c:pt idx="203">
                  <c:v>31138</c:v>
                </c:pt>
                <c:pt idx="204">
                  <c:v>31168</c:v>
                </c:pt>
                <c:pt idx="205">
                  <c:v>31199</c:v>
                </c:pt>
                <c:pt idx="206">
                  <c:v>31229</c:v>
                </c:pt>
                <c:pt idx="207">
                  <c:v>31260</c:v>
                </c:pt>
                <c:pt idx="208">
                  <c:v>31291</c:v>
                </c:pt>
                <c:pt idx="209">
                  <c:v>31321</c:v>
                </c:pt>
                <c:pt idx="210">
                  <c:v>31352</c:v>
                </c:pt>
                <c:pt idx="211">
                  <c:v>31382</c:v>
                </c:pt>
                <c:pt idx="212">
                  <c:v>31413</c:v>
                </c:pt>
                <c:pt idx="213">
                  <c:v>31444</c:v>
                </c:pt>
                <c:pt idx="214">
                  <c:v>31472</c:v>
                </c:pt>
                <c:pt idx="215">
                  <c:v>31503</c:v>
                </c:pt>
                <c:pt idx="216">
                  <c:v>31533</c:v>
                </c:pt>
                <c:pt idx="217">
                  <c:v>31564</c:v>
                </c:pt>
                <c:pt idx="218">
                  <c:v>31594</c:v>
                </c:pt>
                <c:pt idx="219">
                  <c:v>31625</c:v>
                </c:pt>
                <c:pt idx="220">
                  <c:v>31656</c:v>
                </c:pt>
                <c:pt idx="221">
                  <c:v>31686</c:v>
                </c:pt>
                <c:pt idx="222">
                  <c:v>31717</c:v>
                </c:pt>
                <c:pt idx="223">
                  <c:v>31747</c:v>
                </c:pt>
                <c:pt idx="224">
                  <c:v>31778</c:v>
                </c:pt>
                <c:pt idx="225">
                  <c:v>31809</c:v>
                </c:pt>
                <c:pt idx="226">
                  <c:v>31837</c:v>
                </c:pt>
                <c:pt idx="227">
                  <c:v>31868</c:v>
                </c:pt>
                <c:pt idx="228">
                  <c:v>31898</c:v>
                </c:pt>
                <c:pt idx="229">
                  <c:v>31929</c:v>
                </c:pt>
                <c:pt idx="230">
                  <c:v>31959</c:v>
                </c:pt>
                <c:pt idx="231">
                  <c:v>31990</c:v>
                </c:pt>
                <c:pt idx="232">
                  <c:v>32021</c:v>
                </c:pt>
                <c:pt idx="233">
                  <c:v>32051</c:v>
                </c:pt>
                <c:pt idx="234">
                  <c:v>32082</c:v>
                </c:pt>
                <c:pt idx="235">
                  <c:v>32112</c:v>
                </c:pt>
                <c:pt idx="236">
                  <c:v>32143</c:v>
                </c:pt>
                <c:pt idx="237">
                  <c:v>32174</c:v>
                </c:pt>
                <c:pt idx="238">
                  <c:v>32203</c:v>
                </c:pt>
                <c:pt idx="239">
                  <c:v>32234</c:v>
                </c:pt>
                <c:pt idx="240">
                  <c:v>32264</c:v>
                </c:pt>
                <c:pt idx="241">
                  <c:v>32295</c:v>
                </c:pt>
                <c:pt idx="242">
                  <c:v>32325</c:v>
                </c:pt>
                <c:pt idx="243">
                  <c:v>32356</c:v>
                </c:pt>
                <c:pt idx="244">
                  <c:v>32387</c:v>
                </c:pt>
                <c:pt idx="245">
                  <c:v>32417</c:v>
                </c:pt>
                <c:pt idx="246">
                  <c:v>32448</c:v>
                </c:pt>
                <c:pt idx="247">
                  <c:v>32478</c:v>
                </c:pt>
                <c:pt idx="248">
                  <c:v>32509</c:v>
                </c:pt>
                <c:pt idx="249">
                  <c:v>32540</c:v>
                </c:pt>
                <c:pt idx="250">
                  <c:v>32568</c:v>
                </c:pt>
                <c:pt idx="251">
                  <c:v>32599</c:v>
                </c:pt>
                <c:pt idx="252">
                  <c:v>32629</c:v>
                </c:pt>
                <c:pt idx="253">
                  <c:v>32660</c:v>
                </c:pt>
                <c:pt idx="254">
                  <c:v>32690</c:v>
                </c:pt>
                <c:pt idx="255">
                  <c:v>32721</c:v>
                </c:pt>
                <c:pt idx="256">
                  <c:v>32752</c:v>
                </c:pt>
                <c:pt idx="257">
                  <c:v>32782</c:v>
                </c:pt>
                <c:pt idx="258">
                  <c:v>32813</c:v>
                </c:pt>
                <c:pt idx="259">
                  <c:v>32843</c:v>
                </c:pt>
                <c:pt idx="260">
                  <c:v>32874</c:v>
                </c:pt>
                <c:pt idx="261">
                  <c:v>32905</c:v>
                </c:pt>
                <c:pt idx="262">
                  <c:v>32933</c:v>
                </c:pt>
                <c:pt idx="263">
                  <c:v>32964</c:v>
                </c:pt>
                <c:pt idx="264">
                  <c:v>32994</c:v>
                </c:pt>
                <c:pt idx="265">
                  <c:v>33025</c:v>
                </c:pt>
                <c:pt idx="266">
                  <c:v>33055</c:v>
                </c:pt>
                <c:pt idx="267">
                  <c:v>33086</c:v>
                </c:pt>
                <c:pt idx="268">
                  <c:v>33117</c:v>
                </c:pt>
                <c:pt idx="269">
                  <c:v>33147</c:v>
                </c:pt>
                <c:pt idx="270">
                  <c:v>33178</c:v>
                </c:pt>
                <c:pt idx="271">
                  <c:v>33208</c:v>
                </c:pt>
                <c:pt idx="272">
                  <c:v>33239</c:v>
                </c:pt>
                <c:pt idx="273">
                  <c:v>33270</c:v>
                </c:pt>
                <c:pt idx="274">
                  <c:v>33298</c:v>
                </c:pt>
                <c:pt idx="275">
                  <c:v>33329</c:v>
                </c:pt>
                <c:pt idx="276">
                  <c:v>33359</c:v>
                </c:pt>
                <c:pt idx="277">
                  <c:v>33390</c:v>
                </c:pt>
                <c:pt idx="278">
                  <c:v>33420</c:v>
                </c:pt>
                <c:pt idx="279">
                  <c:v>33451</c:v>
                </c:pt>
                <c:pt idx="280">
                  <c:v>33482</c:v>
                </c:pt>
                <c:pt idx="281">
                  <c:v>33512</c:v>
                </c:pt>
                <c:pt idx="282">
                  <c:v>33543</c:v>
                </c:pt>
                <c:pt idx="283">
                  <c:v>33573</c:v>
                </c:pt>
                <c:pt idx="284">
                  <c:v>33604</c:v>
                </c:pt>
                <c:pt idx="285">
                  <c:v>33635</c:v>
                </c:pt>
                <c:pt idx="286">
                  <c:v>33664</c:v>
                </c:pt>
                <c:pt idx="287">
                  <c:v>33695</c:v>
                </c:pt>
                <c:pt idx="288">
                  <c:v>33725</c:v>
                </c:pt>
                <c:pt idx="289">
                  <c:v>33756</c:v>
                </c:pt>
                <c:pt idx="290">
                  <c:v>33786</c:v>
                </c:pt>
                <c:pt idx="291">
                  <c:v>33817</c:v>
                </c:pt>
                <c:pt idx="292">
                  <c:v>33848</c:v>
                </c:pt>
                <c:pt idx="293">
                  <c:v>33878</c:v>
                </c:pt>
                <c:pt idx="294">
                  <c:v>33909</c:v>
                </c:pt>
                <c:pt idx="295">
                  <c:v>33939</c:v>
                </c:pt>
                <c:pt idx="296">
                  <c:v>33970</c:v>
                </c:pt>
                <c:pt idx="297">
                  <c:v>34001</c:v>
                </c:pt>
                <c:pt idx="298">
                  <c:v>34029</c:v>
                </c:pt>
                <c:pt idx="299">
                  <c:v>34060</c:v>
                </c:pt>
                <c:pt idx="300">
                  <c:v>34090</c:v>
                </c:pt>
                <c:pt idx="301">
                  <c:v>34121</c:v>
                </c:pt>
                <c:pt idx="302">
                  <c:v>34151</c:v>
                </c:pt>
                <c:pt idx="303">
                  <c:v>34182</c:v>
                </c:pt>
                <c:pt idx="304">
                  <c:v>34213</c:v>
                </c:pt>
                <c:pt idx="305">
                  <c:v>34243</c:v>
                </c:pt>
                <c:pt idx="306">
                  <c:v>34274</c:v>
                </c:pt>
                <c:pt idx="307">
                  <c:v>34304</c:v>
                </c:pt>
                <c:pt idx="308">
                  <c:v>34335</c:v>
                </c:pt>
                <c:pt idx="309">
                  <c:v>34366</c:v>
                </c:pt>
                <c:pt idx="310">
                  <c:v>34394</c:v>
                </c:pt>
                <c:pt idx="311">
                  <c:v>34425</c:v>
                </c:pt>
                <c:pt idx="312">
                  <c:v>34455</c:v>
                </c:pt>
                <c:pt idx="313">
                  <c:v>34486</c:v>
                </c:pt>
                <c:pt idx="314">
                  <c:v>34516</c:v>
                </c:pt>
                <c:pt idx="315">
                  <c:v>34547</c:v>
                </c:pt>
                <c:pt idx="316">
                  <c:v>34578</c:v>
                </c:pt>
                <c:pt idx="317">
                  <c:v>34608</c:v>
                </c:pt>
                <c:pt idx="318">
                  <c:v>34639</c:v>
                </c:pt>
                <c:pt idx="319">
                  <c:v>34669</c:v>
                </c:pt>
                <c:pt idx="320">
                  <c:v>34700</c:v>
                </c:pt>
                <c:pt idx="321">
                  <c:v>34731</c:v>
                </c:pt>
                <c:pt idx="322">
                  <c:v>34759</c:v>
                </c:pt>
                <c:pt idx="323">
                  <c:v>34790</c:v>
                </c:pt>
                <c:pt idx="324">
                  <c:v>34820</c:v>
                </c:pt>
                <c:pt idx="325">
                  <c:v>34851</c:v>
                </c:pt>
                <c:pt idx="326">
                  <c:v>34881</c:v>
                </c:pt>
                <c:pt idx="327">
                  <c:v>34912</c:v>
                </c:pt>
                <c:pt idx="328">
                  <c:v>34943</c:v>
                </c:pt>
                <c:pt idx="329">
                  <c:v>34973</c:v>
                </c:pt>
                <c:pt idx="330">
                  <c:v>35004</c:v>
                </c:pt>
                <c:pt idx="331">
                  <c:v>35034</c:v>
                </c:pt>
                <c:pt idx="332">
                  <c:v>35065</c:v>
                </c:pt>
                <c:pt idx="333">
                  <c:v>35096</c:v>
                </c:pt>
                <c:pt idx="334">
                  <c:v>35125</c:v>
                </c:pt>
                <c:pt idx="335">
                  <c:v>35156</c:v>
                </c:pt>
                <c:pt idx="336">
                  <c:v>35186</c:v>
                </c:pt>
                <c:pt idx="337">
                  <c:v>35217</c:v>
                </c:pt>
                <c:pt idx="338">
                  <c:v>35247</c:v>
                </c:pt>
                <c:pt idx="339">
                  <c:v>35278</c:v>
                </c:pt>
                <c:pt idx="340">
                  <c:v>35309</c:v>
                </c:pt>
                <c:pt idx="341">
                  <c:v>35339</c:v>
                </c:pt>
                <c:pt idx="342">
                  <c:v>35370</c:v>
                </c:pt>
                <c:pt idx="343">
                  <c:v>35400</c:v>
                </c:pt>
                <c:pt idx="344">
                  <c:v>35431</c:v>
                </c:pt>
                <c:pt idx="345">
                  <c:v>35462</c:v>
                </c:pt>
                <c:pt idx="346">
                  <c:v>35490</c:v>
                </c:pt>
                <c:pt idx="347">
                  <c:v>35521</c:v>
                </c:pt>
                <c:pt idx="348">
                  <c:v>35551</c:v>
                </c:pt>
                <c:pt idx="349">
                  <c:v>35582</c:v>
                </c:pt>
                <c:pt idx="350">
                  <c:v>35612</c:v>
                </c:pt>
                <c:pt idx="351">
                  <c:v>35643</c:v>
                </c:pt>
                <c:pt idx="352">
                  <c:v>35674</c:v>
                </c:pt>
                <c:pt idx="353">
                  <c:v>35704</c:v>
                </c:pt>
                <c:pt idx="354">
                  <c:v>35735</c:v>
                </c:pt>
                <c:pt idx="355">
                  <c:v>35765</c:v>
                </c:pt>
                <c:pt idx="356">
                  <c:v>35796</c:v>
                </c:pt>
                <c:pt idx="357">
                  <c:v>35827</c:v>
                </c:pt>
                <c:pt idx="358">
                  <c:v>35855</c:v>
                </c:pt>
                <c:pt idx="359">
                  <c:v>35886</c:v>
                </c:pt>
                <c:pt idx="360">
                  <c:v>35916</c:v>
                </c:pt>
                <c:pt idx="361">
                  <c:v>35947</c:v>
                </c:pt>
                <c:pt idx="362">
                  <c:v>35977</c:v>
                </c:pt>
                <c:pt idx="363">
                  <c:v>36008</c:v>
                </c:pt>
                <c:pt idx="364">
                  <c:v>36039</c:v>
                </c:pt>
                <c:pt idx="365">
                  <c:v>36069</c:v>
                </c:pt>
                <c:pt idx="366">
                  <c:v>36100</c:v>
                </c:pt>
                <c:pt idx="367">
                  <c:v>36130</c:v>
                </c:pt>
                <c:pt idx="368">
                  <c:v>36161</c:v>
                </c:pt>
                <c:pt idx="369">
                  <c:v>36192</c:v>
                </c:pt>
                <c:pt idx="370">
                  <c:v>36220</c:v>
                </c:pt>
                <c:pt idx="371">
                  <c:v>36251</c:v>
                </c:pt>
                <c:pt idx="372">
                  <c:v>36281</c:v>
                </c:pt>
                <c:pt idx="373">
                  <c:v>36312</c:v>
                </c:pt>
                <c:pt idx="374">
                  <c:v>36342</c:v>
                </c:pt>
                <c:pt idx="375">
                  <c:v>36373</c:v>
                </c:pt>
                <c:pt idx="376">
                  <c:v>36404</c:v>
                </c:pt>
                <c:pt idx="377">
                  <c:v>36434</c:v>
                </c:pt>
                <c:pt idx="378">
                  <c:v>36465</c:v>
                </c:pt>
                <c:pt idx="379">
                  <c:v>36495</c:v>
                </c:pt>
                <c:pt idx="380">
                  <c:v>36526</c:v>
                </c:pt>
                <c:pt idx="381">
                  <c:v>36557</c:v>
                </c:pt>
                <c:pt idx="382">
                  <c:v>36586</c:v>
                </c:pt>
                <c:pt idx="383">
                  <c:v>36617</c:v>
                </c:pt>
                <c:pt idx="384">
                  <c:v>36647</c:v>
                </c:pt>
                <c:pt idx="385">
                  <c:v>36678</c:v>
                </c:pt>
                <c:pt idx="386">
                  <c:v>36708</c:v>
                </c:pt>
                <c:pt idx="387">
                  <c:v>36739</c:v>
                </c:pt>
                <c:pt idx="388">
                  <c:v>36770</c:v>
                </c:pt>
                <c:pt idx="389">
                  <c:v>36800</c:v>
                </c:pt>
                <c:pt idx="390">
                  <c:v>36831</c:v>
                </c:pt>
                <c:pt idx="391">
                  <c:v>36861</c:v>
                </c:pt>
                <c:pt idx="392">
                  <c:v>36892</c:v>
                </c:pt>
                <c:pt idx="393">
                  <c:v>36923</c:v>
                </c:pt>
                <c:pt idx="394">
                  <c:v>36951</c:v>
                </c:pt>
                <c:pt idx="395">
                  <c:v>36982</c:v>
                </c:pt>
                <c:pt idx="396">
                  <c:v>37012</c:v>
                </c:pt>
                <c:pt idx="397">
                  <c:v>37043</c:v>
                </c:pt>
                <c:pt idx="398">
                  <c:v>37073</c:v>
                </c:pt>
                <c:pt idx="399">
                  <c:v>37104</c:v>
                </c:pt>
                <c:pt idx="400">
                  <c:v>37135</c:v>
                </c:pt>
                <c:pt idx="401">
                  <c:v>37165</c:v>
                </c:pt>
                <c:pt idx="402">
                  <c:v>37196</c:v>
                </c:pt>
                <c:pt idx="403">
                  <c:v>37226</c:v>
                </c:pt>
                <c:pt idx="404">
                  <c:v>37257</c:v>
                </c:pt>
                <c:pt idx="405">
                  <c:v>37288</c:v>
                </c:pt>
                <c:pt idx="406">
                  <c:v>37316</c:v>
                </c:pt>
                <c:pt idx="407">
                  <c:v>37347</c:v>
                </c:pt>
                <c:pt idx="408">
                  <c:v>37377</c:v>
                </c:pt>
                <c:pt idx="409">
                  <c:v>37408</c:v>
                </c:pt>
                <c:pt idx="410">
                  <c:v>37438</c:v>
                </c:pt>
                <c:pt idx="411">
                  <c:v>37469</c:v>
                </c:pt>
                <c:pt idx="412">
                  <c:v>37500</c:v>
                </c:pt>
                <c:pt idx="413">
                  <c:v>37530</c:v>
                </c:pt>
                <c:pt idx="414">
                  <c:v>37561</c:v>
                </c:pt>
                <c:pt idx="415">
                  <c:v>37591</c:v>
                </c:pt>
                <c:pt idx="416">
                  <c:v>37622</c:v>
                </c:pt>
                <c:pt idx="417">
                  <c:v>37653</c:v>
                </c:pt>
                <c:pt idx="418">
                  <c:v>37681</c:v>
                </c:pt>
                <c:pt idx="419">
                  <c:v>37712</c:v>
                </c:pt>
                <c:pt idx="420">
                  <c:v>37742</c:v>
                </c:pt>
                <c:pt idx="421">
                  <c:v>37773</c:v>
                </c:pt>
                <c:pt idx="422">
                  <c:v>37803</c:v>
                </c:pt>
                <c:pt idx="423">
                  <c:v>37834</c:v>
                </c:pt>
                <c:pt idx="424">
                  <c:v>37865</c:v>
                </c:pt>
                <c:pt idx="425">
                  <c:v>37895</c:v>
                </c:pt>
                <c:pt idx="426">
                  <c:v>37926</c:v>
                </c:pt>
                <c:pt idx="427">
                  <c:v>37956</c:v>
                </c:pt>
                <c:pt idx="428">
                  <c:v>37987</c:v>
                </c:pt>
                <c:pt idx="429">
                  <c:v>38018</c:v>
                </c:pt>
                <c:pt idx="430">
                  <c:v>38047</c:v>
                </c:pt>
                <c:pt idx="431">
                  <c:v>38078</c:v>
                </c:pt>
                <c:pt idx="432">
                  <c:v>38108</c:v>
                </c:pt>
                <c:pt idx="433">
                  <c:v>38139</c:v>
                </c:pt>
                <c:pt idx="434">
                  <c:v>38169</c:v>
                </c:pt>
                <c:pt idx="435">
                  <c:v>38200</c:v>
                </c:pt>
                <c:pt idx="436">
                  <c:v>38231</c:v>
                </c:pt>
                <c:pt idx="437">
                  <c:v>38261</c:v>
                </c:pt>
                <c:pt idx="438">
                  <c:v>38292</c:v>
                </c:pt>
                <c:pt idx="439">
                  <c:v>38322</c:v>
                </c:pt>
                <c:pt idx="440">
                  <c:v>38353</c:v>
                </c:pt>
                <c:pt idx="441">
                  <c:v>38384</c:v>
                </c:pt>
                <c:pt idx="442">
                  <c:v>38412</c:v>
                </c:pt>
                <c:pt idx="443">
                  <c:v>38443</c:v>
                </c:pt>
                <c:pt idx="444">
                  <c:v>38473</c:v>
                </c:pt>
                <c:pt idx="445">
                  <c:v>38504</c:v>
                </c:pt>
                <c:pt idx="446">
                  <c:v>38534</c:v>
                </c:pt>
                <c:pt idx="447">
                  <c:v>38565</c:v>
                </c:pt>
                <c:pt idx="448">
                  <c:v>38596</c:v>
                </c:pt>
                <c:pt idx="449">
                  <c:v>38626</c:v>
                </c:pt>
                <c:pt idx="450">
                  <c:v>38657</c:v>
                </c:pt>
                <c:pt idx="451">
                  <c:v>38687</c:v>
                </c:pt>
                <c:pt idx="452">
                  <c:v>38718</c:v>
                </c:pt>
                <c:pt idx="453">
                  <c:v>38749</c:v>
                </c:pt>
                <c:pt idx="454">
                  <c:v>38777</c:v>
                </c:pt>
                <c:pt idx="455">
                  <c:v>38808</c:v>
                </c:pt>
                <c:pt idx="456">
                  <c:v>38838</c:v>
                </c:pt>
                <c:pt idx="457">
                  <c:v>38869</c:v>
                </c:pt>
                <c:pt idx="458">
                  <c:v>38899</c:v>
                </c:pt>
                <c:pt idx="459">
                  <c:v>38930</c:v>
                </c:pt>
                <c:pt idx="460">
                  <c:v>38961</c:v>
                </c:pt>
                <c:pt idx="461">
                  <c:v>38991</c:v>
                </c:pt>
                <c:pt idx="462">
                  <c:v>39022</c:v>
                </c:pt>
                <c:pt idx="463">
                  <c:v>39052</c:v>
                </c:pt>
                <c:pt idx="464">
                  <c:v>39083</c:v>
                </c:pt>
                <c:pt idx="465">
                  <c:v>39114</c:v>
                </c:pt>
                <c:pt idx="466">
                  <c:v>39142</c:v>
                </c:pt>
                <c:pt idx="467">
                  <c:v>39173</c:v>
                </c:pt>
                <c:pt idx="468">
                  <c:v>39203</c:v>
                </c:pt>
                <c:pt idx="469">
                  <c:v>39234</c:v>
                </c:pt>
                <c:pt idx="470">
                  <c:v>39264</c:v>
                </c:pt>
                <c:pt idx="471">
                  <c:v>39295</c:v>
                </c:pt>
                <c:pt idx="472">
                  <c:v>39326</c:v>
                </c:pt>
                <c:pt idx="473">
                  <c:v>39356</c:v>
                </c:pt>
                <c:pt idx="474">
                  <c:v>39387</c:v>
                </c:pt>
                <c:pt idx="475">
                  <c:v>39417</c:v>
                </c:pt>
                <c:pt idx="476">
                  <c:v>39448</c:v>
                </c:pt>
                <c:pt idx="477">
                  <c:v>39479</c:v>
                </c:pt>
                <c:pt idx="478">
                  <c:v>39508</c:v>
                </c:pt>
                <c:pt idx="479">
                  <c:v>39539</c:v>
                </c:pt>
                <c:pt idx="480">
                  <c:v>39569</c:v>
                </c:pt>
                <c:pt idx="481">
                  <c:v>39600</c:v>
                </c:pt>
                <c:pt idx="482">
                  <c:v>39630</c:v>
                </c:pt>
                <c:pt idx="483">
                  <c:v>39661</c:v>
                </c:pt>
                <c:pt idx="484">
                  <c:v>39692</c:v>
                </c:pt>
                <c:pt idx="485">
                  <c:v>39722</c:v>
                </c:pt>
                <c:pt idx="486">
                  <c:v>39753</c:v>
                </c:pt>
                <c:pt idx="487">
                  <c:v>39783</c:v>
                </c:pt>
                <c:pt idx="488">
                  <c:v>39814</c:v>
                </c:pt>
                <c:pt idx="489">
                  <c:v>39845</c:v>
                </c:pt>
                <c:pt idx="490">
                  <c:v>39873</c:v>
                </c:pt>
                <c:pt idx="491">
                  <c:v>39904</c:v>
                </c:pt>
                <c:pt idx="492">
                  <c:v>39934</c:v>
                </c:pt>
                <c:pt idx="493">
                  <c:v>39965</c:v>
                </c:pt>
                <c:pt idx="494">
                  <c:v>39995</c:v>
                </c:pt>
                <c:pt idx="495">
                  <c:v>40026</c:v>
                </c:pt>
                <c:pt idx="496">
                  <c:v>40057</c:v>
                </c:pt>
                <c:pt idx="497">
                  <c:v>40087</c:v>
                </c:pt>
                <c:pt idx="498">
                  <c:v>40118</c:v>
                </c:pt>
                <c:pt idx="499">
                  <c:v>40148</c:v>
                </c:pt>
                <c:pt idx="500">
                  <c:v>40179</c:v>
                </c:pt>
                <c:pt idx="501">
                  <c:v>40210</c:v>
                </c:pt>
                <c:pt idx="502">
                  <c:v>40238</c:v>
                </c:pt>
                <c:pt idx="503">
                  <c:v>40269</c:v>
                </c:pt>
                <c:pt idx="504">
                  <c:v>40299</c:v>
                </c:pt>
                <c:pt idx="505">
                  <c:v>40330</c:v>
                </c:pt>
                <c:pt idx="506">
                  <c:v>40360</c:v>
                </c:pt>
                <c:pt idx="507">
                  <c:v>40391</c:v>
                </c:pt>
                <c:pt idx="508">
                  <c:v>40422</c:v>
                </c:pt>
                <c:pt idx="509">
                  <c:v>40452</c:v>
                </c:pt>
                <c:pt idx="510">
                  <c:v>40483</c:v>
                </c:pt>
                <c:pt idx="511">
                  <c:v>40513</c:v>
                </c:pt>
                <c:pt idx="512">
                  <c:v>40544</c:v>
                </c:pt>
                <c:pt idx="513">
                  <c:v>40575</c:v>
                </c:pt>
                <c:pt idx="514">
                  <c:v>40603</c:v>
                </c:pt>
                <c:pt idx="515">
                  <c:v>40634</c:v>
                </c:pt>
                <c:pt idx="516">
                  <c:v>40664</c:v>
                </c:pt>
                <c:pt idx="517">
                  <c:v>40695</c:v>
                </c:pt>
                <c:pt idx="518">
                  <c:v>40725</c:v>
                </c:pt>
                <c:pt idx="519">
                  <c:v>40756</c:v>
                </c:pt>
                <c:pt idx="520">
                  <c:v>40787</c:v>
                </c:pt>
                <c:pt idx="521">
                  <c:v>40817</c:v>
                </c:pt>
                <c:pt idx="522">
                  <c:v>40848</c:v>
                </c:pt>
                <c:pt idx="523">
                  <c:v>40878</c:v>
                </c:pt>
                <c:pt idx="524">
                  <c:v>40909</c:v>
                </c:pt>
                <c:pt idx="525">
                  <c:v>40940</c:v>
                </c:pt>
                <c:pt idx="526">
                  <c:v>40969</c:v>
                </c:pt>
                <c:pt idx="527">
                  <c:v>41000</c:v>
                </c:pt>
                <c:pt idx="528">
                  <c:v>41030</c:v>
                </c:pt>
                <c:pt idx="529">
                  <c:v>41061</c:v>
                </c:pt>
                <c:pt idx="530">
                  <c:v>41091</c:v>
                </c:pt>
                <c:pt idx="531">
                  <c:v>41122</c:v>
                </c:pt>
                <c:pt idx="532">
                  <c:v>41153</c:v>
                </c:pt>
                <c:pt idx="533">
                  <c:v>41183</c:v>
                </c:pt>
                <c:pt idx="534">
                  <c:v>41214</c:v>
                </c:pt>
                <c:pt idx="535">
                  <c:v>41244</c:v>
                </c:pt>
                <c:pt idx="536">
                  <c:v>41275</c:v>
                </c:pt>
                <c:pt idx="537">
                  <c:v>41306</c:v>
                </c:pt>
                <c:pt idx="538">
                  <c:v>41334</c:v>
                </c:pt>
                <c:pt idx="539">
                  <c:v>41365</c:v>
                </c:pt>
                <c:pt idx="540">
                  <c:v>41395</c:v>
                </c:pt>
                <c:pt idx="541">
                  <c:v>41426</c:v>
                </c:pt>
                <c:pt idx="542">
                  <c:v>41456</c:v>
                </c:pt>
                <c:pt idx="543">
                  <c:v>41487</c:v>
                </c:pt>
                <c:pt idx="544">
                  <c:v>41518</c:v>
                </c:pt>
                <c:pt idx="545">
                  <c:v>41548</c:v>
                </c:pt>
                <c:pt idx="546">
                  <c:v>41579</c:v>
                </c:pt>
                <c:pt idx="547">
                  <c:v>41609</c:v>
                </c:pt>
                <c:pt idx="548">
                  <c:v>41640</c:v>
                </c:pt>
                <c:pt idx="549">
                  <c:v>41671</c:v>
                </c:pt>
                <c:pt idx="550">
                  <c:v>41699</c:v>
                </c:pt>
                <c:pt idx="551">
                  <c:v>41730</c:v>
                </c:pt>
                <c:pt idx="552">
                  <c:v>41760</c:v>
                </c:pt>
                <c:pt idx="553">
                  <c:v>41791</c:v>
                </c:pt>
                <c:pt idx="554">
                  <c:v>41821</c:v>
                </c:pt>
                <c:pt idx="555">
                  <c:v>41852</c:v>
                </c:pt>
                <c:pt idx="556">
                  <c:v>41883</c:v>
                </c:pt>
                <c:pt idx="557">
                  <c:v>41913</c:v>
                </c:pt>
                <c:pt idx="558">
                  <c:v>41944</c:v>
                </c:pt>
                <c:pt idx="559">
                  <c:v>41974</c:v>
                </c:pt>
                <c:pt idx="560">
                  <c:v>42005</c:v>
                </c:pt>
                <c:pt idx="561">
                  <c:v>42036</c:v>
                </c:pt>
                <c:pt idx="562">
                  <c:v>42064</c:v>
                </c:pt>
                <c:pt idx="563">
                  <c:v>42095</c:v>
                </c:pt>
                <c:pt idx="564">
                  <c:v>42125</c:v>
                </c:pt>
                <c:pt idx="565">
                  <c:v>42156</c:v>
                </c:pt>
                <c:pt idx="566">
                  <c:v>42186</c:v>
                </c:pt>
                <c:pt idx="567">
                  <c:v>42217</c:v>
                </c:pt>
                <c:pt idx="568">
                  <c:v>42248</c:v>
                </c:pt>
                <c:pt idx="569">
                  <c:v>42278</c:v>
                </c:pt>
                <c:pt idx="570">
                  <c:v>42309</c:v>
                </c:pt>
                <c:pt idx="571">
                  <c:v>42339</c:v>
                </c:pt>
                <c:pt idx="572">
                  <c:v>42370</c:v>
                </c:pt>
                <c:pt idx="573">
                  <c:v>42401</c:v>
                </c:pt>
                <c:pt idx="574">
                  <c:v>42430</c:v>
                </c:pt>
                <c:pt idx="575">
                  <c:v>42461</c:v>
                </c:pt>
                <c:pt idx="576">
                  <c:v>42491</c:v>
                </c:pt>
                <c:pt idx="577">
                  <c:v>42522</c:v>
                </c:pt>
                <c:pt idx="578">
                  <c:v>42552</c:v>
                </c:pt>
                <c:pt idx="579">
                  <c:v>42583</c:v>
                </c:pt>
                <c:pt idx="580">
                  <c:v>42614</c:v>
                </c:pt>
                <c:pt idx="581">
                  <c:v>42644</c:v>
                </c:pt>
                <c:pt idx="582">
                  <c:v>42675</c:v>
                </c:pt>
                <c:pt idx="583">
                  <c:v>42705</c:v>
                </c:pt>
                <c:pt idx="584">
                  <c:v>42736</c:v>
                </c:pt>
                <c:pt idx="585">
                  <c:v>42767</c:v>
                </c:pt>
                <c:pt idx="586">
                  <c:v>42795</c:v>
                </c:pt>
                <c:pt idx="587">
                  <c:v>42826</c:v>
                </c:pt>
                <c:pt idx="588">
                  <c:v>42856</c:v>
                </c:pt>
                <c:pt idx="589">
                  <c:v>42887</c:v>
                </c:pt>
                <c:pt idx="590">
                  <c:v>42917</c:v>
                </c:pt>
                <c:pt idx="591">
                  <c:v>42948</c:v>
                </c:pt>
                <c:pt idx="592">
                  <c:v>42979</c:v>
                </c:pt>
                <c:pt idx="593">
                  <c:v>43009</c:v>
                </c:pt>
                <c:pt idx="594">
                  <c:v>43040</c:v>
                </c:pt>
                <c:pt idx="595">
                  <c:v>43070</c:v>
                </c:pt>
                <c:pt idx="596">
                  <c:v>43101</c:v>
                </c:pt>
                <c:pt idx="597">
                  <c:v>43132</c:v>
                </c:pt>
                <c:pt idx="598">
                  <c:v>43160</c:v>
                </c:pt>
                <c:pt idx="599">
                  <c:v>43191</c:v>
                </c:pt>
                <c:pt idx="600">
                  <c:v>43221</c:v>
                </c:pt>
                <c:pt idx="601">
                  <c:v>43252</c:v>
                </c:pt>
                <c:pt idx="602">
                  <c:v>43282</c:v>
                </c:pt>
                <c:pt idx="603">
                  <c:v>43313</c:v>
                </c:pt>
                <c:pt idx="604">
                  <c:v>43344</c:v>
                </c:pt>
                <c:pt idx="605">
                  <c:v>43374</c:v>
                </c:pt>
                <c:pt idx="606">
                  <c:v>43405</c:v>
                </c:pt>
                <c:pt idx="607">
                  <c:v>43435</c:v>
                </c:pt>
                <c:pt idx="608">
                  <c:v>43466</c:v>
                </c:pt>
                <c:pt idx="609">
                  <c:v>43497</c:v>
                </c:pt>
                <c:pt idx="610">
                  <c:v>43525</c:v>
                </c:pt>
                <c:pt idx="611">
                  <c:v>43556</c:v>
                </c:pt>
                <c:pt idx="612">
                  <c:v>43586</c:v>
                </c:pt>
                <c:pt idx="613">
                  <c:v>43617</c:v>
                </c:pt>
                <c:pt idx="614">
                  <c:v>43647</c:v>
                </c:pt>
                <c:pt idx="615">
                  <c:v>43678</c:v>
                </c:pt>
                <c:pt idx="616">
                  <c:v>43709</c:v>
                </c:pt>
                <c:pt idx="617">
                  <c:v>43739</c:v>
                </c:pt>
                <c:pt idx="618">
                  <c:v>43770</c:v>
                </c:pt>
                <c:pt idx="619">
                  <c:v>43800</c:v>
                </c:pt>
                <c:pt idx="620">
                  <c:v>43831</c:v>
                </c:pt>
                <c:pt idx="621">
                  <c:v>43862</c:v>
                </c:pt>
                <c:pt idx="622">
                  <c:v>43891</c:v>
                </c:pt>
                <c:pt idx="623">
                  <c:v>43922</c:v>
                </c:pt>
                <c:pt idx="624">
                  <c:v>43952</c:v>
                </c:pt>
                <c:pt idx="625">
                  <c:v>43983</c:v>
                </c:pt>
                <c:pt idx="626">
                  <c:v>44013</c:v>
                </c:pt>
                <c:pt idx="627">
                  <c:v>44044</c:v>
                </c:pt>
                <c:pt idx="628">
                  <c:v>44075</c:v>
                </c:pt>
                <c:pt idx="629">
                  <c:v>44105</c:v>
                </c:pt>
                <c:pt idx="630">
                  <c:v>44136</c:v>
                </c:pt>
                <c:pt idx="631">
                  <c:v>44166</c:v>
                </c:pt>
                <c:pt idx="632">
                  <c:v>44197</c:v>
                </c:pt>
                <c:pt idx="633">
                  <c:v>44228</c:v>
                </c:pt>
                <c:pt idx="634">
                  <c:v>44256</c:v>
                </c:pt>
                <c:pt idx="635">
                  <c:v>44287</c:v>
                </c:pt>
                <c:pt idx="636">
                  <c:v>44317</c:v>
                </c:pt>
                <c:pt idx="637">
                  <c:v>44348</c:v>
                </c:pt>
                <c:pt idx="638">
                  <c:v>44378</c:v>
                </c:pt>
                <c:pt idx="639">
                  <c:v>44409</c:v>
                </c:pt>
                <c:pt idx="640">
                  <c:v>44440</c:v>
                </c:pt>
                <c:pt idx="641">
                  <c:v>44470</c:v>
                </c:pt>
                <c:pt idx="642">
                  <c:v>44501</c:v>
                </c:pt>
                <c:pt idx="643">
                  <c:v>44531</c:v>
                </c:pt>
                <c:pt idx="644">
                  <c:v>44562</c:v>
                </c:pt>
                <c:pt idx="645">
                  <c:v>44593</c:v>
                </c:pt>
                <c:pt idx="646">
                  <c:v>44621</c:v>
                </c:pt>
                <c:pt idx="647">
                  <c:v>44652</c:v>
                </c:pt>
                <c:pt idx="648">
                  <c:v>44682</c:v>
                </c:pt>
                <c:pt idx="649">
                  <c:v>44713</c:v>
                </c:pt>
                <c:pt idx="650">
                  <c:v>44743</c:v>
                </c:pt>
                <c:pt idx="651">
                  <c:v>44774</c:v>
                </c:pt>
                <c:pt idx="652">
                  <c:v>44805</c:v>
                </c:pt>
                <c:pt idx="653">
                  <c:v>44835</c:v>
                </c:pt>
                <c:pt idx="654">
                  <c:v>44866</c:v>
                </c:pt>
                <c:pt idx="655">
                  <c:v>44896</c:v>
                </c:pt>
                <c:pt idx="656">
                  <c:v>44927</c:v>
                </c:pt>
                <c:pt idx="657">
                  <c:v>44958</c:v>
                </c:pt>
                <c:pt idx="658">
                  <c:v>44986</c:v>
                </c:pt>
                <c:pt idx="659">
                  <c:v>45017</c:v>
                </c:pt>
                <c:pt idx="660">
                  <c:v>45047</c:v>
                </c:pt>
                <c:pt idx="661">
                  <c:v>45078</c:v>
                </c:pt>
                <c:pt idx="662">
                  <c:v>45108</c:v>
                </c:pt>
                <c:pt idx="663">
                  <c:v>45139</c:v>
                </c:pt>
                <c:pt idx="664">
                  <c:v>45170</c:v>
                </c:pt>
                <c:pt idx="665">
                  <c:v>45200</c:v>
                </c:pt>
                <c:pt idx="666">
                  <c:v>45231</c:v>
                </c:pt>
                <c:pt idx="667">
                  <c:v>45261</c:v>
                </c:pt>
                <c:pt idx="668">
                  <c:v>45292</c:v>
                </c:pt>
                <c:pt idx="669">
                  <c:v>45323</c:v>
                </c:pt>
                <c:pt idx="670">
                  <c:v>45352</c:v>
                </c:pt>
                <c:pt idx="671">
                  <c:v>45383</c:v>
                </c:pt>
                <c:pt idx="672">
                  <c:v>45413</c:v>
                </c:pt>
                <c:pt idx="673">
                  <c:v>45444</c:v>
                </c:pt>
                <c:pt idx="674">
                  <c:v>45474</c:v>
                </c:pt>
                <c:pt idx="675">
                  <c:v>45505</c:v>
                </c:pt>
                <c:pt idx="676">
                  <c:v>45536</c:v>
                </c:pt>
                <c:pt idx="677">
                  <c:v>45566</c:v>
                </c:pt>
                <c:pt idx="678">
                  <c:v>45597</c:v>
                </c:pt>
                <c:pt idx="679">
                  <c:v>45627</c:v>
                </c:pt>
                <c:pt idx="680">
                  <c:v>45658</c:v>
                </c:pt>
                <c:pt idx="681">
                  <c:v>45689</c:v>
                </c:pt>
                <c:pt idx="682">
                  <c:v>45717</c:v>
                </c:pt>
                <c:pt idx="683">
                  <c:v>45748</c:v>
                </c:pt>
                <c:pt idx="684">
                  <c:v>45778</c:v>
                </c:pt>
                <c:pt idx="685">
                  <c:v>45809</c:v>
                </c:pt>
                <c:pt idx="686">
                  <c:v>45839</c:v>
                </c:pt>
                <c:pt idx="687">
                  <c:v>45870</c:v>
                </c:pt>
                <c:pt idx="688">
                  <c:v>45901</c:v>
                </c:pt>
                <c:pt idx="689">
                  <c:v>45931</c:v>
                </c:pt>
                <c:pt idx="690">
                  <c:v>45962</c:v>
                </c:pt>
                <c:pt idx="691">
                  <c:v>45992</c:v>
                </c:pt>
                <c:pt idx="692">
                  <c:v>46023</c:v>
                </c:pt>
                <c:pt idx="693">
                  <c:v>46054</c:v>
                </c:pt>
                <c:pt idx="694">
                  <c:v>46082</c:v>
                </c:pt>
                <c:pt idx="695">
                  <c:v>46113</c:v>
                </c:pt>
                <c:pt idx="696">
                  <c:v>46143</c:v>
                </c:pt>
                <c:pt idx="697">
                  <c:v>46174</c:v>
                </c:pt>
                <c:pt idx="698">
                  <c:v>46204</c:v>
                </c:pt>
              </c:numCache>
            </c:numRef>
          </c:cat>
          <c:val>
            <c:numRef>
              <c:f>PHILLY!$B$5:$B$703</c:f>
              <c:numCache>
                <c:formatCode>0.0</c:formatCode>
                <c:ptCount val="699"/>
                <c:pt idx="0">
                  <c:v>32.200000000000003</c:v>
                </c:pt>
                <c:pt idx="1">
                  <c:v>18.399999999999999</c:v>
                </c:pt>
                <c:pt idx="2">
                  <c:v>33.299999999999997</c:v>
                </c:pt>
                <c:pt idx="3">
                  <c:v>-3.9</c:v>
                </c:pt>
                <c:pt idx="4">
                  <c:v>9.5</c:v>
                </c:pt>
                <c:pt idx="5">
                  <c:v>6.8</c:v>
                </c:pt>
                <c:pt idx="6">
                  <c:v>13.2</c:v>
                </c:pt>
                <c:pt idx="7">
                  <c:v>23.5</c:v>
                </c:pt>
                <c:pt idx="8">
                  <c:v>-11.3</c:v>
                </c:pt>
                <c:pt idx="9">
                  <c:v>16.8</c:v>
                </c:pt>
                <c:pt idx="10">
                  <c:v>27.8</c:v>
                </c:pt>
                <c:pt idx="11">
                  <c:v>18.100000000000001</c:v>
                </c:pt>
                <c:pt idx="12">
                  <c:v>12.7</c:v>
                </c:pt>
                <c:pt idx="13">
                  <c:v>18.5</c:v>
                </c:pt>
                <c:pt idx="14">
                  <c:v>-1.1000000000000001</c:v>
                </c:pt>
                <c:pt idx="15">
                  <c:v>8</c:v>
                </c:pt>
                <c:pt idx="16">
                  <c:v>-1.6</c:v>
                </c:pt>
                <c:pt idx="17">
                  <c:v>12.1</c:v>
                </c:pt>
                <c:pt idx="18">
                  <c:v>-3.4</c:v>
                </c:pt>
                <c:pt idx="19">
                  <c:v>-7.9</c:v>
                </c:pt>
                <c:pt idx="20">
                  <c:v>-13.1</c:v>
                </c:pt>
                <c:pt idx="21">
                  <c:v>-18.100000000000001</c:v>
                </c:pt>
                <c:pt idx="22">
                  <c:v>-31.2</c:v>
                </c:pt>
                <c:pt idx="23">
                  <c:v>-16.899999999999999</c:v>
                </c:pt>
                <c:pt idx="24">
                  <c:v>-21.5</c:v>
                </c:pt>
                <c:pt idx="25">
                  <c:v>-8.4</c:v>
                </c:pt>
                <c:pt idx="26">
                  <c:v>7</c:v>
                </c:pt>
                <c:pt idx="27">
                  <c:v>6.9</c:v>
                </c:pt>
                <c:pt idx="28">
                  <c:v>14</c:v>
                </c:pt>
                <c:pt idx="29">
                  <c:v>3.7</c:v>
                </c:pt>
                <c:pt idx="30">
                  <c:v>6.4</c:v>
                </c:pt>
                <c:pt idx="31">
                  <c:v>10.199999999999999</c:v>
                </c:pt>
                <c:pt idx="32">
                  <c:v>28.9</c:v>
                </c:pt>
                <c:pt idx="33">
                  <c:v>39</c:v>
                </c:pt>
                <c:pt idx="34">
                  <c:v>33.299999999999997</c:v>
                </c:pt>
                <c:pt idx="35">
                  <c:v>37.4</c:v>
                </c:pt>
                <c:pt idx="36">
                  <c:v>39.200000000000003</c:v>
                </c:pt>
                <c:pt idx="37">
                  <c:v>31.3</c:v>
                </c:pt>
                <c:pt idx="38">
                  <c:v>25.5</c:v>
                </c:pt>
                <c:pt idx="39">
                  <c:v>22.8</c:v>
                </c:pt>
                <c:pt idx="40">
                  <c:v>35.9</c:v>
                </c:pt>
                <c:pt idx="41">
                  <c:v>39.299999999999997</c:v>
                </c:pt>
                <c:pt idx="42">
                  <c:v>32.1</c:v>
                </c:pt>
                <c:pt idx="43">
                  <c:v>30.4</c:v>
                </c:pt>
                <c:pt idx="44">
                  <c:v>34.200000000000003</c:v>
                </c:pt>
                <c:pt idx="45">
                  <c:v>30.9</c:v>
                </c:pt>
                <c:pt idx="46">
                  <c:v>39.5</c:v>
                </c:pt>
                <c:pt idx="47">
                  <c:v>28.2</c:v>
                </c:pt>
                <c:pt idx="48">
                  <c:v>35.799999999999997</c:v>
                </c:pt>
                <c:pt idx="49">
                  <c:v>34.1</c:v>
                </c:pt>
                <c:pt idx="50">
                  <c:v>33.1</c:v>
                </c:pt>
                <c:pt idx="51">
                  <c:v>35.200000000000003</c:v>
                </c:pt>
                <c:pt idx="52">
                  <c:v>32.9</c:v>
                </c:pt>
                <c:pt idx="53">
                  <c:v>39.200000000000003</c:v>
                </c:pt>
                <c:pt idx="54">
                  <c:v>47.2</c:v>
                </c:pt>
                <c:pt idx="55">
                  <c:v>49.1</c:v>
                </c:pt>
                <c:pt idx="56">
                  <c:v>47.8</c:v>
                </c:pt>
                <c:pt idx="57">
                  <c:v>40.5</c:v>
                </c:pt>
                <c:pt idx="58">
                  <c:v>58.5</c:v>
                </c:pt>
                <c:pt idx="59">
                  <c:v>53.6</c:v>
                </c:pt>
                <c:pt idx="60">
                  <c:v>36.6</c:v>
                </c:pt>
                <c:pt idx="61">
                  <c:v>30.4</c:v>
                </c:pt>
                <c:pt idx="62">
                  <c:v>24.8</c:v>
                </c:pt>
                <c:pt idx="63">
                  <c:v>18.5</c:v>
                </c:pt>
                <c:pt idx="64">
                  <c:v>-0.3</c:v>
                </c:pt>
                <c:pt idx="65">
                  <c:v>9.8000000000000007</c:v>
                </c:pt>
                <c:pt idx="66">
                  <c:v>15.4</c:v>
                </c:pt>
                <c:pt idx="67">
                  <c:v>8</c:v>
                </c:pt>
                <c:pt idx="68">
                  <c:v>-12.9</c:v>
                </c:pt>
                <c:pt idx="69">
                  <c:v>-13.2</c:v>
                </c:pt>
                <c:pt idx="70">
                  <c:v>-12.5</c:v>
                </c:pt>
                <c:pt idx="71">
                  <c:v>-11.9</c:v>
                </c:pt>
                <c:pt idx="72">
                  <c:v>-9.1999999999999993</c:v>
                </c:pt>
                <c:pt idx="73">
                  <c:v>-8.6999999999999993</c:v>
                </c:pt>
                <c:pt idx="74">
                  <c:v>-8.4</c:v>
                </c:pt>
                <c:pt idx="75">
                  <c:v>-16.899999999999999</c:v>
                </c:pt>
                <c:pt idx="76">
                  <c:v>-7.4</c:v>
                </c:pt>
                <c:pt idx="77">
                  <c:v>-26.1</c:v>
                </c:pt>
                <c:pt idx="78">
                  <c:v>-31.8</c:v>
                </c:pt>
                <c:pt idx="79">
                  <c:v>-57.9</c:v>
                </c:pt>
                <c:pt idx="80">
                  <c:v>-44.7</c:v>
                </c:pt>
                <c:pt idx="81">
                  <c:v>-25.5</c:v>
                </c:pt>
                <c:pt idx="82">
                  <c:v>-28.4</c:v>
                </c:pt>
                <c:pt idx="83">
                  <c:v>-28.1</c:v>
                </c:pt>
                <c:pt idx="84">
                  <c:v>-18.3</c:v>
                </c:pt>
                <c:pt idx="85">
                  <c:v>-6.4</c:v>
                </c:pt>
                <c:pt idx="86">
                  <c:v>13.7</c:v>
                </c:pt>
                <c:pt idx="87">
                  <c:v>28</c:v>
                </c:pt>
                <c:pt idx="88">
                  <c:v>32.6</c:v>
                </c:pt>
                <c:pt idx="89">
                  <c:v>35.299999999999997</c:v>
                </c:pt>
                <c:pt idx="90">
                  <c:v>44.2</c:v>
                </c:pt>
                <c:pt idx="91">
                  <c:v>33.1</c:v>
                </c:pt>
                <c:pt idx="92">
                  <c:v>10.8</c:v>
                </c:pt>
                <c:pt idx="93">
                  <c:v>20.7</c:v>
                </c:pt>
                <c:pt idx="94">
                  <c:v>36.200000000000003</c:v>
                </c:pt>
                <c:pt idx="95">
                  <c:v>43.2</c:v>
                </c:pt>
                <c:pt idx="96">
                  <c:v>37.700000000000003</c:v>
                </c:pt>
                <c:pt idx="97">
                  <c:v>32.700000000000003</c:v>
                </c:pt>
                <c:pt idx="98">
                  <c:v>28</c:v>
                </c:pt>
                <c:pt idx="99">
                  <c:v>19.600000000000001</c:v>
                </c:pt>
                <c:pt idx="100">
                  <c:v>22.1</c:v>
                </c:pt>
                <c:pt idx="101">
                  <c:v>22.2</c:v>
                </c:pt>
                <c:pt idx="102">
                  <c:v>13.8</c:v>
                </c:pt>
                <c:pt idx="103">
                  <c:v>13.6</c:v>
                </c:pt>
                <c:pt idx="104">
                  <c:v>31.5</c:v>
                </c:pt>
                <c:pt idx="105">
                  <c:v>34.9</c:v>
                </c:pt>
                <c:pt idx="106">
                  <c:v>33.200000000000003</c:v>
                </c:pt>
                <c:pt idx="107">
                  <c:v>44.4</c:v>
                </c:pt>
                <c:pt idx="108">
                  <c:v>30.3</c:v>
                </c:pt>
                <c:pt idx="109">
                  <c:v>27.6</c:v>
                </c:pt>
                <c:pt idx="110">
                  <c:v>21.5</c:v>
                </c:pt>
                <c:pt idx="111">
                  <c:v>20.100000000000001</c:v>
                </c:pt>
                <c:pt idx="112">
                  <c:v>11.2</c:v>
                </c:pt>
                <c:pt idx="113">
                  <c:v>15.9</c:v>
                </c:pt>
                <c:pt idx="114">
                  <c:v>18.2</c:v>
                </c:pt>
                <c:pt idx="115">
                  <c:v>30.6</c:v>
                </c:pt>
                <c:pt idx="116">
                  <c:v>20.6</c:v>
                </c:pt>
                <c:pt idx="117">
                  <c:v>11.3</c:v>
                </c:pt>
                <c:pt idx="118">
                  <c:v>8.9</c:v>
                </c:pt>
                <c:pt idx="119">
                  <c:v>18.399999999999999</c:v>
                </c:pt>
                <c:pt idx="120">
                  <c:v>27.6</c:v>
                </c:pt>
                <c:pt idx="121">
                  <c:v>23.2</c:v>
                </c:pt>
                <c:pt idx="122">
                  <c:v>17.899999999999999</c:v>
                </c:pt>
                <c:pt idx="123">
                  <c:v>27.7</c:v>
                </c:pt>
                <c:pt idx="124">
                  <c:v>17.899999999999999</c:v>
                </c:pt>
                <c:pt idx="125">
                  <c:v>21</c:v>
                </c:pt>
                <c:pt idx="126">
                  <c:v>14.4</c:v>
                </c:pt>
                <c:pt idx="127">
                  <c:v>8.5</c:v>
                </c:pt>
                <c:pt idx="128">
                  <c:v>4.0999999999999996</c:v>
                </c:pt>
                <c:pt idx="129">
                  <c:v>-1.5</c:v>
                </c:pt>
                <c:pt idx="130">
                  <c:v>5.8</c:v>
                </c:pt>
                <c:pt idx="131">
                  <c:v>-3.4</c:v>
                </c:pt>
                <c:pt idx="132">
                  <c:v>-1.6</c:v>
                </c:pt>
                <c:pt idx="133">
                  <c:v>-4.2</c:v>
                </c:pt>
                <c:pt idx="134">
                  <c:v>-13.2</c:v>
                </c:pt>
                <c:pt idx="135">
                  <c:v>-17.8</c:v>
                </c:pt>
                <c:pt idx="136">
                  <c:v>-24.4</c:v>
                </c:pt>
                <c:pt idx="137">
                  <c:v>-28.6</c:v>
                </c:pt>
                <c:pt idx="138">
                  <c:v>-20.100000000000001</c:v>
                </c:pt>
                <c:pt idx="139">
                  <c:v>-15.6</c:v>
                </c:pt>
                <c:pt idx="140">
                  <c:v>-18.399999999999999</c:v>
                </c:pt>
                <c:pt idx="141">
                  <c:v>-20.9</c:v>
                </c:pt>
                <c:pt idx="142">
                  <c:v>-19.5</c:v>
                </c:pt>
                <c:pt idx="143">
                  <c:v>-37.1</c:v>
                </c:pt>
                <c:pt idx="144">
                  <c:v>-53.4</c:v>
                </c:pt>
                <c:pt idx="145">
                  <c:v>-54.3</c:v>
                </c:pt>
                <c:pt idx="146">
                  <c:v>-57.1</c:v>
                </c:pt>
                <c:pt idx="147">
                  <c:v>-39.4</c:v>
                </c:pt>
                <c:pt idx="148">
                  <c:v>-10.3</c:v>
                </c:pt>
                <c:pt idx="149">
                  <c:v>24.7</c:v>
                </c:pt>
                <c:pt idx="150">
                  <c:v>9</c:v>
                </c:pt>
                <c:pt idx="151">
                  <c:v>7.4</c:v>
                </c:pt>
                <c:pt idx="152">
                  <c:v>2.1</c:v>
                </c:pt>
                <c:pt idx="153">
                  <c:v>5.2</c:v>
                </c:pt>
                <c:pt idx="154">
                  <c:v>8</c:v>
                </c:pt>
                <c:pt idx="155">
                  <c:v>-1.2</c:v>
                </c:pt>
                <c:pt idx="156">
                  <c:v>9.1</c:v>
                </c:pt>
                <c:pt idx="157">
                  <c:v>-2.1</c:v>
                </c:pt>
                <c:pt idx="158">
                  <c:v>5.5</c:v>
                </c:pt>
                <c:pt idx="159">
                  <c:v>16.8</c:v>
                </c:pt>
                <c:pt idx="160">
                  <c:v>7.5</c:v>
                </c:pt>
                <c:pt idx="161">
                  <c:v>-13.2</c:v>
                </c:pt>
                <c:pt idx="162">
                  <c:v>-25.7</c:v>
                </c:pt>
                <c:pt idx="163">
                  <c:v>-34.5</c:v>
                </c:pt>
                <c:pt idx="164">
                  <c:v>-19.899999999999999</c:v>
                </c:pt>
                <c:pt idx="165">
                  <c:v>-15.4</c:v>
                </c:pt>
                <c:pt idx="166">
                  <c:v>-15.7</c:v>
                </c:pt>
                <c:pt idx="167">
                  <c:v>-3.2</c:v>
                </c:pt>
                <c:pt idx="168">
                  <c:v>-4.5999999999999996</c:v>
                </c:pt>
                <c:pt idx="169">
                  <c:v>2.2000000000000002</c:v>
                </c:pt>
                <c:pt idx="170">
                  <c:v>2.8</c:v>
                </c:pt>
                <c:pt idx="171">
                  <c:v>-3.2</c:v>
                </c:pt>
                <c:pt idx="172">
                  <c:v>-13.6</c:v>
                </c:pt>
                <c:pt idx="173">
                  <c:v>10.9</c:v>
                </c:pt>
                <c:pt idx="174">
                  <c:v>2.2999999999999998</c:v>
                </c:pt>
                <c:pt idx="175">
                  <c:v>14.7</c:v>
                </c:pt>
                <c:pt idx="176">
                  <c:v>12.5</c:v>
                </c:pt>
                <c:pt idx="177">
                  <c:v>20.2</c:v>
                </c:pt>
                <c:pt idx="178">
                  <c:v>32.6</c:v>
                </c:pt>
                <c:pt idx="179">
                  <c:v>37.200000000000003</c:v>
                </c:pt>
                <c:pt idx="180">
                  <c:v>37.6</c:v>
                </c:pt>
                <c:pt idx="181">
                  <c:v>42.3</c:v>
                </c:pt>
                <c:pt idx="182">
                  <c:v>49.5</c:v>
                </c:pt>
                <c:pt idx="183">
                  <c:v>41.5</c:v>
                </c:pt>
                <c:pt idx="184">
                  <c:v>40.700000000000003</c:v>
                </c:pt>
                <c:pt idx="185">
                  <c:v>35.4</c:v>
                </c:pt>
                <c:pt idx="186">
                  <c:v>45.1</c:v>
                </c:pt>
                <c:pt idx="187">
                  <c:v>41</c:v>
                </c:pt>
                <c:pt idx="188">
                  <c:v>47</c:v>
                </c:pt>
                <c:pt idx="189">
                  <c:v>25.8</c:v>
                </c:pt>
                <c:pt idx="190">
                  <c:v>35</c:v>
                </c:pt>
                <c:pt idx="191">
                  <c:v>36.9</c:v>
                </c:pt>
                <c:pt idx="192">
                  <c:v>31.7</c:v>
                </c:pt>
                <c:pt idx="193">
                  <c:v>27.7</c:v>
                </c:pt>
                <c:pt idx="194">
                  <c:v>1.4</c:v>
                </c:pt>
                <c:pt idx="195">
                  <c:v>23.7</c:v>
                </c:pt>
                <c:pt idx="196">
                  <c:v>22.3</c:v>
                </c:pt>
                <c:pt idx="197">
                  <c:v>15.4</c:v>
                </c:pt>
                <c:pt idx="198">
                  <c:v>2.7</c:v>
                </c:pt>
                <c:pt idx="199">
                  <c:v>2.1</c:v>
                </c:pt>
                <c:pt idx="200">
                  <c:v>5.5</c:v>
                </c:pt>
                <c:pt idx="201">
                  <c:v>10.9</c:v>
                </c:pt>
                <c:pt idx="202">
                  <c:v>30.9</c:v>
                </c:pt>
                <c:pt idx="203">
                  <c:v>10</c:v>
                </c:pt>
                <c:pt idx="204">
                  <c:v>8</c:v>
                </c:pt>
                <c:pt idx="205">
                  <c:v>-2.4</c:v>
                </c:pt>
                <c:pt idx="206">
                  <c:v>11.5</c:v>
                </c:pt>
                <c:pt idx="207">
                  <c:v>6.9</c:v>
                </c:pt>
                <c:pt idx="208">
                  <c:v>2.2999999999999998</c:v>
                </c:pt>
                <c:pt idx="209">
                  <c:v>6.3</c:v>
                </c:pt>
                <c:pt idx="210">
                  <c:v>19.7</c:v>
                </c:pt>
                <c:pt idx="211">
                  <c:v>13.4</c:v>
                </c:pt>
                <c:pt idx="212">
                  <c:v>22.4</c:v>
                </c:pt>
                <c:pt idx="213">
                  <c:v>19.8</c:v>
                </c:pt>
                <c:pt idx="214">
                  <c:v>14</c:v>
                </c:pt>
                <c:pt idx="215">
                  <c:v>3.2</c:v>
                </c:pt>
                <c:pt idx="216">
                  <c:v>1.9</c:v>
                </c:pt>
                <c:pt idx="217">
                  <c:v>2.8</c:v>
                </c:pt>
                <c:pt idx="218">
                  <c:v>11.8</c:v>
                </c:pt>
                <c:pt idx="219">
                  <c:v>6.8</c:v>
                </c:pt>
                <c:pt idx="220">
                  <c:v>10.6</c:v>
                </c:pt>
                <c:pt idx="221">
                  <c:v>9.1</c:v>
                </c:pt>
                <c:pt idx="222">
                  <c:v>16.399999999999999</c:v>
                </c:pt>
                <c:pt idx="223">
                  <c:v>22.8</c:v>
                </c:pt>
                <c:pt idx="224">
                  <c:v>5.8</c:v>
                </c:pt>
                <c:pt idx="225">
                  <c:v>9.3000000000000007</c:v>
                </c:pt>
                <c:pt idx="226">
                  <c:v>5.6</c:v>
                </c:pt>
                <c:pt idx="227">
                  <c:v>14.3</c:v>
                </c:pt>
                <c:pt idx="228">
                  <c:v>19.7</c:v>
                </c:pt>
                <c:pt idx="229">
                  <c:v>13</c:v>
                </c:pt>
                <c:pt idx="230">
                  <c:v>15.5</c:v>
                </c:pt>
                <c:pt idx="231">
                  <c:v>30.1</c:v>
                </c:pt>
                <c:pt idx="232">
                  <c:v>26.3</c:v>
                </c:pt>
                <c:pt idx="233">
                  <c:v>27.2</c:v>
                </c:pt>
                <c:pt idx="234">
                  <c:v>11.8</c:v>
                </c:pt>
                <c:pt idx="235">
                  <c:v>29.8</c:v>
                </c:pt>
                <c:pt idx="236">
                  <c:v>3.5</c:v>
                </c:pt>
                <c:pt idx="237">
                  <c:v>18.3</c:v>
                </c:pt>
                <c:pt idx="238">
                  <c:v>12.8</c:v>
                </c:pt>
                <c:pt idx="239">
                  <c:v>26.8</c:v>
                </c:pt>
                <c:pt idx="240">
                  <c:v>17.8</c:v>
                </c:pt>
                <c:pt idx="241">
                  <c:v>17.399999999999999</c:v>
                </c:pt>
                <c:pt idx="242">
                  <c:v>23.7</c:v>
                </c:pt>
                <c:pt idx="243">
                  <c:v>15.2</c:v>
                </c:pt>
                <c:pt idx="244">
                  <c:v>25.6</c:v>
                </c:pt>
                <c:pt idx="245">
                  <c:v>27.2</c:v>
                </c:pt>
                <c:pt idx="246">
                  <c:v>27.2</c:v>
                </c:pt>
                <c:pt idx="247">
                  <c:v>22.7</c:v>
                </c:pt>
                <c:pt idx="248">
                  <c:v>28.2</c:v>
                </c:pt>
                <c:pt idx="249">
                  <c:v>20.100000000000001</c:v>
                </c:pt>
                <c:pt idx="250">
                  <c:v>18</c:v>
                </c:pt>
                <c:pt idx="251">
                  <c:v>4.0999999999999996</c:v>
                </c:pt>
                <c:pt idx="252">
                  <c:v>-10.199999999999999</c:v>
                </c:pt>
                <c:pt idx="253">
                  <c:v>-7.6</c:v>
                </c:pt>
                <c:pt idx="254">
                  <c:v>-16.899999999999999</c:v>
                </c:pt>
                <c:pt idx="255">
                  <c:v>-9.5</c:v>
                </c:pt>
                <c:pt idx="256">
                  <c:v>-5.4</c:v>
                </c:pt>
                <c:pt idx="257">
                  <c:v>-7</c:v>
                </c:pt>
                <c:pt idx="258">
                  <c:v>-4.2</c:v>
                </c:pt>
                <c:pt idx="259">
                  <c:v>-2.1</c:v>
                </c:pt>
                <c:pt idx="260">
                  <c:v>-7.5</c:v>
                </c:pt>
                <c:pt idx="261">
                  <c:v>-22.1</c:v>
                </c:pt>
                <c:pt idx="262">
                  <c:v>-21.8</c:v>
                </c:pt>
                <c:pt idx="263">
                  <c:v>-9</c:v>
                </c:pt>
                <c:pt idx="264">
                  <c:v>-16.5</c:v>
                </c:pt>
                <c:pt idx="265">
                  <c:v>-8.6</c:v>
                </c:pt>
                <c:pt idx="266">
                  <c:v>-18.100000000000001</c:v>
                </c:pt>
                <c:pt idx="267">
                  <c:v>-18.2</c:v>
                </c:pt>
                <c:pt idx="268">
                  <c:v>-43.4</c:v>
                </c:pt>
                <c:pt idx="269">
                  <c:v>-48.2</c:v>
                </c:pt>
                <c:pt idx="270">
                  <c:v>-27.1</c:v>
                </c:pt>
                <c:pt idx="271">
                  <c:v>-37.1</c:v>
                </c:pt>
                <c:pt idx="272">
                  <c:v>-32</c:v>
                </c:pt>
                <c:pt idx="273">
                  <c:v>-22.1</c:v>
                </c:pt>
                <c:pt idx="274">
                  <c:v>-11.6</c:v>
                </c:pt>
                <c:pt idx="275">
                  <c:v>-6.5</c:v>
                </c:pt>
                <c:pt idx="276">
                  <c:v>3.9</c:v>
                </c:pt>
                <c:pt idx="277">
                  <c:v>13</c:v>
                </c:pt>
                <c:pt idx="278">
                  <c:v>19.899999999999999</c:v>
                </c:pt>
                <c:pt idx="279">
                  <c:v>27</c:v>
                </c:pt>
                <c:pt idx="280">
                  <c:v>20</c:v>
                </c:pt>
                <c:pt idx="281">
                  <c:v>9.5</c:v>
                </c:pt>
                <c:pt idx="282">
                  <c:v>1.3</c:v>
                </c:pt>
                <c:pt idx="283">
                  <c:v>-18.8</c:v>
                </c:pt>
                <c:pt idx="284">
                  <c:v>-2.2000000000000002</c:v>
                </c:pt>
                <c:pt idx="285">
                  <c:v>0.6</c:v>
                </c:pt>
                <c:pt idx="286">
                  <c:v>15</c:v>
                </c:pt>
                <c:pt idx="287">
                  <c:v>20</c:v>
                </c:pt>
                <c:pt idx="288">
                  <c:v>17</c:v>
                </c:pt>
                <c:pt idx="289">
                  <c:v>15</c:v>
                </c:pt>
                <c:pt idx="290">
                  <c:v>27.6</c:v>
                </c:pt>
                <c:pt idx="291">
                  <c:v>16.7</c:v>
                </c:pt>
                <c:pt idx="292">
                  <c:v>21</c:v>
                </c:pt>
                <c:pt idx="293">
                  <c:v>-4.8</c:v>
                </c:pt>
                <c:pt idx="294">
                  <c:v>18.2</c:v>
                </c:pt>
                <c:pt idx="295">
                  <c:v>25.4</c:v>
                </c:pt>
                <c:pt idx="296">
                  <c:v>31.1</c:v>
                </c:pt>
                <c:pt idx="297">
                  <c:v>34.299999999999997</c:v>
                </c:pt>
                <c:pt idx="298">
                  <c:v>16.2</c:v>
                </c:pt>
                <c:pt idx="299">
                  <c:v>23.3</c:v>
                </c:pt>
                <c:pt idx="300">
                  <c:v>14.8</c:v>
                </c:pt>
                <c:pt idx="301">
                  <c:v>3.5</c:v>
                </c:pt>
                <c:pt idx="302">
                  <c:v>-3.2</c:v>
                </c:pt>
                <c:pt idx="303">
                  <c:v>-0.3</c:v>
                </c:pt>
                <c:pt idx="304">
                  <c:v>7.3</c:v>
                </c:pt>
                <c:pt idx="305">
                  <c:v>8.9</c:v>
                </c:pt>
                <c:pt idx="306">
                  <c:v>18.899999999999999</c:v>
                </c:pt>
                <c:pt idx="307">
                  <c:v>41.4</c:v>
                </c:pt>
                <c:pt idx="308">
                  <c:v>27.2</c:v>
                </c:pt>
                <c:pt idx="309">
                  <c:v>21.2</c:v>
                </c:pt>
                <c:pt idx="310">
                  <c:v>19.8</c:v>
                </c:pt>
                <c:pt idx="311">
                  <c:v>16.8</c:v>
                </c:pt>
                <c:pt idx="312">
                  <c:v>22.1</c:v>
                </c:pt>
                <c:pt idx="313">
                  <c:v>25</c:v>
                </c:pt>
                <c:pt idx="314">
                  <c:v>17.8</c:v>
                </c:pt>
                <c:pt idx="315">
                  <c:v>18.5</c:v>
                </c:pt>
                <c:pt idx="316">
                  <c:v>18.399999999999999</c:v>
                </c:pt>
                <c:pt idx="317">
                  <c:v>26.1</c:v>
                </c:pt>
                <c:pt idx="318">
                  <c:v>24.7</c:v>
                </c:pt>
                <c:pt idx="319">
                  <c:v>23.3</c:v>
                </c:pt>
                <c:pt idx="320">
                  <c:v>8.8000000000000007</c:v>
                </c:pt>
                <c:pt idx="321">
                  <c:v>9.1999999999999993</c:v>
                </c:pt>
                <c:pt idx="322">
                  <c:v>2</c:v>
                </c:pt>
                <c:pt idx="323">
                  <c:v>-11.2</c:v>
                </c:pt>
                <c:pt idx="324">
                  <c:v>-8.5</c:v>
                </c:pt>
                <c:pt idx="325">
                  <c:v>-20.7</c:v>
                </c:pt>
                <c:pt idx="326">
                  <c:v>-20.399999999999999</c:v>
                </c:pt>
                <c:pt idx="327">
                  <c:v>1.2</c:v>
                </c:pt>
                <c:pt idx="328">
                  <c:v>26.2</c:v>
                </c:pt>
                <c:pt idx="329">
                  <c:v>21.7</c:v>
                </c:pt>
                <c:pt idx="330">
                  <c:v>5.5</c:v>
                </c:pt>
                <c:pt idx="331">
                  <c:v>19.600000000000001</c:v>
                </c:pt>
                <c:pt idx="332">
                  <c:v>-14.7</c:v>
                </c:pt>
                <c:pt idx="333">
                  <c:v>4.8</c:v>
                </c:pt>
                <c:pt idx="334">
                  <c:v>-3.5</c:v>
                </c:pt>
                <c:pt idx="335">
                  <c:v>21.3</c:v>
                </c:pt>
                <c:pt idx="336">
                  <c:v>19.600000000000001</c:v>
                </c:pt>
                <c:pt idx="337">
                  <c:v>21</c:v>
                </c:pt>
                <c:pt idx="338">
                  <c:v>29.5</c:v>
                </c:pt>
                <c:pt idx="339">
                  <c:v>13.8</c:v>
                </c:pt>
                <c:pt idx="340">
                  <c:v>12.9</c:v>
                </c:pt>
                <c:pt idx="341">
                  <c:v>8.1999999999999993</c:v>
                </c:pt>
                <c:pt idx="342">
                  <c:v>11.1</c:v>
                </c:pt>
                <c:pt idx="343">
                  <c:v>8.1</c:v>
                </c:pt>
                <c:pt idx="344">
                  <c:v>12.8</c:v>
                </c:pt>
                <c:pt idx="345">
                  <c:v>16.899999999999999</c:v>
                </c:pt>
                <c:pt idx="346">
                  <c:v>13.4</c:v>
                </c:pt>
                <c:pt idx="347">
                  <c:v>6.5</c:v>
                </c:pt>
                <c:pt idx="348">
                  <c:v>1.1000000000000001</c:v>
                </c:pt>
                <c:pt idx="349">
                  <c:v>18</c:v>
                </c:pt>
                <c:pt idx="350">
                  <c:v>20.2</c:v>
                </c:pt>
                <c:pt idx="351">
                  <c:v>17.2</c:v>
                </c:pt>
                <c:pt idx="352">
                  <c:v>19.100000000000001</c:v>
                </c:pt>
                <c:pt idx="353">
                  <c:v>19.3</c:v>
                </c:pt>
                <c:pt idx="354">
                  <c:v>19.8</c:v>
                </c:pt>
                <c:pt idx="355">
                  <c:v>15.6</c:v>
                </c:pt>
                <c:pt idx="356">
                  <c:v>18.600000000000001</c:v>
                </c:pt>
                <c:pt idx="357">
                  <c:v>13.2</c:v>
                </c:pt>
                <c:pt idx="358">
                  <c:v>10.6</c:v>
                </c:pt>
                <c:pt idx="359">
                  <c:v>8.6999999999999993</c:v>
                </c:pt>
                <c:pt idx="360">
                  <c:v>13.2</c:v>
                </c:pt>
                <c:pt idx="361">
                  <c:v>24.1</c:v>
                </c:pt>
                <c:pt idx="362">
                  <c:v>8.3000000000000007</c:v>
                </c:pt>
                <c:pt idx="363">
                  <c:v>10.4</c:v>
                </c:pt>
                <c:pt idx="364">
                  <c:v>-14.2</c:v>
                </c:pt>
                <c:pt idx="365">
                  <c:v>3.5</c:v>
                </c:pt>
                <c:pt idx="366">
                  <c:v>-4.7</c:v>
                </c:pt>
                <c:pt idx="367">
                  <c:v>4.5999999999999996</c:v>
                </c:pt>
                <c:pt idx="368">
                  <c:v>13.8</c:v>
                </c:pt>
                <c:pt idx="369">
                  <c:v>15.1</c:v>
                </c:pt>
                <c:pt idx="370">
                  <c:v>4.3</c:v>
                </c:pt>
                <c:pt idx="371">
                  <c:v>20.6</c:v>
                </c:pt>
                <c:pt idx="372">
                  <c:v>13.1</c:v>
                </c:pt>
                <c:pt idx="373">
                  <c:v>5.8</c:v>
                </c:pt>
                <c:pt idx="374">
                  <c:v>9.8000000000000007</c:v>
                </c:pt>
                <c:pt idx="375">
                  <c:v>13.8</c:v>
                </c:pt>
                <c:pt idx="376">
                  <c:v>13.9</c:v>
                </c:pt>
                <c:pt idx="377">
                  <c:v>16</c:v>
                </c:pt>
                <c:pt idx="378">
                  <c:v>20.9</c:v>
                </c:pt>
                <c:pt idx="379">
                  <c:v>14.2</c:v>
                </c:pt>
                <c:pt idx="380">
                  <c:v>11.2</c:v>
                </c:pt>
                <c:pt idx="381">
                  <c:v>14.5</c:v>
                </c:pt>
                <c:pt idx="382">
                  <c:v>19.399999999999999</c:v>
                </c:pt>
                <c:pt idx="383">
                  <c:v>10</c:v>
                </c:pt>
                <c:pt idx="384">
                  <c:v>13.9</c:v>
                </c:pt>
                <c:pt idx="385">
                  <c:v>2.6</c:v>
                </c:pt>
                <c:pt idx="386">
                  <c:v>4.7</c:v>
                </c:pt>
                <c:pt idx="387">
                  <c:v>17.3</c:v>
                </c:pt>
                <c:pt idx="388">
                  <c:v>5.5</c:v>
                </c:pt>
                <c:pt idx="389">
                  <c:v>1.8</c:v>
                </c:pt>
                <c:pt idx="390">
                  <c:v>7.1</c:v>
                </c:pt>
                <c:pt idx="391">
                  <c:v>-7.8</c:v>
                </c:pt>
                <c:pt idx="392">
                  <c:v>-36.6</c:v>
                </c:pt>
                <c:pt idx="393">
                  <c:v>-29.4</c:v>
                </c:pt>
                <c:pt idx="394">
                  <c:v>-20.8</c:v>
                </c:pt>
                <c:pt idx="395">
                  <c:v>-10.8</c:v>
                </c:pt>
                <c:pt idx="396">
                  <c:v>-11.8</c:v>
                </c:pt>
                <c:pt idx="397">
                  <c:v>-7</c:v>
                </c:pt>
                <c:pt idx="398">
                  <c:v>-12.6</c:v>
                </c:pt>
                <c:pt idx="399">
                  <c:v>-18.100000000000001</c:v>
                </c:pt>
                <c:pt idx="400">
                  <c:v>-8.1999999999999993</c:v>
                </c:pt>
                <c:pt idx="401">
                  <c:v>-23.6</c:v>
                </c:pt>
                <c:pt idx="402">
                  <c:v>-17.7</c:v>
                </c:pt>
                <c:pt idx="403">
                  <c:v>-11</c:v>
                </c:pt>
                <c:pt idx="404">
                  <c:v>10.5</c:v>
                </c:pt>
                <c:pt idx="405">
                  <c:v>11</c:v>
                </c:pt>
                <c:pt idx="406">
                  <c:v>12.4</c:v>
                </c:pt>
                <c:pt idx="407">
                  <c:v>12.6</c:v>
                </c:pt>
                <c:pt idx="408">
                  <c:v>10.1</c:v>
                </c:pt>
                <c:pt idx="409">
                  <c:v>20.399999999999999</c:v>
                </c:pt>
                <c:pt idx="410">
                  <c:v>5.9</c:v>
                </c:pt>
                <c:pt idx="411">
                  <c:v>-1.3</c:v>
                </c:pt>
                <c:pt idx="412">
                  <c:v>4.3</c:v>
                </c:pt>
                <c:pt idx="413">
                  <c:v>-7.6</c:v>
                </c:pt>
                <c:pt idx="414">
                  <c:v>7.4</c:v>
                </c:pt>
                <c:pt idx="415">
                  <c:v>7.2</c:v>
                </c:pt>
                <c:pt idx="416">
                  <c:v>5.5</c:v>
                </c:pt>
                <c:pt idx="417">
                  <c:v>-1.6</c:v>
                </c:pt>
                <c:pt idx="418">
                  <c:v>-3.9</c:v>
                </c:pt>
                <c:pt idx="419">
                  <c:v>-6.7</c:v>
                </c:pt>
                <c:pt idx="420">
                  <c:v>-0.6</c:v>
                </c:pt>
                <c:pt idx="421">
                  <c:v>3.7</c:v>
                </c:pt>
                <c:pt idx="422">
                  <c:v>7.7</c:v>
                </c:pt>
                <c:pt idx="423">
                  <c:v>20.2</c:v>
                </c:pt>
                <c:pt idx="424">
                  <c:v>20.6</c:v>
                </c:pt>
                <c:pt idx="425">
                  <c:v>28.3</c:v>
                </c:pt>
                <c:pt idx="426">
                  <c:v>26.8</c:v>
                </c:pt>
                <c:pt idx="427">
                  <c:v>26.5</c:v>
                </c:pt>
                <c:pt idx="428">
                  <c:v>36.1</c:v>
                </c:pt>
                <c:pt idx="429">
                  <c:v>27.7</c:v>
                </c:pt>
                <c:pt idx="430">
                  <c:v>29.6</c:v>
                </c:pt>
                <c:pt idx="431">
                  <c:v>32.299999999999997</c:v>
                </c:pt>
                <c:pt idx="432">
                  <c:v>28.9</c:v>
                </c:pt>
                <c:pt idx="433">
                  <c:v>30.6</c:v>
                </c:pt>
                <c:pt idx="434">
                  <c:v>34.700000000000003</c:v>
                </c:pt>
                <c:pt idx="435">
                  <c:v>25</c:v>
                </c:pt>
                <c:pt idx="436">
                  <c:v>19.600000000000001</c:v>
                </c:pt>
                <c:pt idx="437">
                  <c:v>26.9</c:v>
                </c:pt>
                <c:pt idx="438">
                  <c:v>19.100000000000001</c:v>
                </c:pt>
                <c:pt idx="439">
                  <c:v>25.5</c:v>
                </c:pt>
                <c:pt idx="440">
                  <c:v>13.5</c:v>
                </c:pt>
                <c:pt idx="441">
                  <c:v>21.1</c:v>
                </c:pt>
                <c:pt idx="442">
                  <c:v>15.1</c:v>
                </c:pt>
                <c:pt idx="443">
                  <c:v>25.2</c:v>
                </c:pt>
                <c:pt idx="444">
                  <c:v>9.3000000000000007</c:v>
                </c:pt>
                <c:pt idx="445">
                  <c:v>-1.3</c:v>
                </c:pt>
                <c:pt idx="446">
                  <c:v>8.1</c:v>
                </c:pt>
                <c:pt idx="447">
                  <c:v>11.2</c:v>
                </c:pt>
                <c:pt idx="448">
                  <c:v>7.1</c:v>
                </c:pt>
                <c:pt idx="449">
                  <c:v>4.8</c:v>
                </c:pt>
                <c:pt idx="450">
                  <c:v>10.3</c:v>
                </c:pt>
                <c:pt idx="451">
                  <c:v>12.9</c:v>
                </c:pt>
                <c:pt idx="452">
                  <c:v>5.4</c:v>
                </c:pt>
                <c:pt idx="453">
                  <c:v>15.3</c:v>
                </c:pt>
                <c:pt idx="454">
                  <c:v>14.7</c:v>
                </c:pt>
                <c:pt idx="455">
                  <c:v>14.2</c:v>
                </c:pt>
                <c:pt idx="456">
                  <c:v>13.7</c:v>
                </c:pt>
                <c:pt idx="457">
                  <c:v>11.7</c:v>
                </c:pt>
                <c:pt idx="458">
                  <c:v>4</c:v>
                </c:pt>
                <c:pt idx="459">
                  <c:v>12.5</c:v>
                </c:pt>
                <c:pt idx="460">
                  <c:v>-0.8</c:v>
                </c:pt>
                <c:pt idx="461">
                  <c:v>2.2999999999999998</c:v>
                </c:pt>
                <c:pt idx="462">
                  <c:v>4.5</c:v>
                </c:pt>
                <c:pt idx="463">
                  <c:v>-1.8</c:v>
                </c:pt>
                <c:pt idx="464">
                  <c:v>7.5</c:v>
                </c:pt>
                <c:pt idx="465">
                  <c:v>3.5</c:v>
                </c:pt>
                <c:pt idx="466">
                  <c:v>2.8</c:v>
                </c:pt>
                <c:pt idx="467">
                  <c:v>2.9</c:v>
                </c:pt>
                <c:pt idx="468">
                  <c:v>3.7</c:v>
                </c:pt>
                <c:pt idx="469">
                  <c:v>17.3</c:v>
                </c:pt>
                <c:pt idx="470">
                  <c:v>6.8</c:v>
                </c:pt>
                <c:pt idx="471">
                  <c:v>-0.5</c:v>
                </c:pt>
                <c:pt idx="472">
                  <c:v>7.5</c:v>
                </c:pt>
                <c:pt idx="473">
                  <c:v>7.8</c:v>
                </c:pt>
                <c:pt idx="474">
                  <c:v>6.7</c:v>
                </c:pt>
                <c:pt idx="475">
                  <c:v>-5.4</c:v>
                </c:pt>
                <c:pt idx="476">
                  <c:v>-18.399999999999999</c:v>
                </c:pt>
                <c:pt idx="477">
                  <c:v>-20.3</c:v>
                </c:pt>
                <c:pt idx="478">
                  <c:v>-14.7</c:v>
                </c:pt>
                <c:pt idx="479">
                  <c:v>-21.3</c:v>
                </c:pt>
                <c:pt idx="480">
                  <c:v>-16.100000000000001</c:v>
                </c:pt>
                <c:pt idx="481">
                  <c:v>-16.8</c:v>
                </c:pt>
                <c:pt idx="482">
                  <c:v>-16.2</c:v>
                </c:pt>
                <c:pt idx="483">
                  <c:v>-17.600000000000001</c:v>
                </c:pt>
                <c:pt idx="484">
                  <c:v>2.1</c:v>
                </c:pt>
                <c:pt idx="485">
                  <c:v>-37.5</c:v>
                </c:pt>
                <c:pt idx="486">
                  <c:v>-40.9</c:v>
                </c:pt>
                <c:pt idx="487">
                  <c:v>-37.6</c:v>
                </c:pt>
                <c:pt idx="488">
                  <c:v>-31.1</c:v>
                </c:pt>
                <c:pt idx="489">
                  <c:v>-39.6</c:v>
                </c:pt>
                <c:pt idx="490">
                  <c:v>-34.4</c:v>
                </c:pt>
                <c:pt idx="491">
                  <c:v>-25.2</c:v>
                </c:pt>
                <c:pt idx="492">
                  <c:v>-22.4</c:v>
                </c:pt>
                <c:pt idx="493">
                  <c:v>0.2</c:v>
                </c:pt>
                <c:pt idx="494">
                  <c:v>-6.6</c:v>
                </c:pt>
                <c:pt idx="495">
                  <c:v>8.9</c:v>
                </c:pt>
                <c:pt idx="496">
                  <c:v>15.2</c:v>
                </c:pt>
                <c:pt idx="497">
                  <c:v>12.6</c:v>
                </c:pt>
                <c:pt idx="498">
                  <c:v>15.4</c:v>
                </c:pt>
                <c:pt idx="499">
                  <c:v>16.5</c:v>
                </c:pt>
                <c:pt idx="500">
                  <c:v>12.9</c:v>
                </c:pt>
                <c:pt idx="501">
                  <c:v>14</c:v>
                </c:pt>
                <c:pt idx="502">
                  <c:v>14.2</c:v>
                </c:pt>
                <c:pt idx="503">
                  <c:v>16</c:v>
                </c:pt>
                <c:pt idx="504">
                  <c:v>22.2</c:v>
                </c:pt>
                <c:pt idx="505">
                  <c:v>15</c:v>
                </c:pt>
                <c:pt idx="506">
                  <c:v>7.7</c:v>
                </c:pt>
                <c:pt idx="507">
                  <c:v>3.6</c:v>
                </c:pt>
                <c:pt idx="508">
                  <c:v>4.5</c:v>
                </c:pt>
                <c:pt idx="509">
                  <c:v>0.3</c:v>
                </c:pt>
                <c:pt idx="510">
                  <c:v>19.100000000000001</c:v>
                </c:pt>
                <c:pt idx="511">
                  <c:v>15.4</c:v>
                </c:pt>
                <c:pt idx="512">
                  <c:v>16.5</c:v>
                </c:pt>
                <c:pt idx="513">
                  <c:v>28.8</c:v>
                </c:pt>
                <c:pt idx="514">
                  <c:v>36.5</c:v>
                </c:pt>
                <c:pt idx="515">
                  <c:v>12.9</c:v>
                </c:pt>
                <c:pt idx="516">
                  <c:v>6.2</c:v>
                </c:pt>
                <c:pt idx="517">
                  <c:v>-0.5</c:v>
                </c:pt>
                <c:pt idx="518">
                  <c:v>7.1</c:v>
                </c:pt>
                <c:pt idx="519">
                  <c:v>-19.600000000000001</c:v>
                </c:pt>
                <c:pt idx="520">
                  <c:v>-10.7</c:v>
                </c:pt>
                <c:pt idx="521">
                  <c:v>6.2</c:v>
                </c:pt>
                <c:pt idx="522">
                  <c:v>4</c:v>
                </c:pt>
                <c:pt idx="523">
                  <c:v>2.4</c:v>
                </c:pt>
                <c:pt idx="524">
                  <c:v>7.5</c:v>
                </c:pt>
                <c:pt idx="525">
                  <c:v>10.3</c:v>
                </c:pt>
                <c:pt idx="526">
                  <c:v>8.8000000000000007</c:v>
                </c:pt>
                <c:pt idx="527">
                  <c:v>5.7</c:v>
                </c:pt>
                <c:pt idx="528">
                  <c:v>-0.8</c:v>
                </c:pt>
                <c:pt idx="529">
                  <c:v>-12.6</c:v>
                </c:pt>
                <c:pt idx="530">
                  <c:v>-12.7</c:v>
                </c:pt>
                <c:pt idx="531">
                  <c:v>-2.6</c:v>
                </c:pt>
                <c:pt idx="532">
                  <c:v>0.2</c:v>
                </c:pt>
                <c:pt idx="533">
                  <c:v>-1.2</c:v>
                </c:pt>
                <c:pt idx="534">
                  <c:v>-10.6</c:v>
                </c:pt>
                <c:pt idx="535">
                  <c:v>2.5</c:v>
                </c:pt>
                <c:pt idx="536">
                  <c:v>-1.4</c:v>
                </c:pt>
                <c:pt idx="537">
                  <c:v>-5.5</c:v>
                </c:pt>
                <c:pt idx="538">
                  <c:v>2.1</c:v>
                </c:pt>
                <c:pt idx="539">
                  <c:v>0.4</c:v>
                </c:pt>
                <c:pt idx="540">
                  <c:v>0.3</c:v>
                </c:pt>
                <c:pt idx="541">
                  <c:v>12.7</c:v>
                </c:pt>
                <c:pt idx="542">
                  <c:v>15.9</c:v>
                </c:pt>
                <c:pt idx="543">
                  <c:v>8</c:v>
                </c:pt>
                <c:pt idx="544">
                  <c:v>20.6</c:v>
                </c:pt>
                <c:pt idx="545">
                  <c:v>13.4</c:v>
                </c:pt>
                <c:pt idx="546">
                  <c:v>4.8</c:v>
                </c:pt>
                <c:pt idx="547">
                  <c:v>3.9</c:v>
                </c:pt>
                <c:pt idx="548">
                  <c:v>15.4</c:v>
                </c:pt>
                <c:pt idx="549">
                  <c:v>2.1</c:v>
                </c:pt>
                <c:pt idx="550">
                  <c:v>12.6</c:v>
                </c:pt>
                <c:pt idx="551">
                  <c:v>16.899999999999999</c:v>
                </c:pt>
                <c:pt idx="552">
                  <c:v>18.3</c:v>
                </c:pt>
                <c:pt idx="553">
                  <c:v>14.2</c:v>
                </c:pt>
                <c:pt idx="554">
                  <c:v>21.4</c:v>
                </c:pt>
                <c:pt idx="555">
                  <c:v>22.6</c:v>
                </c:pt>
                <c:pt idx="556">
                  <c:v>21.8</c:v>
                </c:pt>
                <c:pt idx="557">
                  <c:v>18</c:v>
                </c:pt>
                <c:pt idx="558">
                  <c:v>35.9</c:v>
                </c:pt>
                <c:pt idx="559">
                  <c:v>21.6</c:v>
                </c:pt>
                <c:pt idx="560">
                  <c:v>13.4</c:v>
                </c:pt>
                <c:pt idx="561">
                  <c:v>10.7</c:v>
                </c:pt>
                <c:pt idx="562">
                  <c:v>7.2</c:v>
                </c:pt>
                <c:pt idx="563">
                  <c:v>9.6</c:v>
                </c:pt>
                <c:pt idx="564">
                  <c:v>5.7</c:v>
                </c:pt>
                <c:pt idx="565">
                  <c:v>8.1999999999999993</c:v>
                </c:pt>
                <c:pt idx="566">
                  <c:v>4.5999999999999996</c:v>
                </c:pt>
                <c:pt idx="567">
                  <c:v>5.4</c:v>
                </c:pt>
                <c:pt idx="568">
                  <c:v>-3.6</c:v>
                </c:pt>
                <c:pt idx="569">
                  <c:v>-4.9000000000000004</c:v>
                </c:pt>
                <c:pt idx="570">
                  <c:v>-3.1</c:v>
                </c:pt>
                <c:pt idx="571">
                  <c:v>-9.1</c:v>
                </c:pt>
                <c:pt idx="572">
                  <c:v>-4.4000000000000004</c:v>
                </c:pt>
                <c:pt idx="573">
                  <c:v>-5.7</c:v>
                </c:pt>
                <c:pt idx="574">
                  <c:v>8.4</c:v>
                </c:pt>
                <c:pt idx="575">
                  <c:v>-1.8</c:v>
                </c:pt>
                <c:pt idx="576">
                  <c:v>-5.6</c:v>
                </c:pt>
                <c:pt idx="577">
                  <c:v>4.4000000000000004</c:v>
                </c:pt>
                <c:pt idx="578">
                  <c:v>1.6</c:v>
                </c:pt>
                <c:pt idx="579">
                  <c:v>5</c:v>
                </c:pt>
                <c:pt idx="580">
                  <c:v>12.5</c:v>
                </c:pt>
                <c:pt idx="581">
                  <c:v>11</c:v>
                </c:pt>
                <c:pt idx="582">
                  <c:v>10.7</c:v>
                </c:pt>
                <c:pt idx="583">
                  <c:v>22.4</c:v>
                </c:pt>
                <c:pt idx="584">
                  <c:v>24</c:v>
                </c:pt>
                <c:pt idx="585">
                  <c:v>41.4</c:v>
                </c:pt>
                <c:pt idx="586">
                  <c:v>29.6</c:v>
                </c:pt>
                <c:pt idx="587">
                  <c:v>22</c:v>
                </c:pt>
                <c:pt idx="588">
                  <c:v>33.700000000000003</c:v>
                </c:pt>
                <c:pt idx="589">
                  <c:v>28.5</c:v>
                </c:pt>
                <c:pt idx="590">
                  <c:v>22.6</c:v>
                </c:pt>
                <c:pt idx="591">
                  <c:v>19.899999999999999</c:v>
                </c:pt>
                <c:pt idx="592">
                  <c:v>24.5</c:v>
                </c:pt>
                <c:pt idx="593">
                  <c:v>27.8</c:v>
                </c:pt>
                <c:pt idx="594">
                  <c:v>25.8</c:v>
                </c:pt>
                <c:pt idx="595">
                  <c:v>29</c:v>
                </c:pt>
                <c:pt idx="596">
                  <c:v>20.8</c:v>
                </c:pt>
                <c:pt idx="597">
                  <c:v>32.299999999999997</c:v>
                </c:pt>
                <c:pt idx="598">
                  <c:v>19.7</c:v>
                </c:pt>
                <c:pt idx="599">
                  <c:v>23.2</c:v>
                </c:pt>
                <c:pt idx="600">
                  <c:v>32.1</c:v>
                </c:pt>
                <c:pt idx="601">
                  <c:v>22.2</c:v>
                </c:pt>
                <c:pt idx="602">
                  <c:v>24.7</c:v>
                </c:pt>
                <c:pt idx="603">
                  <c:v>8.6999999999999993</c:v>
                </c:pt>
                <c:pt idx="604">
                  <c:v>22.2</c:v>
                </c:pt>
                <c:pt idx="605">
                  <c:v>20.7</c:v>
                </c:pt>
                <c:pt idx="606">
                  <c:v>14.8</c:v>
                </c:pt>
                <c:pt idx="607">
                  <c:v>10.9</c:v>
                </c:pt>
                <c:pt idx="608">
                  <c:v>11.6</c:v>
                </c:pt>
                <c:pt idx="609">
                  <c:v>0.8</c:v>
                </c:pt>
                <c:pt idx="610">
                  <c:v>9.1</c:v>
                </c:pt>
                <c:pt idx="611">
                  <c:v>8.9</c:v>
                </c:pt>
                <c:pt idx="612">
                  <c:v>17.8</c:v>
                </c:pt>
                <c:pt idx="613">
                  <c:v>2.5</c:v>
                </c:pt>
                <c:pt idx="614">
                  <c:v>21.6</c:v>
                </c:pt>
                <c:pt idx="615">
                  <c:v>11.2</c:v>
                </c:pt>
                <c:pt idx="616">
                  <c:v>13.7</c:v>
                </c:pt>
                <c:pt idx="617">
                  <c:v>5.5</c:v>
                </c:pt>
                <c:pt idx="618">
                  <c:v>13.9</c:v>
                </c:pt>
                <c:pt idx="619">
                  <c:v>3.3</c:v>
                </c:pt>
                <c:pt idx="620">
                  <c:v>13</c:v>
                </c:pt>
                <c:pt idx="621">
                  <c:v>36.4</c:v>
                </c:pt>
                <c:pt idx="622">
                  <c:v>-19.399999999999999</c:v>
                </c:pt>
                <c:pt idx="623">
                  <c:v>-58.7</c:v>
                </c:pt>
                <c:pt idx="624">
                  <c:v>-42.9</c:v>
                </c:pt>
                <c:pt idx="625">
                  <c:v>28.3</c:v>
                </c:pt>
                <c:pt idx="626">
                  <c:v>29.5</c:v>
                </c:pt>
                <c:pt idx="627">
                  <c:v>15.4</c:v>
                </c:pt>
                <c:pt idx="628">
                  <c:v>16.399999999999999</c:v>
                </c:pt>
                <c:pt idx="629">
                  <c:v>30.5</c:v>
                </c:pt>
                <c:pt idx="630">
                  <c:v>32.4</c:v>
                </c:pt>
                <c:pt idx="631">
                  <c:v>12.3</c:v>
                </c:pt>
                <c:pt idx="632">
                  <c:v>25.5</c:v>
                </c:pt>
                <c:pt idx="633">
                  <c:v>29.3</c:v>
                </c:pt>
                <c:pt idx="634">
                  <c:v>37.9</c:v>
                </c:pt>
                <c:pt idx="635">
                  <c:v>48.8</c:v>
                </c:pt>
                <c:pt idx="636">
                  <c:v>33.700000000000003</c:v>
                </c:pt>
                <c:pt idx="637">
                  <c:v>32</c:v>
                </c:pt>
                <c:pt idx="638">
                  <c:v>26.7</c:v>
                </c:pt>
                <c:pt idx="639">
                  <c:v>17.5</c:v>
                </c:pt>
                <c:pt idx="640">
                  <c:v>32.200000000000003</c:v>
                </c:pt>
                <c:pt idx="641">
                  <c:v>21.5</c:v>
                </c:pt>
                <c:pt idx="642">
                  <c:v>44</c:v>
                </c:pt>
                <c:pt idx="643">
                  <c:v>17.100000000000001</c:v>
                </c:pt>
                <c:pt idx="644">
                  <c:v>18.3</c:v>
                </c:pt>
                <c:pt idx="645">
                  <c:v>15.9</c:v>
                </c:pt>
                <c:pt idx="646">
                  <c:v>20.8</c:v>
                </c:pt>
                <c:pt idx="647">
                  <c:v>16.8</c:v>
                </c:pt>
                <c:pt idx="648">
                  <c:v>4.7</c:v>
                </c:pt>
                <c:pt idx="649">
                  <c:v>-1.9</c:v>
                </c:pt>
                <c:pt idx="650">
                  <c:v>-8.1</c:v>
                </c:pt>
                <c:pt idx="651">
                  <c:v>4.0999999999999996</c:v>
                </c:pt>
                <c:pt idx="652">
                  <c:v>-8.3000000000000007</c:v>
                </c:pt>
                <c:pt idx="653">
                  <c:v>-11.5</c:v>
                </c:pt>
                <c:pt idx="654">
                  <c:v>-13.4</c:v>
                </c:pt>
                <c:pt idx="655">
                  <c:v>-11.4</c:v>
                </c:pt>
                <c:pt idx="656">
                  <c:v>-12.4</c:v>
                </c:pt>
                <c:pt idx="657">
                  <c:v>-22.2</c:v>
                </c:pt>
                <c:pt idx="658">
                  <c:v>-25</c:v>
                </c:pt>
                <c:pt idx="659">
                  <c:v>-25.5</c:v>
                </c:pt>
                <c:pt idx="660">
                  <c:v>-8.1</c:v>
                </c:pt>
                <c:pt idx="661">
                  <c:v>-12.1</c:v>
                </c:pt>
                <c:pt idx="662">
                  <c:v>-16.100000000000001</c:v>
                </c:pt>
                <c:pt idx="663">
                  <c:v>10.5</c:v>
                </c:pt>
                <c:pt idx="664">
                  <c:v>-15.2</c:v>
                </c:pt>
                <c:pt idx="665">
                  <c:v>-14.6</c:v>
                </c:pt>
                <c:pt idx="666">
                  <c:v>-3.9</c:v>
                </c:pt>
                <c:pt idx="667">
                  <c:v>-7.2</c:v>
                </c:pt>
                <c:pt idx="668">
                  <c:v>-14.7</c:v>
                </c:pt>
                <c:pt idx="669">
                  <c:v>-1</c:v>
                </c:pt>
                <c:pt idx="670">
                  <c:v>1.8</c:v>
                </c:pt>
                <c:pt idx="671">
                  <c:v>17.600000000000001</c:v>
                </c:pt>
                <c:pt idx="672">
                  <c:v>7.5</c:v>
                </c:pt>
                <c:pt idx="673">
                  <c:v>2.9</c:v>
                </c:pt>
                <c:pt idx="674">
                  <c:v>9.9</c:v>
                </c:pt>
                <c:pt idx="675">
                  <c:v>-3</c:v>
                </c:pt>
                <c:pt idx="676">
                  <c:v>-1.6</c:v>
                </c:pt>
                <c:pt idx="677">
                  <c:v>7.6</c:v>
                </c:pt>
                <c:pt idx="678">
                  <c:v>-1.5</c:v>
                </c:pt>
                <c:pt idx="679">
                  <c:v>-9.6</c:v>
                </c:pt>
                <c:pt idx="680">
                  <c:v>32.9</c:v>
                </c:pt>
                <c:pt idx="681">
                  <c:v>13.4</c:v>
                </c:pt>
                <c:pt idx="682">
                  <c:v>10.199999999999999</c:v>
                </c:pt>
                <c:pt idx="683">
                  <c:v>-12.9</c:v>
                </c:pt>
                <c:pt idx="684">
                  <c:v>-0.7</c:v>
                </c:pt>
                <c:pt idx="685">
                  <c:v>-1.4</c:v>
                </c:pt>
                <c:pt idx="686">
                  <c:v>11.4</c:v>
                </c:pt>
                <c:pt idx="687">
                  <c:v>0.7</c:v>
                </c:pt>
                <c:pt idx="688">
                  <c:v>19.5</c:v>
                </c:pt>
                <c:pt idx="689">
                  <c:v>-10.1</c:v>
                </c:pt>
                <c:pt idx="690">
                  <c:v>0.6</c:v>
                </c:pt>
                <c:pt idx="691">
                  <c:v>-8.8000000000000007</c:v>
                </c:pt>
                <c:pt idx="692">
                  <c:v>12.6</c:v>
                </c:pt>
                <c:pt idx="693">
                  <c:v>16.3</c:v>
                </c:pt>
                <c:pt idx="694">
                  <c:v>18.100000000000001</c:v>
                </c:pt>
                <c:pt idx="695">
                  <c:v>26.7</c:v>
                </c:pt>
                <c:pt idx="696">
                  <c:v>-0.4</c:v>
                </c:pt>
                <c:pt idx="697">
                  <c:v>10.3</c:v>
                </c:pt>
                <c:pt idx="698">
                  <c:v>41.4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9B7-437C-805F-93A920E418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47524304"/>
        <c:axId val="672847"/>
      </c:lineChart>
      <c:dateAx>
        <c:axId val="1247524304"/>
        <c:scaling>
          <c:orientation val="minMax"/>
        </c:scaling>
        <c:delete val="0"/>
        <c:axPos val="b"/>
        <c:numFmt formatCode="yy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595959"/>
                </a:solidFill>
                <a:latin typeface="Aptos Narrow"/>
                <a:ea typeface="Aptos Narrow"/>
                <a:cs typeface="Aptos Narrow"/>
              </a:defRPr>
            </a:pPr>
            <a:endParaRPr lang="en-US"/>
          </a:p>
        </c:txPr>
        <c:crossAx val="672847"/>
        <c:crosses val="autoZero"/>
        <c:auto val="0"/>
        <c:lblOffset val="100"/>
        <c:baseTimeUnit val="months"/>
      </c:dateAx>
      <c:valAx>
        <c:axId val="672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D9D9D9"/>
              </a:solidFill>
              <a:prstDash val="solid"/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595959"/>
                </a:solidFill>
                <a:latin typeface="Aptos Narrow"/>
                <a:ea typeface="Aptos Narrow"/>
                <a:cs typeface="Aptos Narrow"/>
              </a:defRPr>
            </a:pPr>
            <a:endParaRPr lang="en-US"/>
          </a:p>
        </c:txPr>
        <c:crossAx val="1247524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rgbClr val="D9D9D9"/>
      </a:solidFill>
      <a:prstDash val="solid"/>
      <a:round/>
    </a:ln>
    <a:effectLst/>
  </c:spPr>
  <c:txPr>
    <a:bodyPr/>
    <a:lstStyle/>
    <a:p>
      <a:pPr>
        <a:defRPr sz="900">
          <a:solidFill>
            <a:srgbClr val="595959"/>
          </a:solidFill>
          <a:latin typeface="Aptos Narrow"/>
          <a:ea typeface="Aptos Narrow"/>
          <a:cs typeface="Aptos Narrow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1F4E79"/>
                </a:solidFill>
                <a:latin typeface="Aptos Narrow"/>
                <a:ea typeface="Aptos Narrow"/>
                <a:cs typeface="Aptos Narrow"/>
              </a:defRPr>
            </a:pPr>
            <a:r>
              <a:rPr lang="en-US"/>
              <a:t>PHILLY — Chg MoM (pts) (bars) vs level (line, rhs)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1F4E79"/>
              </a:solidFill>
              <a:latin typeface="Aptos Narrow"/>
              <a:ea typeface="Aptos Narrow"/>
              <a:cs typeface="Aptos Narrow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PHILLY!$I$12</c:f>
              <c:strCache>
                <c:ptCount val="1"/>
                <c:pt idx="0">
                  <c:v>Frequency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PHILLY!$H$13:$H$24</c:f>
              <c:numCache>
                <c:formatCode>0.0</c:formatCode>
                <c:ptCount val="12"/>
                <c:pt idx="0">
                  <c:v>-45.216666666666661</c:v>
                </c:pt>
                <c:pt idx="1">
                  <c:v>-34.633333333333326</c:v>
                </c:pt>
                <c:pt idx="2">
                  <c:v>-24.049999999999997</c:v>
                </c:pt>
                <c:pt idx="3">
                  <c:v>-13.466666666666661</c:v>
                </c:pt>
                <c:pt idx="4">
                  <c:v>-2.8833333333333258</c:v>
                </c:pt>
                <c:pt idx="5">
                  <c:v>7.7000000000000028</c:v>
                </c:pt>
                <c:pt idx="6">
                  <c:v>18.283333333333346</c:v>
                </c:pt>
                <c:pt idx="7">
                  <c:v>28.866666666666674</c:v>
                </c:pt>
                <c:pt idx="8">
                  <c:v>39.450000000000003</c:v>
                </c:pt>
                <c:pt idx="9">
                  <c:v>50.033333333333346</c:v>
                </c:pt>
                <c:pt idx="10">
                  <c:v>60.616666666666674</c:v>
                </c:pt>
                <c:pt idx="11">
                  <c:v>71.2</c:v>
                </c:pt>
              </c:numCache>
            </c:numRef>
          </c:cat>
          <c:val>
            <c:numRef>
              <c:f>PHILLY!$I$13:$I$24</c:f>
              <c:numCache>
                <c:formatCode>#,##0</c:formatCode>
                <c:ptCount val="12"/>
                <c:pt idx="0">
                  <c:v>1</c:v>
                </c:pt>
                <c:pt idx="1">
                  <c:v>4</c:v>
                </c:pt>
                <c:pt idx="2">
                  <c:v>13</c:v>
                </c:pt>
                <c:pt idx="3">
                  <c:v>40</c:v>
                </c:pt>
                <c:pt idx="4">
                  <c:v>207</c:v>
                </c:pt>
                <c:pt idx="5">
                  <c:v>281</c:v>
                </c:pt>
                <c:pt idx="6">
                  <c:v>123</c:v>
                </c:pt>
                <c:pt idx="7">
                  <c:v>24</c:v>
                </c:pt>
                <c:pt idx="8">
                  <c:v>3</c:v>
                </c:pt>
                <c:pt idx="9">
                  <c:v>1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42F-49B1-B518-284CF1E990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47528016"/>
        <c:axId val="2096197328"/>
      </c:barChart>
      <c:catAx>
        <c:axId val="1247528016"/>
        <c:scaling>
          <c:orientation val="minMax"/>
        </c:scaling>
        <c:delete val="0"/>
        <c:axPos val="b"/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595959"/>
                </a:solidFill>
                <a:latin typeface="Aptos Narrow"/>
                <a:ea typeface="Aptos Narrow"/>
                <a:cs typeface="Aptos Narrow"/>
              </a:defRPr>
            </a:pPr>
            <a:endParaRPr lang="en-US"/>
          </a:p>
        </c:txPr>
        <c:crossAx val="2096197328"/>
        <c:crosses val="autoZero"/>
        <c:auto val="1"/>
        <c:lblAlgn val="ctr"/>
        <c:lblOffset val="100"/>
        <c:noMultiLvlLbl val="1"/>
      </c:catAx>
      <c:valAx>
        <c:axId val="2096197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D9D9D9"/>
              </a:solidFill>
              <a:prstDash val="solid"/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595959"/>
                </a:solidFill>
                <a:latin typeface="Aptos Narrow"/>
                <a:ea typeface="Aptos Narrow"/>
                <a:cs typeface="Aptos Narrow"/>
              </a:defRPr>
            </a:pPr>
            <a:endParaRPr lang="en-US"/>
          </a:p>
        </c:txPr>
        <c:crossAx val="1247528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595959"/>
              </a:solidFill>
              <a:latin typeface="Aptos Narrow"/>
              <a:ea typeface="Aptos Narrow"/>
              <a:cs typeface="Aptos Narrow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rgbClr val="D9D9D9"/>
      </a:solidFill>
      <a:prstDash val="solid"/>
      <a:round/>
    </a:ln>
    <a:effectLst/>
  </c:spPr>
  <c:txPr>
    <a:bodyPr/>
    <a:lstStyle/>
    <a:p>
      <a:pPr>
        <a:defRPr sz="900">
          <a:solidFill>
            <a:srgbClr val="595959"/>
          </a:solidFill>
          <a:latin typeface="Aptos Narrow"/>
          <a:ea typeface="Aptos Narrow"/>
          <a:cs typeface="Aptos Narrow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1F4E79"/>
                </a:solidFill>
                <a:latin typeface="Aptos Narrow"/>
                <a:ea typeface="Aptos Narrow"/>
                <a:cs typeface="Aptos Narrow"/>
              </a:defRPr>
            </a:pPr>
            <a:r>
              <a:rPr lang="en-US"/>
              <a:t>PHILLY — distribution of Chg MoM (pts) (histogram)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1F4E79"/>
              </a:solidFill>
              <a:latin typeface="Aptos Narrow"/>
              <a:ea typeface="Aptos Narrow"/>
              <a:cs typeface="Aptos Narrow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PHILLY!$V$8</c:f>
              <c:strCache>
                <c:ptCount val="1"/>
                <c:pt idx="0">
                  <c:v>Actual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PHILLY!$U$9:$U$11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cat>
          <c:val>
            <c:numRef>
              <c:f>PHILLY!$V$9:$V$11</c:f>
              <c:numCache>
                <c:formatCode>0.0%</c:formatCode>
                <c:ptCount val="3"/>
                <c:pt idx="0">
                  <c:v>0.75358166189111753</c:v>
                </c:pt>
                <c:pt idx="1">
                  <c:v>0.94699140401146131</c:v>
                </c:pt>
                <c:pt idx="2">
                  <c:v>0.9871060171919771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229-432E-9DDC-52D1502D5637}"/>
            </c:ext>
          </c:extLst>
        </c:ser>
        <c:ser>
          <c:idx val="1"/>
          <c:order val="1"/>
          <c:tx>
            <c:strRef>
              <c:f>PHILLY!$W$8</c:f>
              <c:strCache>
                <c:ptCount val="1"/>
                <c:pt idx="0">
                  <c:v>Normal %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PHILLY!$U$9:$U$11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cat>
          <c:val>
            <c:numRef>
              <c:f>PHILLY!$W$9:$W$11</c:f>
              <c:numCache>
                <c:formatCode>0.0%</c:formatCode>
                <c:ptCount val="3"/>
                <c:pt idx="0">
                  <c:v>0.68200000000000005</c:v>
                </c:pt>
                <c:pt idx="1">
                  <c:v>0.95399999999999996</c:v>
                </c:pt>
                <c:pt idx="2">
                  <c:v>0.997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20-4143-BA91-53956BE104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"/>
        <c:overlap val="-27"/>
        <c:axId val="1247529408"/>
        <c:axId val="1246957872"/>
      </c:barChart>
      <c:catAx>
        <c:axId val="1247529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595959"/>
                </a:solidFill>
                <a:latin typeface="Aptos Narrow"/>
                <a:ea typeface="Aptos Narrow"/>
                <a:cs typeface="Aptos Narrow"/>
              </a:defRPr>
            </a:pPr>
            <a:endParaRPr lang="en-US"/>
          </a:p>
        </c:txPr>
        <c:crossAx val="1246957872"/>
        <c:crosses val="autoZero"/>
        <c:auto val="1"/>
        <c:lblAlgn val="ctr"/>
        <c:lblOffset val="100"/>
        <c:noMultiLvlLbl val="0"/>
      </c:catAx>
      <c:valAx>
        <c:axId val="1246957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D9D9D9"/>
              </a:solidFill>
              <a:prstDash val="solid"/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595959"/>
                </a:solidFill>
                <a:latin typeface="Aptos Narrow"/>
                <a:ea typeface="Aptos Narrow"/>
                <a:cs typeface="Aptos Narrow"/>
              </a:defRPr>
            </a:pPr>
            <a:endParaRPr lang="en-US"/>
          </a:p>
        </c:txPr>
        <c:crossAx val="1247529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595959"/>
              </a:solidFill>
              <a:latin typeface="Aptos Narrow"/>
              <a:ea typeface="Aptos Narrow"/>
              <a:cs typeface="Aptos Narrow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rgbClr val="D9D9D9"/>
      </a:solidFill>
      <a:prstDash val="solid"/>
      <a:round/>
    </a:ln>
    <a:effectLst/>
  </c:spPr>
  <c:txPr>
    <a:bodyPr/>
    <a:lstStyle/>
    <a:p>
      <a:pPr>
        <a:defRPr sz="900">
          <a:solidFill>
            <a:srgbClr val="595959"/>
          </a:solidFill>
          <a:latin typeface="Aptos Narrow"/>
          <a:ea typeface="Aptos Narrow"/>
          <a:cs typeface="Aptos Narrow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1F4E79"/>
                </a:solidFill>
                <a:latin typeface="Aptos Narrow"/>
                <a:ea typeface="Aptos Narrow"/>
                <a:cs typeface="Aptos Narrow"/>
              </a:defRPr>
            </a:pPr>
            <a:r>
              <a:rPr lang="en-US"/>
              <a:t>Initial unemployment claims (weekly, SA) — level, 1967–present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1F4E79"/>
              </a:solidFill>
              <a:latin typeface="Aptos Narrow"/>
              <a:ea typeface="Aptos Narrow"/>
              <a:cs typeface="Aptos Narrow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CLAIMS!$B$4</c:f>
              <c:strCache>
                <c:ptCount val="1"/>
                <c:pt idx="0">
                  <c:v>Value</c:v>
                </c:pt>
              </c:strCache>
            </c:strRef>
          </c:tx>
          <c:spPr>
            <a:ln w="25400" cap="rnd">
              <a:solidFill>
                <a:srgbClr val="1F4E79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CLAIMS!$A$5:$A$3113</c:f>
              <c:numCache>
                <c:formatCode>yyyy/mm/dd</c:formatCode>
                <c:ptCount val="3109"/>
                <c:pt idx="0">
                  <c:v>24479</c:v>
                </c:pt>
                <c:pt idx="1">
                  <c:v>24486</c:v>
                </c:pt>
                <c:pt idx="2">
                  <c:v>24493</c:v>
                </c:pt>
                <c:pt idx="3">
                  <c:v>24500</c:v>
                </c:pt>
                <c:pt idx="4">
                  <c:v>24507</c:v>
                </c:pt>
                <c:pt idx="5">
                  <c:v>24514</c:v>
                </c:pt>
                <c:pt idx="6">
                  <c:v>24521</c:v>
                </c:pt>
                <c:pt idx="7">
                  <c:v>24528</c:v>
                </c:pt>
                <c:pt idx="8">
                  <c:v>24535</c:v>
                </c:pt>
                <c:pt idx="9">
                  <c:v>24542</c:v>
                </c:pt>
                <c:pt idx="10">
                  <c:v>24549</c:v>
                </c:pt>
                <c:pt idx="11">
                  <c:v>24556</c:v>
                </c:pt>
                <c:pt idx="12">
                  <c:v>24563</c:v>
                </c:pt>
                <c:pt idx="13">
                  <c:v>24570</c:v>
                </c:pt>
                <c:pt idx="14">
                  <c:v>24577</c:v>
                </c:pt>
                <c:pt idx="15">
                  <c:v>24584</c:v>
                </c:pt>
                <c:pt idx="16">
                  <c:v>24591</c:v>
                </c:pt>
                <c:pt idx="17">
                  <c:v>24598</c:v>
                </c:pt>
                <c:pt idx="18">
                  <c:v>24605</c:v>
                </c:pt>
                <c:pt idx="19">
                  <c:v>24612</c:v>
                </c:pt>
                <c:pt idx="20">
                  <c:v>24619</c:v>
                </c:pt>
                <c:pt idx="21">
                  <c:v>24626</c:v>
                </c:pt>
                <c:pt idx="22">
                  <c:v>24633</c:v>
                </c:pt>
                <c:pt idx="23">
                  <c:v>24640</c:v>
                </c:pt>
                <c:pt idx="24">
                  <c:v>24647</c:v>
                </c:pt>
                <c:pt idx="25">
                  <c:v>24654</c:v>
                </c:pt>
                <c:pt idx="26">
                  <c:v>24661</c:v>
                </c:pt>
                <c:pt idx="27">
                  <c:v>24668</c:v>
                </c:pt>
                <c:pt idx="28">
                  <c:v>24675</c:v>
                </c:pt>
                <c:pt idx="29">
                  <c:v>24682</c:v>
                </c:pt>
                <c:pt idx="30">
                  <c:v>24689</c:v>
                </c:pt>
                <c:pt idx="31">
                  <c:v>24696</c:v>
                </c:pt>
                <c:pt idx="32">
                  <c:v>24703</c:v>
                </c:pt>
                <c:pt idx="33">
                  <c:v>24710</c:v>
                </c:pt>
                <c:pt idx="34">
                  <c:v>24717</c:v>
                </c:pt>
                <c:pt idx="35">
                  <c:v>24724</c:v>
                </c:pt>
                <c:pt idx="36">
                  <c:v>24731</c:v>
                </c:pt>
                <c:pt idx="37">
                  <c:v>24738</c:v>
                </c:pt>
                <c:pt idx="38">
                  <c:v>24745</c:v>
                </c:pt>
                <c:pt idx="39">
                  <c:v>24752</c:v>
                </c:pt>
                <c:pt idx="40">
                  <c:v>24759</c:v>
                </c:pt>
                <c:pt idx="41">
                  <c:v>24766</c:v>
                </c:pt>
                <c:pt idx="42">
                  <c:v>24773</c:v>
                </c:pt>
                <c:pt idx="43">
                  <c:v>24780</c:v>
                </c:pt>
                <c:pt idx="44">
                  <c:v>24787</c:v>
                </c:pt>
                <c:pt idx="45">
                  <c:v>24794</c:v>
                </c:pt>
                <c:pt idx="46">
                  <c:v>24801</c:v>
                </c:pt>
                <c:pt idx="47">
                  <c:v>24808</c:v>
                </c:pt>
                <c:pt idx="48">
                  <c:v>24815</c:v>
                </c:pt>
                <c:pt idx="49">
                  <c:v>24822</c:v>
                </c:pt>
                <c:pt idx="50">
                  <c:v>24829</c:v>
                </c:pt>
                <c:pt idx="51">
                  <c:v>24836</c:v>
                </c:pt>
                <c:pt idx="52">
                  <c:v>24843</c:v>
                </c:pt>
                <c:pt idx="53">
                  <c:v>24850</c:v>
                </c:pt>
                <c:pt idx="54">
                  <c:v>24857</c:v>
                </c:pt>
                <c:pt idx="55">
                  <c:v>24864</c:v>
                </c:pt>
                <c:pt idx="56">
                  <c:v>24871</c:v>
                </c:pt>
                <c:pt idx="57">
                  <c:v>24878</c:v>
                </c:pt>
                <c:pt idx="58">
                  <c:v>24885</c:v>
                </c:pt>
                <c:pt idx="59">
                  <c:v>24892</c:v>
                </c:pt>
                <c:pt idx="60">
                  <c:v>24899</c:v>
                </c:pt>
                <c:pt idx="61">
                  <c:v>24906</c:v>
                </c:pt>
                <c:pt idx="62">
                  <c:v>24913</c:v>
                </c:pt>
                <c:pt idx="63">
                  <c:v>24920</c:v>
                </c:pt>
                <c:pt idx="64">
                  <c:v>24927</c:v>
                </c:pt>
                <c:pt idx="65">
                  <c:v>24934</c:v>
                </c:pt>
                <c:pt idx="66">
                  <c:v>24941</c:v>
                </c:pt>
                <c:pt idx="67">
                  <c:v>24948</c:v>
                </c:pt>
                <c:pt idx="68">
                  <c:v>24955</c:v>
                </c:pt>
                <c:pt idx="69">
                  <c:v>24962</c:v>
                </c:pt>
                <c:pt idx="70">
                  <c:v>24969</c:v>
                </c:pt>
                <c:pt idx="71">
                  <c:v>24976</c:v>
                </c:pt>
                <c:pt idx="72">
                  <c:v>24983</c:v>
                </c:pt>
                <c:pt idx="73">
                  <c:v>24990</c:v>
                </c:pt>
                <c:pt idx="74">
                  <c:v>24997</c:v>
                </c:pt>
                <c:pt idx="75">
                  <c:v>25004</c:v>
                </c:pt>
                <c:pt idx="76">
                  <c:v>25011</c:v>
                </c:pt>
                <c:pt idx="77">
                  <c:v>25018</c:v>
                </c:pt>
                <c:pt idx="78">
                  <c:v>25025</c:v>
                </c:pt>
                <c:pt idx="79">
                  <c:v>25032</c:v>
                </c:pt>
                <c:pt idx="80">
                  <c:v>25039</c:v>
                </c:pt>
                <c:pt idx="81">
                  <c:v>25046</c:v>
                </c:pt>
                <c:pt idx="82">
                  <c:v>25053</c:v>
                </c:pt>
                <c:pt idx="83">
                  <c:v>25060</c:v>
                </c:pt>
                <c:pt idx="84">
                  <c:v>25067</c:v>
                </c:pt>
                <c:pt idx="85">
                  <c:v>25074</c:v>
                </c:pt>
                <c:pt idx="86">
                  <c:v>25081</c:v>
                </c:pt>
                <c:pt idx="87">
                  <c:v>25088</c:v>
                </c:pt>
                <c:pt idx="88">
                  <c:v>25095</c:v>
                </c:pt>
                <c:pt idx="89">
                  <c:v>25102</c:v>
                </c:pt>
                <c:pt idx="90">
                  <c:v>25109</c:v>
                </c:pt>
                <c:pt idx="91">
                  <c:v>25116</c:v>
                </c:pt>
                <c:pt idx="92">
                  <c:v>25123</c:v>
                </c:pt>
                <c:pt idx="93">
                  <c:v>25130</c:v>
                </c:pt>
                <c:pt idx="94">
                  <c:v>25137</c:v>
                </c:pt>
                <c:pt idx="95">
                  <c:v>25144</c:v>
                </c:pt>
                <c:pt idx="96">
                  <c:v>25151</c:v>
                </c:pt>
                <c:pt idx="97">
                  <c:v>25158</c:v>
                </c:pt>
                <c:pt idx="98">
                  <c:v>25165</c:v>
                </c:pt>
                <c:pt idx="99">
                  <c:v>25172</c:v>
                </c:pt>
                <c:pt idx="100">
                  <c:v>25179</c:v>
                </c:pt>
                <c:pt idx="101">
                  <c:v>25186</c:v>
                </c:pt>
                <c:pt idx="102">
                  <c:v>25193</c:v>
                </c:pt>
                <c:pt idx="103">
                  <c:v>25200</c:v>
                </c:pt>
                <c:pt idx="104">
                  <c:v>25207</c:v>
                </c:pt>
                <c:pt idx="105">
                  <c:v>25214</c:v>
                </c:pt>
                <c:pt idx="106">
                  <c:v>25221</c:v>
                </c:pt>
                <c:pt idx="107">
                  <c:v>25228</c:v>
                </c:pt>
                <c:pt idx="108">
                  <c:v>25235</c:v>
                </c:pt>
                <c:pt idx="109">
                  <c:v>25242</c:v>
                </c:pt>
                <c:pt idx="110">
                  <c:v>25249</c:v>
                </c:pt>
                <c:pt idx="111">
                  <c:v>25256</c:v>
                </c:pt>
                <c:pt idx="112">
                  <c:v>25263</c:v>
                </c:pt>
                <c:pt idx="113">
                  <c:v>25270</c:v>
                </c:pt>
                <c:pt idx="114">
                  <c:v>25277</c:v>
                </c:pt>
                <c:pt idx="115">
                  <c:v>25284</c:v>
                </c:pt>
                <c:pt idx="116">
                  <c:v>25291</c:v>
                </c:pt>
                <c:pt idx="117">
                  <c:v>25298</c:v>
                </c:pt>
                <c:pt idx="118">
                  <c:v>25305</c:v>
                </c:pt>
                <c:pt idx="119">
                  <c:v>25312</c:v>
                </c:pt>
                <c:pt idx="120">
                  <c:v>25319</c:v>
                </c:pt>
                <c:pt idx="121">
                  <c:v>25326</c:v>
                </c:pt>
                <c:pt idx="122">
                  <c:v>25333</c:v>
                </c:pt>
                <c:pt idx="123">
                  <c:v>25340</c:v>
                </c:pt>
                <c:pt idx="124">
                  <c:v>25347</c:v>
                </c:pt>
                <c:pt idx="125">
                  <c:v>25354</c:v>
                </c:pt>
                <c:pt idx="126">
                  <c:v>25361</c:v>
                </c:pt>
                <c:pt idx="127">
                  <c:v>25368</c:v>
                </c:pt>
                <c:pt idx="128">
                  <c:v>25375</c:v>
                </c:pt>
                <c:pt idx="129">
                  <c:v>25382</c:v>
                </c:pt>
                <c:pt idx="130">
                  <c:v>25389</c:v>
                </c:pt>
                <c:pt idx="131">
                  <c:v>25396</c:v>
                </c:pt>
                <c:pt idx="132">
                  <c:v>25403</c:v>
                </c:pt>
                <c:pt idx="133">
                  <c:v>25410</c:v>
                </c:pt>
                <c:pt idx="134">
                  <c:v>25417</c:v>
                </c:pt>
                <c:pt idx="135">
                  <c:v>25424</c:v>
                </c:pt>
                <c:pt idx="136">
                  <c:v>25431</c:v>
                </c:pt>
                <c:pt idx="137">
                  <c:v>25438</c:v>
                </c:pt>
                <c:pt idx="138">
                  <c:v>25445</c:v>
                </c:pt>
                <c:pt idx="139">
                  <c:v>25452</c:v>
                </c:pt>
                <c:pt idx="140">
                  <c:v>25459</c:v>
                </c:pt>
                <c:pt idx="141">
                  <c:v>25466</c:v>
                </c:pt>
                <c:pt idx="142">
                  <c:v>25473</c:v>
                </c:pt>
                <c:pt idx="143">
                  <c:v>25480</c:v>
                </c:pt>
                <c:pt idx="144">
                  <c:v>25487</c:v>
                </c:pt>
                <c:pt idx="145">
                  <c:v>25494</c:v>
                </c:pt>
                <c:pt idx="146">
                  <c:v>25501</c:v>
                </c:pt>
                <c:pt idx="147">
                  <c:v>25508</c:v>
                </c:pt>
                <c:pt idx="148">
                  <c:v>25515</c:v>
                </c:pt>
                <c:pt idx="149">
                  <c:v>25522</c:v>
                </c:pt>
                <c:pt idx="150">
                  <c:v>25529</c:v>
                </c:pt>
                <c:pt idx="151">
                  <c:v>25536</c:v>
                </c:pt>
                <c:pt idx="152">
                  <c:v>25543</c:v>
                </c:pt>
                <c:pt idx="153">
                  <c:v>25550</c:v>
                </c:pt>
                <c:pt idx="154">
                  <c:v>25557</c:v>
                </c:pt>
                <c:pt idx="155">
                  <c:v>25564</c:v>
                </c:pt>
                <c:pt idx="156">
                  <c:v>25571</c:v>
                </c:pt>
                <c:pt idx="157">
                  <c:v>25578</c:v>
                </c:pt>
                <c:pt idx="158">
                  <c:v>25585</c:v>
                </c:pt>
                <c:pt idx="159">
                  <c:v>25592</c:v>
                </c:pt>
                <c:pt idx="160">
                  <c:v>25599</c:v>
                </c:pt>
                <c:pt idx="161">
                  <c:v>25606</c:v>
                </c:pt>
                <c:pt idx="162">
                  <c:v>25613</c:v>
                </c:pt>
                <c:pt idx="163">
                  <c:v>25620</c:v>
                </c:pt>
                <c:pt idx="164">
                  <c:v>25627</c:v>
                </c:pt>
                <c:pt idx="165">
                  <c:v>25634</c:v>
                </c:pt>
                <c:pt idx="166">
                  <c:v>25641</c:v>
                </c:pt>
                <c:pt idx="167">
                  <c:v>25648</c:v>
                </c:pt>
                <c:pt idx="168">
                  <c:v>25655</c:v>
                </c:pt>
                <c:pt idx="169">
                  <c:v>25662</c:v>
                </c:pt>
                <c:pt idx="170">
                  <c:v>25669</c:v>
                </c:pt>
                <c:pt idx="171">
                  <c:v>25676</c:v>
                </c:pt>
                <c:pt idx="172">
                  <c:v>25683</c:v>
                </c:pt>
                <c:pt idx="173">
                  <c:v>25690</c:v>
                </c:pt>
                <c:pt idx="174">
                  <c:v>25697</c:v>
                </c:pt>
                <c:pt idx="175">
                  <c:v>25704</c:v>
                </c:pt>
                <c:pt idx="176">
                  <c:v>25711</c:v>
                </c:pt>
                <c:pt idx="177">
                  <c:v>25718</c:v>
                </c:pt>
                <c:pt idx="178">
                  <c:v>25725</c:v>
                </c:pt>
                <c:pt idx="179">
                  <c:v>25732</c:v>
                </c:pt>
                <c:pt idx="180">
                  <c:v>25739</c:v>
                </c:pt>
                <c:pt idx="181">
                  <c:v>25746</c:v>
                </c:pt>
                <c:pt idx="182">
                  <c:v>25753</c:v>
                </c:pt>
                <c:pt idx="183">
                  <c:v>25760</c:v>
                </c:pt>
                <c:pt idx="184">
                  <c:v>25767</c:v>
                </c:pt>
                <c:pt idx="185">
                  <c:v>25774</c:v>
                </c:pt>
                <c:pt idx="186">
                  <c:v>25781</c:v>
                </c:pt>
                <c:pt idx="187">
                  <c:v>25788</c:v>
                </c:pt>
                <c:pt idx="188">
                  <c:v>25795</c:v>
                </c:pt>
                <c:pt idx="189">
                  <c:v>25802</c:v>
                </c:pt>
                <c:pt idx="190">
                  <c:v>25809</c:v>
                </c:pt>
                <c:pt idx="191">
                  <c:v>25816</c:v>
                </c:pt>
                <c:pt idx="192">
                  <c:v>25823</c:v>
                </c:pt>
                <c:pt idx="193">
                  <c:v>25830</c:v>
                </c:pt>
                <c:pt idx="194">
                  <c:v>25837</c:v>
                </c:pt>
                <c:pt idx="195">
                  <c:v>25844</c:v>
                </c:pt>
                <c:pt idx="196">
                  <c:v>25851</c:v>
                </c:pt>
                <c:pt idx="197">
                  <c:v>25858</c:v>
                </c:pt>
                <c:pt idx="198">
                  <c:v>25865</c:v>
                </c:pt>
                <c:pt idx="199">
                  <c:v>25872</c:v>
                </c:pt>
                <c:pt idx="200">
                  <c:v>25879</c:v>
                </c:pt>
                <c:pt idx="201">
                  <c:v>25886</c:v>
                </c:pt>
                <c:pt idx="202">
                  <c:v>25893</c:v>
                </c:pt>
                <c:pt idx="203">
                  <c:v>25900</c:v>
                </c:pt>
                <c:pt idx="204">
                  <c:v>25907</c:v>
                </c:pt>
                <c:pt idx="205">
                  <c:v>25914</c:v>
                </c:pt>
                <c:pt idx="206">
                  <c:v>25921</c:v>
                </c:pt>
                <c:pt idx="207">
                  <c:v>25928</c:v>
                </c:pt>
                <c:pt idx="208">
                  <c:v>25935</c:v>
                </c:pt>
                <c:pt idx="209">
                  <c:v>25942</c:v>
                </c:pt>
                <c:pt idx="210">
                  <c:v>25949</c:v>
                </c:pt>
                <c:pt idx="211">
                  <c:v>25956</c:v>
                </c:pt>
                <c:pt idx="212">
                  <c:v>25963</c:v>
                </c:pt>
                <c:pt idx="213">
                  <c:v>25970</c:v>
                </c:pt>
                <c:pt idx="214">
                  <c:v>25977</c:v>
                </c:pt>
                <c:pt idx="215">
                  <c:v>25984</c:v>
                </c:pt>
                <c:pt idx="216">
                  <c:v>25991</c:v>
                </c:pt>
                <c:pt idx="217">
                  <c:v>25998</c:v>
                </c:pt>
                <c:pt idx="218">
                  <c:v>26005</c:v>
                </c:pt>
                <c:pt idx="219">
                  <c:v>26012</c:v>
                </c:pt>
                <c:pt idx="220">
                  <c:v>26019</c:v>
                </c:pt>
                <c:pt idx="221">
                  <c:v>26026</c:v>
                </c:pt>
                <c:pt idx="222">
                  <c:v>26033</c:v>
                </c:pt>
                <c:pt idx="223">
                  <c:v>26040</c:v>
                </c:pt>
                <c:pt idx="224">
                  <c:v>26047</c:v>
                </c:pt>
                <c:pt idx="225">
                  <c:v>26054</c:v>
                </c:pt>
                <c:pt idx="226">
                  <c:v>26061</c:v>
                </c:pt>
                <c:pt idx="227">
                  <c:v>26068</c:v>
                </c:pt>
                <c:pt idx="228">
                  <c:v>26075</c:v>
                </c:pt>
                <c:pt idx="229">
                  <c:v>26082</c:v>
                </c:pt>
                <c:pt idx="230">
                  <c:v>26089</c:v>
                </c:pt>
                <c:pt idx="231">
                  <c:v>26096</c:v>
                </c:pt>
                <c:pt idx="232">
                  <c:v>26103</c:v>
                </c:pt>
                <c:pt idx="233">
                  <c:v>26110</c:v>
                </c:pt>
                <c:pt idx="234">
                  <c:v>26117</c:v>
                </c:pt>
                <c:pt idx="235">
                  <c:v>26124</c:v>
                </c:pt>
                <c:pt idx="236">
                  <c:v>26131</c:v>
                </c:pt>
                <c:pt idx="237">
                  <c:v>26138</c:v>
                </c:pt>
                <c:pt idx="238">
                  <c:v>26145</c:v>
                </c:pt>
                <c:pt idx="239">
                  <c:v>26152</c:v>
                </c:pt>
                <c:pt idx="240">
                  <c:v>26159</c:v>
                </c:pt>
                <c:pt idx="241">
                  <c:v>26166</c:v>
                </c:pt>
                <c:pt idx="242">
                  <c:v>26173</c:v>
                </c:pt>
                <c:pt idx="243">
                  <c:v>26180</c:v>
                </c:pt>
                <c:pt idx="244">
                  <c:v>26187</c:v>
                </c:pt>
                <c:pt idx="245">
                  <c:v>26194</c:v>
                </c:pt>
                <c:pt idx="246">
                  <c:v>26201</c:v>
                </c:pt>
                <c:pt idx="247">
                  <c:v>26208</c:v>
                </c:pt>
                <c:pt idx="248">
                  <c:v>26215</c:v>
                </c:pt>
                <c:pt idx="249">
                  <c:v>26222</c:v>
                </c:pt>
                <c:pt idx="250">
                  <c:v>26229</c:v>
                </c:pt>
                <c:pt idx="251">
                  <c:v>26236</c:v>
                </c:pt>
                <c:pt idx="252">
                  <c:v>26243</c:v>
                </c:pt>
                <c:pt idx="253">
                  <c:v>26250</c:v>
                </c:pt>
                <c:pt idx="254">
                  <c:v>26257</c:v>
                </c:pt>
                <c:pt idx="255">
                  <c:v>26264</c:v>
                </c:pt>
                <c:pt idx="256">
                  <c:v>26271</c:v>
                </c:pt>
                <c:pt idx="257">
                  <c:v>26278</c:v>
                </c:pt>
                <c:pt idx="258">
                  <c:v>26285</c:v>
                </c:pt>
                <c:pt idx="259">
                  <c:v>26292</c:v>
                </c:pt>
                <c:pt idx="260">
                  <c:v>26299</c:v>
                </c:pt>
                <c:pt idx="261">
                  <c:v>26306</c:v>
                </c:pt>
                <c:pt idx="262">
                  <c:v>26313</c:v>
                </c:pt>
                <c:pt idx="263">
                  <c:v>26320</c:v>
                </c:pt>
                <c:pt idx="264">
                  <c:v>26327</c:v>
                </c:pt>
                <c:pt idx="265">
                  <c:v>26334</c:v>
                </c:pt>
                <c:pt idx="266">
                  <c:v>26341</c:v>
                </c:pt>
                <c:pt idx="267">
                  <c:v>26348</c:v>
                </c:pt>
                <c:pt idx="268">
                  <c:v>26355</c:v>
                </c:pt>
                <c:pt idx="269">
                  <c:v>26362</c:v>
                </c:pt>
                <c:pt idx="270">
                  <c:v>26369</c:v>
                </c:pt>
                <c:pt idx="271">
                  <c:v>26376</c:v>
                </c:pt>
                <c:pt idx="272">
                  <c:v>26383</c:v>
                </c:pt>
                <c:pt idx="273">
                  <c:v>26390</c:v>
                </c:pt>
                <c:pt idx="274">
                  <c:v>26397</c:v>
                </c:pt>
                <c:pt idx="275">
                  <c:v>26404</c:v>
                </c:pt>
                <c:pt idx="276">
                  <c:v>26411</c:v>
                </c:pt>
                <c:pt idx="277">
                  <c:v>26418</c:v>
                </c:pt>
                <c:pt idx="278">
                  <c:v>26425</c:v>
                </c:pt>
                <c:pt idx="279">
                  <c:v>26432</c:v>
                </c:pt>
                <c:pt idx="280">
                  <c:v>26439</c:v>
                </c:pt>
                <c:pt idx="281">
                  <c:v>26446</c:v>
                </c:pt>
                <c:pt idx="282">
                  <c:v>26453</c:v>
                </c:pt>
                <c:pt idx="283">
                  <c:v>26460</c:v>
                </c:pt>
                <c:pt idx="284">
                  <c:v>26467</c:v>
                </c:pt>
                <c:pt idx="285">
                  <c:v>26474</c:v>
                </c:pt>
                <c:pt idx="286">
                  <c:v>26481</c:v>
                </c:pt>
                <c:pt idx="287">
                  <c:v>26488</c:v>
                </c:pt>
                <c:pt idx="288">
                  <c:v>26495</c:v>
                </c:pt>
                <c:pt idx="289">
                  <c:v>26502</c:v>
                </c:pt>
                <c:pt idx="290">
                  <c:v>26509</c:v>
                </c:pt>
                <c:pt idx="291">
                  <c:v>26516</c:v>
                </c:pt>
                <c:pt idx="292">
                  <c:v>26523</c:v>
                </c:pt>
                <c:pt idx="293">
                  <c:v>26530</c:v>
                </c:pt>
                <c:pt idx="294">
                  <c:v>26537</c:v>
                </c:pt>
                <c:pt idx="295">
                  <c:v>26544</c:v>
                </c:pt>
                <c:pt idx="296">
                  <c:v>26551</c:v>
                </c:pt>
                <c:pt idx="297">
                  <c:v>26558</c:v>
                </c:pt>
                <c:pt idx="298">
                  <c:v>26565</c:v>
                </c:pt>
                <c:pt idx="299">
                  <c:v>26572</c:v>
                </c:pt>
                <c:pt idx="300">
                  <c:v>26579</c:v>
                </c:pt>
                <c:pt idx="301">
                  <c:v>26586</c:v>
                </c:pt>
                <c:pt idx="302">
                  <c:v>26593</c:v>
                </c:pt>
                <c:pt idx="303">
                  <c:v>26600</c:v>
                </c:pt>
                <c:pt idx="304">
                  <c:v>26607</c:v>
                </c:pt>
                <c:pt idx="305">
                  <c:v>26614</c:v>
                </c:pt>
                <c:pt idx="306">
                  <c:v>26621</c:v>
                </c:pt>
                <c:pt idx="307">
                  <c:v>26628</c:v>
                </c:pt>
                <c:pt idx="308">
                  <c:v>26635</c:v>
                </c:pt>
                <c:pt idx="309">
                  <c:v>26642</c:v>
                </c:pt>
                <c:pt idx="310">
                  <c:v>26649</c:v>
                </c:pt>
                <c:pt idx="311">
                  <c:v>26656</c:v>
                </c:pt>
                <c:pt idx="312">
                  <c:v>26663</c:v>
                </c:pt>
                <c:pt idx="313">
                  <c:v>26670</c:v>
                </c:pt>
                <c:pt idx="314">
                  <c:v>26677</c:v>
                </c:pt>
                <c:pt idx="315">
                  <c:v>26684</c:v>
                </c:pt>
                <c:pt idx="316">
                  <c:v>26691</c:v>
                </c:pt>
                <c:pt idx="317">
                  <c:v>26698</c:v>
                </c:pt>
                <c:pt idx="318">
                  <c:v>26705</c:v>
                </c:pt>
                <c:pt idx="319">
                  <c:v>26712</c:v>
                </c:pt>
                <c:pt idx="320">
                  <c:v>26719</c:v>
                </c:pt>
                <c:pt idx="321">
                  <c:v>26726</c:v>
                </c:pt>
                <c:pt idx="322">
                  <c:v>26733</c:v>
                </c:pt>
                <c:pt idx="323">
                  <c:v>26740</c:v>
                </c:pt>
                <c:pt idx="324">
                  <c:v>26747</c:v>
                </c:pt>
                <c:pt idx="325">
                  <c:v>26754</c:v>
                </c:pt>
                <c:pt idx="326">
                  <c:v>26761</c:v>
                </c:pt>
                <c:pt idx="327">
                  <c:v>26768</c:v>
                </c:pt>
                <c:pt idx="328">
                  <c:v>26775</c:v>
                </c:pt>
                <c:pt idx="329">
                  <c:v>26782</c:v>
                </c:pt>
                <c:pt idx="330">
                  <c:v>26789</c:v>
                </c:pt>
                <c:pt idx="331">
                  <c:v>26796</c:v>
                </c:pt>
                <c:pt idx="332">
                  <c:v>26803</c:v>
                </c:pt>
                <c:pt idx="333">
                  <c:v>26810</c:v>
                </c:pt>
                <c:pt idx="334">
                  <c:v>26817</c:v>
                </c:pt>
                <c:pt idx="335">
                  <c:v>26824</c:v>
                </c:pt>
                <c:pt idx="336">
                  <c:v>26831</c:v>
                </c:pt>
                <c:pt idx="337">
                  <c:v>26838</c:v>
                </c:pt>
                <c:pt idx="338">
                  <c:v>26845</c:v>
                </c:pt>
                <c:pt idx="339">
                  <c:v>26852</c:v>
                </c:pt>
                <c:pt idx="340">
                  <c:v>26859</c:v>
                </c:pt>
                <c:pt idx="341">
                  <c:v>26866</c:v>
                </c:pt>
                <c:pt idx="342">
                  <c:v>26873</c:v>
                </c:pt>
                <c:pt idx="343">
                  <c:v>26880</c:v>
                </c:pt>
                <c:pt idx="344">
                  <c:v>26887</c:v>
                </c:pt>
                <c:pt idx="345">
                  <c:v>26894</c:v>
                </c:pt>
                <c:pt idx="346">
                  <c:v>26901</c:v>
                </c:pt>
                <c:pt idx="347">
                  <c:v>26908</c:v>
                </c:pt>
                <c:pt idx="348">
                  <c:v>26915</c:v>
                </c:pt>
                <c:pt idx="349">
                  <c:v>26922</c:v>
                </c:pt>
                <c:pt idx="350">
                  <c:v>26929</c:v>
                </c:pt>
                <c:pt idx="351">
                  <c:v>26936</c:v>
                </c:pt>
                <c:pt idx="352">
                  <c:v>26943</c:v>
                </c:pt>
                <c:pt idx="353">
                  <c:v>26950</c:v>
                </c:pt>
                <c:pt idx="354">
                  <c:v>26957</c:v>
                </c:pt>
                <c:pt idx="355">
                  <c:v>26964</c:v>
                </c:pt>
                <c:pt idx="356">
                  <c:v>26971</c:v>
                </c:pt>
                <c:pt idx="357">
                  <c:v>26978</c:v>
                </c:pt>
                <c:pt idx="358">
                  <c:v>26985</c:v>
                </c:pt>
                <c:pt idx="359">
                  <c:v>26992</c:v>
                </c:pt>
                <c:pt idx="360">
                  <c:v>26999</c:v>
                </c:pt>
                <c:pt idx="361">
                  <c:v>27006</c:v>
                </c:pt>
                <c:pt idx="362">
                  <c:v>27013</c:v>
                </c:pt>
                <c:pt idx="363">
                  <c:v>27020</c:v>
                </c:pt>
                <c:pt idx="364">
                  <c:v>27027</c:v>
                </c:pt>
                <c:pt idx="365">
                  <c:v>27034</c:v>
                </c:pt>
                <c:pt idx="366">
                  <c:v>27041</c:v>
                </c:pt>
                <c:pt idx="367">
                  <c:v>27048</c:v>
                </c:pt>
                <c:pt idx="368">
                  <c:v>27055</c:v>
                </c:pt>
                <c:pt idx="369">
                  <c:v>27062</c:v>
                </c:pt>
                <c:pt idx="370">
                  <c:v>27069</c:v>
                </c:pt>
                <c:pt idx="371">
                  <c:v>27076</c:v>
                </c:pt>
                <c:pt idx="372">
                  <c:v>27083</c:v>
                </c:pt>
                <c:pt idx="373">
                  <c:v>27090</c:v>
                </c:pt>
                <c:pt idx="374">
                  <c:v>27097</c:v>
                </c:pt>
                <c:pt idx="375">
                  <c:v>27104</c:v>
                </c:pt>
                <c:pt idx="376">
                  <c:v>27111</c:v>
                </c:pt>
                <c:pt idx="377">
                  <c:v>27118</c:v>
                </c:pt>
                <c:pt idx="378">
                  <c:v>27125</c:v>
                </c:pt>
                <c:pt idx="379">
                  <c:v>27132</c:v>
                </c:pt>
                <c:pt idx="380">
                  <c:v>27139</c:v>
                </c:pt>
                <c:pt idx="381">
                  <c:v>27146</c:v>
                </c:pt>
                <c:pt idx="382">
                  <c:v>27153</c:v>
                </c:pt>
                <c:pt idx="383">
                  <c:v>27160</c:v>
                </c:pt>
                <c:pt idx="384">
                  <c:v>27167</c:v>
                </c:pt>
                <c:pt idx="385">
                  <c:v>27174</c:v>
                </c:pt>
                <c:pt idx="386">
                  <c:v>27181</c:v>
                </c:pt>
                <c:pt idx="387">
                  <c:v>27188</c:v>
                </c:pt>
                <c:pt idx="388">
                  <c:v>27195</c:v>
                </c:pt>
                <c:pt idx="389">
                  <c:v>27202</c:v>
                </c:pt>
                <c:pt idx="390">
                  <c:v>27209</c:v>
                </c:pt>
                <c:pt idx="391">
                  <c:v>27216</c:v>
                </c:pt>
                <c:pt idx="392">
                  <c:v>27223</c:v>
                </c:pt>
                <c:pt idx="393">
                  <c:v>27230</c:v>
                </c:pt>
                <c:pt idx="394">
                  <c:v>27237</c:v>
                </c:pt>
                <c:pt idx="395">
                  <c:v>27244</c:v>
                </c:pt>
                <c:pt idx="396">
                  <c:v>27251</c:v>
                </c:pt>
                <c:pt idx="397">
                  <c:v>27258</c:v>
                </c:pt>
                <c:pt idx="398">
                  <c:v>27265</c:v>
                </c:pt>
                <c:pt idx="399">
                  <c:v>27272</c:v>
                </c:pt>
                <c:pt idx="400">
                  <c:v>27279</c:v>
                </c:pt>
                <c:pt idx="401">
                  <c:v>27286</c:v>
                </c:pt>
                <c:pt idx="402">
                  <c:v>27293</c:v>
                </c:pt>
                <c:pt idx="403">
                  <c:v>27300</c:v>
                </c:pt>
                <c:pt idx="404">
                  <c:v>27307</c:v>
                </c:pt>
                <c:pt idx="405">
                  <c:v>27314</c:v>
                </c:pt>
                <c:pt idx="406">
                  <c:v>27321</c:v>
                </c:pt>
                <c:pt idx="407">
                  <c:v>27328</c:v>
                </c:pt>
                <c:pt idx="408">
                  <c:v>27335</c:v>
                </c:pt>
                <c:pt idx="409">
                  <c:v>27342</c:v>
                </c:pt>
                <c:pt idx="410">
                  <c:v>27349</c:v>
                </c:pt>
                <c:pt idx="411">
                  <c:v>27356</c:v>
                </c:pt>
                <c:pt idx="412">
                  <c:v>27363</c:v>
                </c:pt>
                <c:pt idx="413">
                  <c:v>27370</c:v>
                </c:pt>
                <c:pt idx="414">
                  <c:v>27377</c:v>
                </c:pt>
                <c:pt idx="415">
                  <c:v>27384</c:v>
                </c:pt>
                <c:pt idx="416">
                  <c:v>27391</c:v>
                </c:pt>
                <c:pt idx="417">
                  <c:v>27398</c:v>
                </c:pt>
                <c:pt idx="418">
                  <c:v>27405</c:v>
                </c:pt>
                <c:pt idx="419">
                  <c:v>27412</c:v>
                </c:pt>
                <c:pt idx="420">
                  <c:v>27419</c:v>
                </c:pt>
                <c:pt idx="421">
                  <c:v>27426</c:v>
                </c:pt>
                <c:pt idx="422">
                  <c:v>27433</c:v>
                </c:pt>
                <c:pt idx="423">
                  <c:v>27440</c:v>
                </c:pt>
                <c:pt idx="424">
                  <c:v>27447</c:v>
                </c:pt>
                <c:pt idx="425">
                  <c:v>27454</c:v>
                </c:pt>
                <c:pt idx="426">
                  <c:v>27461</c:v>
                </c:pt>
                <c:pt idx="427">
                  <c:v>27468</c:v>
                </c:pt>
                <c:pt idx="428">
                  <c:v>27475</c:v>
                </c:pt>
                <c:pt idx="429">
                  <c:v>27482</c:v>
                </c:pt>
                <c:pt idx="430">
                  <c:v>27489</c:v>
                </c:pt>
                <c:pt idx="431">
                  <c:v>27496</c:v>
                </c:pt>
                <c:pt idx="432">
                  <c:v>27503</c:v>
                </c:pt>
                <c:pt idx="433">
                  <c:v>27510</c:v>
                </c:pt>
                <c:pt idx="434">
                  <c:v>27517</c:v>
                </c:pt>
                <c:pt idx="435">
                  <c:v>27524</c:v>
                </c:pt>
                <c:pt idx="436">
                  <c:v>27531</c:v>
                </c:pt>
                <c:pt idx="437">
                  <c:v>27538</c:v>
                </c:pt>
                <c:pt idx="438">
                  <c:v>27545</c:v>
                </c:pt>
                <c:pt idx="439">
                  <c:v>27552</c:v>
                </c:pt>
                <c:pt idx="440">
                  <c:v>27559</c:v>
                </c:pt>
                <c:pt idx="441">
                  <c:v>27566</c:v>
                </c:pt>
                <c:pt idx="442">
                  <c:v>27573</c:v>
                </c:pt>
                <c:pt idx="443">
                  <c:v>27580</c:v>
                </c:pt>
                <c:pt idx="444">
                  <c:v>27587</c:v>
                </c:pt>
                <c:pt idx="445">
                  <c:v>27594</c:v>
                </c:pt>
                <c:pt idx="446">
                  <c:v>27601</c:v>
                </c:pt>
                <c:pt idx="447">
                  <c:v>27608</c:v>
                </c:pt>
                <c:pt idx="448">
                  <c:v>27615</c:v>
                </c:pt>
                <c:pt idx="449">
                  <c:v>27622</c:v>
                </c:pt>
                <c:pt idx="450">
                  <c:v>27629</c:v>
                </c:pt>
                <c:pt idx="451">
                  <c:v>27636</c:v>
                </c:pt>
                <c:pt idx="452">
                  <c:v>27643</c:v>
                </c:pt>
                <c:pt idx="453">
                  <c:v>27650</c:v>
                </c:pt>
                <c:pt idx="454">
                  <c:v>27657</c:v>
                </c:pt>
                <c:pt idx="455">
                  <c:v>27664</c:v>
                </c:pt>
                <c:pt idx="456">
                  <c:v>27671</c:v>
                </c:pt>
                <c:pt idx="457">
                  <c:v>27678</c:v>
                </c:pt>
                <c:pt idx="458">
                  <c:v>27685</c:v>
                </c:pt>
                <c:pt idx="459">
                  <c:v>27692</c:v>
                </c:pt>
                <c:pt idx="460">
                  <c:v>27699</c:v>
                </c:pt>
                <c:pt idx="461">
                  <c:v>27706</c:v>
                </c:pt>
                <c:pt idx="462">
                  <c:v>27713</c:v>
                </c:pt>
                <c:pt idx="463">
                  <c:v>27720</c:v>
                </c:pt>
                <c:pt idx="464">
                  <c:v>27727</c:v>
                </c:pt>
                <c:pt idx="465">
                  <c:v>27734</c:v>
                </c:pt>
                <c:pt idx="466">
                  <c:v>27741</c:v>
                </c:pt>
                <c:pt idx="467">
                  <c:v>27748</c:v>
                </c:pt>
                <c:pt idx="468">
                  <c:v>27755</c:v>
                </c:pt>
                <c:pt idx="469">
                  <c:v>27762</c:v>
                </c:pt>
                <c:pt idx="470">
                  <c:v>27769</c:v>
                </c:pt>
                <c:pt idx="471">
                  <c:v>27776</c:v>
                </c:pt>
                <c:pt idx="472">
                  <c:v>27783</c:v>
                </c:pt>
                <c:pt idx="473">
                  <c:v>27790</c:v>
                </c:pt>
                <c:pt idx="474">
                  <c:v>27797</c:v>
                </c:pt>
                <c:pt idx="475">
                  <c:v>27804</c:v>
                </c:pt>
                <c:pt idx="476">
                  <c:v>27811</c:v>
                </c:pt>
                <c:pt idx="477">
                  <c:v>27818</c:v>
                </c:pt>
                <c:pt idx="478">
                  <c:v>27825</c:v>
                </c:pt>
                <c:pt idx="479">
                  <c:v>27832</c:v>
                </c:pt>
                <c:pt idx="480">
                  <c:v>27839</c:v>
                </c:pt>
                <c:pt idx="481">
                  <c:v>27846</c:v>
                </c:pt>
                <c:pt idx="482">
                  <c:v>27853</c:v>
                </c:pt>
                <c:pt idx="483">
                  <c:v>27860</c:v>
                </c:pt>
                <c:pt idx="484">
                  <c:v>27867</c:v>
                </c:pt>
                <c:pt idx="485">
                  <c:v>27874</c:v>
                </c:pt>
                <c:pt idx="486">
                  <c:v>27881</c:v>
                </c:pt>
                <c:pt idx="487">
                  <c:v>27888</c:v>
                </c:pt>
                <c:pt idx="488">
                  <c:v>27895</c:v>
                </c:pt>
                <c:pt idx="489">
                  <c:v>27902</c:v>
                </c:pt>
                <c:pt idx="490">
                  <c:v>27909</c:v>
                </c:pt>
                <c:pt idx="491">
                  <c:v>27916</c:v>
                </c:pt>
                <c:pt idx="492">
                  <c:v>27923</c:v>
                </c:pt>
                <c:pt idx="493">
                  <c:v>27930</c:v>
                </c:pt>
                <c:pt idx="494">
                  <c:v>27937</c:v>
                </c:pt>
                <c:pt idx="495">
                  <c:v>27944</c:v>
                </c:pt>
                <c:pt idx="496">
                  <c:v>27951</c:v>
                </c:pt>
                <c:pt idx="497">
                  <c:v>27958</c:v>
                </c:pt>
                <c:pt idx="498">
                  <c:v>27965</c:v>
                </c:pt>
                <c:pt idx="499">
                  <c:v>27972</c:v>
                </c:pt>
                <c:pt idx="500">
                  <c:v>27979</c:v>
                </c:pt>
                <c:pt idx="501">
                  <c:v>27986</c:v>
                </c:pt>
                <c:pt idx="502">
                  <c:v>27993</c:v>
                </c:pt>
                <c:pt idx="503">
                  <c:v>28000</c:v>
                </c:pt>
                <c:pt idx="504">
                  <c:v>28007</c:v>
                </c:pt>
                <c:pt idx="505">
                  <c:v>28014</c:v>
                </c:pt>
                <c:pt idx="506">
                  <c:v>28021</c:v>
                </c:pt>
                <c:pt idx="507">
                  <c:v>28028</c:v>
                </c:pt>
                <c:pt idx="508">
                  <c:v>28035</c:v>
                </c:pt>
                <c:pt idx="509">
                  <c:v>28042</c:v>
                </c:pt>
                <c:pt idx="510">
                  <c:v>28049</c:v>
                </c:pt>
                <c:pt idx="511">
                  <c:v>28056</c:v>
                </c:pt>
                <c:pt idx="512">
                  <c:v>28063</c:v>
                </c:pt>
                <c:pt idx="513">
                  <c:v>28070</c:v>
                </c:pt>
                <c:pt idx="514">
                  <c:v>28077</c:v>
                </c:pt>
                <c:pt idx="515">
                  <c:v>28084</c:v>
                </c:pt>
                <c:pt idx="516">
                  <c:v>28091</c:v>
                </c:pt>
                <c:pt idx="517">
                  <c:v>28098</c:v>
                </c:pt>
                <c:pt idx="518">
                  <c:v>28105</c:v>
                </c:pt>
                <c:pt idx="519">
                  <c:v>28112</c:v>
                </c:pt>
                <c:pt idx="520">
                  <c:v>28119</c:v>
                </c:pt>
                <c:pt idx="521">
                  <c:v>28126</c:v>
                </c:pt>
                <c:pt idx="522">
                  <c:v>28133</c:v>
                </c:pt>
                <c:pt idx="523">
                  <c:v>28140</c:v>
                </c:pt>
                <c:pt idx="524">
                  <c:v>28147</c:v>
                </c:pt>
                <c:pt idx="525">
                  <c:v>28154</c:v>
                </c:pt>
                <c:pt idx="526">
                  <c:v>28161</c:v>
                </c:pt>
                <c:pt idx="527">
                  <c:v>28168</c:v>
                </c:pt>
                <c:pt idx="528">
                  <c:v>28175</c:v>
                </c:pt>
                <c:pt idx="529">
                  <c:v>28182</c:v>
                </c:pt>
                <c:pt idx="530">
                  <c:v>28189</c:v>
                </c:pt>
                <c:pt idx="531">
                  <c:v>28196</c:v>
                </c:pt>
                <c:pt idx="532">
                  <c:v>28203</c:v>
                </c:pt>
                <c:pt idx="533">
                  <c:v>28210</c:v>
                </c:pt>
                <c:pt idx="534">
                  <c:v>28217</c:v>
                </c:pt>
                <c:pt idx="535">
                  <c:v>28224</c:v>
                </c:pt>
                <c:pt idx="536">
                  <c:v>28231</c:v>
                </c:pt>
                <c:pt idx="537">
                  <c:v>28238</c:v>
                </c:pt>
                <c:pt idx="538">
                  <c:v>28245</c:v>
                </c:pt>
                <c:pt idx="539">
                  <c:v>28252</c:v>
                </c:pt>
                <c:pt idx="540">
                  <c:v>28259</c:v>
                </c:pt>
                <c:pt idx="541">
                  <c:v>28266</c:v>
                </c:pt>
                <c:pt idx="542">
                  <c:v>28273</c:v>
                </c:pt>
                <c:pt idx="543">
                  <c:v>28280</c:v>
                </c:pt>
                <c:pt idx="544">
                  <c:v>28287</c:v>
                </c:pt>
                <c:pt idx="545">
                  <c:v>28294</c:v>
                </c:pt>
                <c:pt idx="546">
                  <c:v>28301</c:v>
                </c:pt>
                <c:pt idx="547">
                  <c:v>28308</c:v>
                </c:pt>
                <c:pt idx="548">
                  <c:v>28315</c:v>
                </c:pt>
                <c:pt idx="549">
                  <c:v>28322</c:v>
                </c:pt>
                <c:pt idx="550">
                  <c:v>28329</c:v>
                </c:pt>
                <c:pt idx="551">
                  <c:v>28336</c:v>
                </c:pt>
                <c:pt idx="552">
                  <c:v>28343</c:v>
                </c:pt>
                <c:pt idx="553">
                  <c:v>28350</c:v>
                </c:pt>
                <c:pt idx="554">
                  <c:v>28357</c:v>
                </c:pt>
                <c:pt idx="555">
                  <c:v>28364</c:v>
                </c:pt>
                <c:pt idx="556">
                  <c:v>28371</c:v>
                </c:pt>
                <c:pt idx="557">
                  <c:v>28378</c:v>
                </c:pt>
                <c:pt idx="558">
                  <c:v>28385</c:v>
                </c:pt>
                <c:pt idx="559">
                  <c:v>28392</c:v>
                </c:pt>
                <c:pt idx="560">
                  <c:v>28399</c:v>
                </c:pt>
                <c:pt idx="561">
                  <c:v>28406</c:v>
                </c:pt>
                <c:pt idx="562">
                  <c:v>28413</c:v>
                </c:pt>
                <c:pt idx="563">
                  <c:v>28420</c:v>
                </c:pt>
                <c:pt idx="564">
                  <c:v>28427</c:v>
                </c:pt>
                <c:pt idx="565">
                  <c:v>28434</c:v>
                </c:pt>
                <c:pt idx="566">
                  <c:v>28441</c:v>
                </c:pt>
                <c:pt idx="567">
                  <c:v>28448</c:v>
                </c:pt>
                <c:pt idx="568">
                  <c:v>28455</c:v>
                </c:pt>
                <c:pt idx="569">
                  <c:v>28462</c:v>
                </c:pt>
                <c:pt idx="570">
                  <c:v>28469</c:v>
                </c:pt>
                <c:pt idx="571">
                  <c:v>28476</c:v>
                </c:pt>
                <c:pt idx="572">
                  <c:v>28483</c:v>
                </c:pt>
                <c:pt idx="573">
                  <c:v>28490</c:v>
                </c:pt>
                <c:pt idx="574">
                  <c:v>28497</c:v>
                </c:pt>
                <c:pt idx="575">
                  <c:v>28504</c:v>
                </c:pt>
                <c:pt idx="576">
                  <c:v>28511</c:v>
                </c:pt>
                <c:pt idx="577">
                  <c:v>28518</c:v>
                </c:pt>
                <c:pt idx="578">
                  <c:v>28525</c:v>
                </c:pt>
                <c:pt idx="579">
                  <c:v>28532</c:v>
                </c:pt>
                <c:pt idx="580">
                  <c:v>28539</c:v>
                </c:pt>
                <c:pt idx="581">
                  <c:v>28546</c:v>
                </c:pt>
                <c:pt idx="582">
                  <c:v>28553</c:v>
                </c:pt>
                <c:pt idx="583">
                  <c:v>28560</c:v>
                </c:pt>
                <c:pt idx="584">
                  <c:v>28567</c:v>
                </c:pt>
                <c:pt idx="585">
                  <c:v>28574</c:v>
                </c:pt>
                <c:pt idx="586">
                  <c:v>28581</c:v>
                </c:pt>
                <c:pt idx="587">
                  <c:v>28588</c:v>
                </c:pt>
                <c:pt idx="588">
                  <c:v>28595</c:v>
                </c:pt>
                <c:pt idx="589">
                  <c:v>28602</c:v>
                </c:pt>
                <c:pt idx="590">
                  <c:v>28609</c:v>
                </c:pt>
                <c:pt idx="591">
                  <c:v>28616</c:v>
                </c:pt>
                <c:pt idx="592">
                  <c:v>28623</c:v>
                </c:pt>
                <c:pt idx="593">
                  <c:v>28630</c:v>
                </c:pt>
                <c:pt idx="594">
                  <c:v>28637</c:v>
                </c:pt>
                <c:pt idx="595">
                  <c:v>28644</c:v>
                </c:pt>
                <c:pt idx="596">
                  <c:v>28651</c:v>
                </c:pt>
                <c:pt idx="597">
                  <c:v>28658</c:v>
                </c:pt>
                <c:pt idx="598">
                  <c:v>28665</c:v>
                </c:pt>
                <c:pt idx="599">
                  <c:v>28672</c:v>
                </c:pt>
                <c:pt idx="600">
                  <c:v>28679</c:v>
                </c:pt>
                <c:pt idx="601">
                  <c:v>28686</c:v>
                </c:pt>
                <c:pt idx="602">
                  <c:v>28693</c:v>
                </c:pt>
                <c:pt idx="603">
                  <c:v>28700</c:v>
                </c:pt>
                <c:pt idx="604">
                  <c:v>28707</c:v>
                </c:pt>
                <c:pt idx="605">
                  <c:v>28714</c:v>
                </c:pt>
                <c:pt idx="606">
                  <c:v>28721</c:v>
                </c:pt>
                <c:pt idx="607">
                  <c:v>28728</c:v>
                </c:pt>
                <c:pt idx="608">
                  <c:v>28735</c:v>
                </c:pt>
                <c:pt idx="609">
                  <c:v>28742</c:v>
                </c:pt>
                <c:pt idx="610">
                  <c:v>28749</c:v>
                </c:pt>
                <c:pt idx="611">
                  <c:v>28756</c:v>
                </c:pt>
                <c:pt idx="612">
                  <c:v>28763</c:v>
                </c:pt>
                <c:pt idx="613">
                  <c:v>28770</c:v>
                </c:pt>
                <c:pt idx="614">
                  <c:v>28777</c:v>
                </c:pt>
                <c:pt idx="615">
                  <c:v>28784</c:v>
                </c:pt>
                <c:pt idx="616">
                  <c:v>28791</c:v>
                </c:pt>
                <c:pt idx="617">
                  <c:v>28798</c:v>
                </c:pt>
                <c:pt idx="618">
                  <c:v>28805</c:v>
                </c:pt>
                <c:pt idx="619">
                  <c:v>28812</c:v>
                </c:pt>
                <c:pt idx="620">
                  <c:v>28819</c:v>
                </c:pt>
                <c:pt idx="621">
                  <c:v>28826</c:v>
                </c:pt>
                <c:pt idx="622">
                  <c:v>28833</c:v>
                </c:pt>
                <c:pt idx="623">
                  <c:v>28840</c:v>
                </c:pt>
                <c:pt idx="624">
                  <c:v>28847</c:v>
                </c:pt>
                <c:pt idx="625">
                  <c:v>28854</c:v>
                </c:pt>
                <c:pt idx="626">
                  <c:v>28861</c:v>
                </c:pt>
                <c:pt idx="627">
                  <c:v>28868</c:v>
                </c:pt>
                <c:pt idx="628">
                  <c:v>28875</c:v>
                </c:pt>
                <c:pt idx="629">
                  <c:v>28882</c:v>
                </c:pt>
                <c:pt idx="630">
                  <c:v>28889</c:v>
                </c:pt>
                <c:pt idx="631">
                  <c:v>28896</c:v>
                </c:pt>
                <c:pt idx="632">
                  <c:v>28903</c:v>
                </c:pt>
                <c:pt idx="633">
                  <c:v>28910</c:v>
                </c:pt>
                <c:pt idx="634">
                  <c:v>28917</c:v>
                </c:pt>
                <c:pt idx="635">
                  <c:v>28924</c:v>
                </c:pt>
                <c:pt idx="636">
                  <c:v>28931</c:v>
                </c:pt>
                <c:pt idx="637">
                  <c:v>28938</c:v>
                </c:pt>
                <c:pt idx="638">
                  <c:v>28945</c:v>
                </c:pt>
                <c:pt idx="639">
                  <c:v>28952</c:v>
                </c:pt>
                <c:pt idx="640">
                  <c:v>28959</c:v>
                </c:pt>
                <c:pt idx="641">
                  <c:v>28966</c:v>
                </c:pt>
                <c:pt idx="642">
                  <c:v>28973</c:v>
                </c:pt>
                <c:pt idx="643">
                  <c:v>28980</c:v>
                </c:pt>
                <c:pt idx="644">
                  <c:v>28987</c:v>
                </c:pt>
                <c:pt idx="645">
                  <c:v>28994</c:v>
                </c:pt>
                <c:pt idx="646">
                  <c:v>29001</c:v>
                </c:pt>
                <c:pt idx="647">
                  <c:v>29008</c:v>
                </c:pt>
                <c:pt idx="648">
                  <c:v>29015</c:v>
                </c:pt>
                <c:pt idx="649">
                  <c:v>29022</c:v>
                </c:pt>
                <c:pt idx="650">
                  <c:v>29029</c:v>
                </c:pt>
                <c:pt idx="651">
                  <c:v>29036</c:v>
                </c:pt>
                <c:pt idx="652">
                  <c:v>29043</c:v>
                </c:pt>
                <c:pt idx="653">
                  <c:v>29050</c:v>
                </c:pt>
                <c:pt idx="654">
                  <c:v>29057</c:v>
                </c:pt>
                <c:pt idx="655">
                  <c:v>29064</c:v>
                </c:pt>
                <c:pt idx="656">
                  <c:v>29071</c:v>
                </c:pt>
                <c:pt idx="657">
                  <c:v>29078</c:v>
                </c:pt>
                <c:pt idx="658">
                  <c:v>29085</c:v>
                </c:pt>
                <c:pt idx="659">
                  <c:v>29092</c:v>
                </c:pt>
                <c:pt idx="660">
                  <c:v>29099</c:v>
                </c:pt>
                <c:pt idx="661">
                  <c:v>29106</c:v>
                </c:pt>
                <c:pt idx="662">
                  <c:v>29113</c:v>
                </c:pt>
                <c:pt idx="663">
                  <c:v>29120</c:v>
                </c:pt>
                <c:pt idx="664">
                  <c:v>29127</c:v>
                </c:pt>
                <c:pt idx="665">
                  <c:v>29134</c:v>
                </c:pt>
                <c:pt idx="666">
                  <c:v>29141</c:v>
                </c:pt>
                <c:pt idx="667">
                  <c:v>29148</c:v>
                </c:pt>
                <c:pt idx="668">
                  <c:v>29155</c:v>
                </c:pt>
                <c:pt idx="669">
                  <c:v>29162</c:v>
                </c:pt>
                <c:pt idx="670">
                  <c:v>29169</c:v>
                </c:pt>
                <c:pt idx="671">
                  <c:v>29176</c:v>
                </c:pt>
                <c:pt idx="672">
                  <c:v>29183</c:v>
                </c:pt>
                <c:pt idx="673">
                  <c:v>29190</c:v>
                </c:pt>
                <c:pt idx="674">
                  <c:v>29197</c:v>
                </c:pt>
                <c:pt idx="675">
                  <c:v>29204</c:v>
                </c:pt>
                <c:pt idx="676">
                  <c:v>29211</c:v>
                </c:pt>
                <c:pt idx="677">
                  <c:v>29218</c:v>
                </c:pt>
                <c:pt idx="678">
                  <c:v>29225</c:v>
                </c:pt>
                <c:pt idx="679">
                  <c:v>29232</c:v>
                </c:pt>
                <c:pt idx="680">
                  <c:v>29239</c:v>
                </c:pt>
                <c:pt idx="681">
                  <c:v>29246</c:v>
                </c:pt>
                <c:pt idx="682">
                  <c:v>29253</c:v>
                </c:pt>
                <c:pt idx="683">
                  <c:v>29260</c:v>
                </c:pt>
                <c:pt idx="684">
                  <c:v>29267</c:v>
                </c:pt>
                <c:pt idx="685">
                  <c:v>29274</c:v>
                </c:pt>
                <c:pt idx="686">
                  <c:v>29281</c:v>
                </c:pt>
                <c:pt idx="687">
                  <c:v>29288</c:v>
                </c:pt>
                <c:pt idx="688">
                  <c:v>29295</c:v>
                </c:pt>
                <c:pt idx="689">
                  <c:v>29302</c:v>
                </c:pt>
                <c:pt idx="690">
                  <c:v>29309</c:v>
                </c:pt>
                <c:pt idx="691">
                  <c:v>29316</c:v>
                </c:pt>
                <c:pt idx="692">
                  <c:v>29323</c:v>
                </c:pt>
                <c:pt idx="693">
                  <c:v>29330</c:v>
                </c:pt>
                <c:pt idx="694">
                  <c:v>29337</c:v>
                </c:pt>
                <c:pt idx="695">
                  <c:v>29344</c:v>
                </c:pt>
                <c:pt idx="696">
                  <c:v>29351</c:v>
                </c:pt>
                <c:pt idx="697">
                  <c:v>29358</c:v>
                </c:pt>
                <c:pt idx="698">
                  <c:v>29365</c:v>
                </c:pt>
                <c:pt idx="699">
                  <c:v>29372</c:v>
                </c:pt>
                <c:pt idx="700">
                  <c:v>29379</c:v>
                </c:pt>
                <c:pt idx="701">
                  <c:v>29386</c:v>
                </c:pt>
                <c:pt idx="702">
                  <c:v>29393</c:v>
                </c:pt>
                <c:pt idx="703">
                  <c:v>29400</c:v>
                </c:pt>
                <c:pt idx="704">
                  <c:v>29407</c:v>
                </c:pt>
                <c:pt idx="705">
                  <c:v>29414</c:v>
                </c:pt>
                <c:pt idx="706">
                  <c:v>29421</c:v>
                </c:pt>
                <c:pt idx="707">
                  <c:v>29428</c:v>
                </c:pt>
                <c:pt idx="708">
                  <c:v>29435</c:v>
                </c:pt>
                <c:pt idx="709">
                  <c:v>29442</c:v>
                </c:pt>
                <c:pt idx="710">
                  <c:v>29449</c:v>
                </c:pt>
                <c:pt idx="711">
                  <c:v>29456</c:v>
                </c:pt>
                <c:pt idx="712">
                  <c:v>29463</c:v>
                </c:pt>
                <c:pt idx="713">
                  <c:v>29470</c:v>
                </c:pt>
                <c:pt idx="714">
                  <c:v>29477</c:v>
                </c:pt>
                <c:pt idx="715">
                  <c:v>29484</c:v>
                </c:pt>
                <c:pt idx="716">
                  <c:v>29491</c:v>
                </c:pt>
                <c:pt idx="717">
                  <c:v>29498</c:v>
                </c:pt>
                <c:pt idx="718">
                  <c:v>29505</c:v>
                </c:pt>
                <c:pt idx="719">
                  <c:v>29512</c:v>
                </c:pt>
                <c:pt idx="720">
                  <c:v>29519</c:v>
                </c:pt>
                <c:pt idx="721">
                  <c:v>29526</c:v>
                </c:pt>
                <c:pt idx="722">
                  <c:v>29533</c:v>
                </c:pt>
                <c:pt idx="723">
                  <c:v>29540</c:v>
                </c:pt>
                <c:pt idx="724">
                  <c:v>29547</c:v>
                </c:pt>
                <c:pt idx="725">
                  <c:v>29554</c:v>
                </c:pt>
                <c:pt idx="726">
                  <c:v>29561</c:v>
                </c:pt>
                <c:pt idx="727">
                  <c:v>29568</c:v>
                </c:pt>
                <c:pt idx="728">
                  <c:v>29575</c:v>
                </c:pt>
                <c:pt idx="729">
                  <c:v>29582</c:v>
                </c:pt>
                <c:pt idx="730">
                  <c:v>29589</c:v>
                </c:pt>
                <c:pt idx="731">
                  <c:v>29596</c:v>
                </c:pt>
                <c:pt idx="732">
                  <c:v>29603</c:v>
                </c:pt>
                <c:pt idx="733">
                  <c:v>29610</c:v>
                </c:pt>
                <c:pt idx="734">
                  <c:v>29617</c:v>
                </c:pt>
                <c:pt idx="735">
                  <c:v>29624</c:v>
                </c:pt>
                <c:pt idx="736">
                  <c:v>29631</c:v>
                </c:pt>
                <c:pt idx="737">
                  <c:v>29638</c:v>
                </c:pt>
                <c:pt idx="738">
                  <c:v>29645</c:v>
                </c:pt>
                <c:pt idx="739">
                  <c:v>29652</c:v>
                </c:pt>
                <c:pt idx="740">
                  <c:v>29659</c:v>
                </c:pt>
                <c:pt idx="741">
                  <c:v>29666</c:v>
                </c:pt>
                <c:pt idx="742">
                  <c:v>29673</c:v>
                </c:pt>
                <c:pt idx="743">
                  <c:v>29680</c:v>
                </c:pt>
                <c:pt idx="744">
                  <c:v>29687</c:v>
                </c:pt>
                <c:pt idx="745">
                  <c:v>29694</c:v>
                </c:pt>
                <c:pt idx="746">
                  <c:v>29701</c:v>
                </c:pt>
                <c:pt idx="747">
                  <c:v>29708</c:v>
                </c:pt>
                <c:pt idx="748">
                  <c:v>29715</c:v>
                </c:pt>
                <c:pt idx="749">
                  <c:v>29722</c:v>
                </c:pt>
                <c:pt idx="750">
                  <c:v>29729</c:v>
                </c:pt>
                <c:pt idx="751">
                  <c:v>29736</c:v>
                </c:pt>
                <c:pt idx="752">
                  <c:v>29743</c:v>
                </c:pt>
                <c:pt idx="753">
                  <c:v>29750</c:v>
                </c:pt>
                <c:pt idx="754">
                  <c:v>29757</c:v>
                </c:pt>
                <c:pt idx="755">
                  <c:v>29764</c:v>
                </c:pt>
                <c:pt idx="756">
                  <c:v>29771</c:v>
                </c:pt>
                <c:pt idx="757">
                  <c:v>29778</c:v>
                </c:pt>
                <c:pt idx="758">
                  <c:v>29785</c:v>
                </c:pt>
                <c:pt idx="759">
                  <c:v>29792</c:v>
                </c:pt>
                <c:pt idx="760">
                  <c:v>29799</c:v>
                </c:pt>
                <c:pt idx="761">
                  <c:v>29806</c:v>
                </c:pt>
                <c:pt idx="762">
                  <c:v>29813</c:v>
                </c:pt>
                <c:pt idx="763">
                  <c:v>29820</c:v>
                </c:pt>
                <c:pt idx="764">
                  <c:v>29827</c:v>
                </c:pt>
                <c:pt idx="765">
                  <c:v>29834</c:v>
                </c:pt>
                <c:pt idx="766">
                  <c:v>29841</c:v>
                </c:pt>
                <c:pt idx="767">
                  <c:v>29848</c:v>
                </c:pt>
                <c:pt idx="768">
                  <c:v>29855</c:v>
                </c:pt>
                <c:pt idx="769">
                  <c:v>29862</c:v>
                </c:pt>
                <c:pt idx="770">
                  <c:v>29869</c:v>
                </c:pt>
                <c:pt idx="771">
                  <c:v>29876</c:v>
                </c:pt>
                <c:pt idx="772">
                  <c:v>29883</c:v>
                </c:pt>
                <c:pt idx="773">
                  <c:v>29890</c:v>
                </c:pt>
                <c:pt idx="774">
                  <c:v>29897</c:v>
                </c:pt>
                <c:pt idx="775">
                  <c:v>29904</c:v>
                </c:pt>
                <c:pt idx="776">
                  <c:v>29911</c:v>
                </c:pt>
                <c:pt idx="777">
                  <c:v>29918</c:v>
                </c:pt>
                <c:pt idx="778">
                  <c:v>29925</c:v>
                </c:pt>
                <c:pt idx="779">
                  <c:v>29932</c:v>
                </c:pt>
                <c:pt idx="780">
                  <c:v>29939</c:v>
                </c:pt>
                <c:pt idx="781">
                  <c:v>29946</c:v>
                </c:pt>
                <c:pt idx="782">
                  <c:v>29953</c:v>
                </c:pt>
                <c:pt idx="783">
                  <c:v>29960</c:v>
                </c:pt>
                <c:pt idx="784">
                  <c:v>29967</c:v>
                </c:pt>
                <c:pt idx="785">
                  <c:v>29974</c:v>
                </c:pt>
                <c:pt idx="786">
                  <c:v>29981</c:v>
                </c:pt>
                <c:pt idx="787">
                  <c:v>29988</c:v>
                </c:pt>
                <c:pt idx="788">
                  <c:v>29995</c:v>
                </c:pt>
                <c:pt idx="789">
                  <c:v>30002</c:v>
                </c:pt>
                <c:pt idx="790">
                  <c:v>30009</c:v>
                </c:pt>
                <c:pt idx="791">
                  <c:v>30016</c:v>
                </c:pt>
                <c:pt idx="792">
                  <c:v>30023</c:v>
                </c:pt>
                <c:pt idx="793">
                  <c:v>30030</c:v>
                </c:pt>
                <c:pt idx="794">
                  <c:v>30037</c:v>
                </c:pt>
                <c:pt idx="795">
                  <c:v>30044</c:v>
                </c:pt>
                <c:pt idx="796">
                  <c:v>30051</c:v>
                </c:pt>
                <c:pt idx="797">
                  <c:v>30058</c:v>
                </c:pt>
                <c:pt idx="798">
                  <c:v>30065</c:v>
                </c:pt>
                <c:pt idx="799">
                  <c:v>30072</c:v>
                </c:pt>
                <c:pt idx="800">
                  <c:v>30079</c:v>
                </c:pt>
                <c:pt idx="801">
                  <c:v>30086</c:v>
                </c:pt>
                <c:pt idx="802">
                  <c:v>30093</c:v>
                </c:pt>
                <c:pt idx="803">
                  <c:v>30100</c:v>
                </c:pt>
                <c:pt idx="804">
                  <c:v>30107</c:v>
                </c:pt>
                <c:pt idx="805">
                  <c:v>30114</c:v>
                </c:pt>
                <c:pt idx="806">
                  <c:v>30121</c:v>
                </c:pt>
                <c:pt idx="807">
                  <c:v>30128</c:v>
                </c:pt>
                <c:pt idx="808">
                  <c:v>30135</c:v>
                </c:pt>
                <c:pt idx="809">
                  <c:v>30142</c:v>
                </c:pt>
                <c:pt idx="810">
                  <c:v>30149</c:v>
                </c:pt>
                <c:pt idx="811">
                  <c:v>30156</c:v>
                </c:pt>
                <c:pt idx="812">
                  <c:v>30163</c:v>
                </c:pt>
                <c:pt idx="813">
                  <c:v>30170</c:v>
                </c:pt>
                <c:pt idx="814">
                  <c:v>30177</c:v>
                </c:pt>
                <c:pt idx="815">
                  <c:v>30184</c:v>
                </c:pt>
                <c:pt idx="816">
                  <c:v>30191</c:v>
                </c:pt>
                <c:pt idx="817">
                  <c:v>30198</c:v>
                </c:pt>
                <c:pt idx="818">
                  <c:v>30205</c:v>
                </c:pt>
                <c:pt idx="819">
                  <c:v>30212</c:v>
                </c:pt>
                <c:pt idx="820">
                  <c:v>30219</c:v>
                </c:pt>
                <c:pt idx="821">
                  <c:v>30226</c:v>
                </c:pt>
                <c:pt idx="822">
                  <c:v>30233</c:v>
                </c:pt>
                <c:pt idx="823">
                  <c:v>30240</c:v>
                </c:pt>
                <c:pt idx="824">
                  <c:v>30247</c:v>
                </c:pt>
                <c:pt idx="825">
                  <c:v>30254</c:v>
                </c:pt>
                <c:pt idx="826">
                  <c:v>30261</c:v>
                </c:pt>
                <c:pt idx="827">
                  <c:v>30268</c:v>
                </c:pt>
                <c:pt idx="828">
                  <c:v>30275</c:v>
                </c:pt>
                <c:pt idx="829">
                  <c:v>30282</c:v>
                </c:pt>
                <c:pt idx="830">
                  <c:v>30289</c:v>
                </c:pt>
                <c:pt idx="831">
                  <c:v>30296</c:v>
                </c:pt>
                <c:pt idx="832">
                  <c:v>30303</c:v>
                </c:pt>
                <c:pt idx="833">
                  <c:v>30310</c:v>
                </c:pt>
                <c:pt idx="834">
                  <c:v>30317</c:v>
                </c:pt>
                <c:pt idx="835">
                  <c:v>30324</c:v>
                </c:pt>
                <c:pt idx="836">
                  <c:v>30331</c:v>
                </c:pt>
                <c:pt idx="837">
                  <c:v>30338</c:v>
                </c:pt>
                <c:pt idx="838">
                  <c:v>30345</c:v>
                </c:pt>
                <c:pt idx="839">
                  <c:v>30352</c:v>
                </c:pt>
                <c:pt idx="840">
                  <c:v>30359</c:v>
                </c:pt>
                <c:pt idx="841">
                  <c:v>30366</c:v>
                </c:pt>
                <c:pt idx="842">
                  <c:v>30373</c:v>
                </c:pt>
                <c:pt idx="843">
                  <c:v>30380</c:v>
                </c:pt>
                <c:pt idx="844">
                  <c:v>30387</c:v>
                </c:pt>
                <c:pt idx="845">
                  <c:v>30394</c:v>
                </c:pt>
                <c:pt idx="846">
                  <c:v>30401</c:v>
                </c:pt>
                <c:pt idx="847">
                  <c:v>30408</c:v>
                </c:pt>
                <c:pt idx="848">
                  <c:v>30415</c:v>
                </c:pt>
                <c:pt idx="849">
                  <c:v>30422</c:v>
                </c:pt>
                <c:pt idx="850">
                  <c:v>30429</c:v>
                </c:pt>
                <c:pt idx="851">
                  <c:v>30436</c:v>
                </c:pt>
                <c:pt idx="852">
                  <c:v>30443</c:v>
                </c:pt>
                <c:pt idx="853">
                  <c:v>30450</c:v>
                </c:pt>
                <c:pt idx="854">
                  <c:v>30457</c:v>
                </c:pt>
                <c:pt idx="855">
                  <c:v>30464</c:v>
                </c:pt>
                <c:pt idx="856">
                  <c:v>30471</c:v>
                </c:pt>
                <c:pt idx="857">
                  <c:v>30478</c:v>
                </c:pt>
                <c:pt idx="858">
                  <c:v>30485</c:v>
                </c:pt>
                <c:pt idx="859">
                  <c:v>30492</c:v>
                </c:pt>
                <c:pt idx="860">
                  <c:v>30499</c:v>
                </c:pt>
                <c:pt idx="861">
                  <c:v>30506</c:v>
                </c:pt>
                <c:pt idx="862">
                  <c:v>30513</c:v>
                </c:pt>
                <c:pt idx="863">
                  <c:v>30520</c:v>
                </c:pt>
                <c:pt idx="864">
                  <c:v>30527</c:v>
                </c:pt>
                <c:pt idx="865">
                  <c:v>30534</c:v>
                </c:pt>
                <c:pt idx="866">
                  <c:v>30541</c:v>
                </c:pt>
                <c:pt idx="867">
                  <c:v>30548</c:v>
                </c:pt>
                <c:pt idx="868">
                  <c:v>30555</c:v>
                </c:pt>
                <c:pt idx="869">
                  <c:v>30562</c:v>
                </c:pt>
                <c:pt idx="870">
                  <c:v>30569</c:v>
                </c:pt>
                <c:pt idx="871">
                  <c:v>30576</c:v>
                </c:pt>
                <c:pt idx="872">
                  <c:v>30583</c:v>
                </c:pt>
                <c:pt idx="873">
                  <c:v>30590</c:v>
                </c:pt>
                <c:pt idx="874">
                  <c:v>30597</c:v>
                </c:pt>
                <c:pt idx="875">
                  <c:v>30604</c:v>
                </c:pt>
                <c:pt idx="876">
                  <c:v>30611</c:v>
                </c:pt>
                <c:pt idx="877">
                  <c:v>30618</c:v>
                </c:pt>
                <c:pt idx="878">
                  <c:v>30625</c:v>
                </c:pt>
                <c:pt idx="879">
                  <c:v>30632</c:v>
                </c:pt>
                <c:pt idx="880">
                  <c:v>30639</c:v>
                </c:pt>
                <c:pt idx="881">
                  <c:v>30646</c:v>
                </c:pt>
                <c:pt idx="882">
                  <c:v>30653</c:v>
                </c:pt>
                <c:pt idx="883">
                  <c:v>30660</c:v>
                </c:pt>
                <c:pt idx="884">
                  <c:v>30667</c:v>
                </c:pt>
                <c:pt idx="885">
                  <c:v>30674</c:v>
                </c:pt>
                <c:pt idx="886">
                  <c:v>30681</c:v>
                </c:pt>
                <c:pt idx="887">
                  <c:v>30688</c:v>
                </c:pt>
                <c:pt idx="888">
                  <c:v>30695</c:v>
                </c:pt>
                <c:pt idx="889">
                  <c:v>30702</c:v>
                </c:pt>
                <c:pt idx="890">
                  <c:v>30709</c:v>
                </c:pt>
                <c:pt idx="891">
                  <c:v>30716</c:v>
                </c:pt>
                <c:pt idx="892">
                  <c:v>30723</c:v>
                </c:pt>
                <c:pt idx="893">
                  <c:v>30730</c:v>
                </c:pt>
                <c:pt idx="894">
                  <c:v>30737</c:v>
                </c:pt>
                <c:pt idx="895">
                  <c:v>30744</c:v>
                </c:pt>
                <c:pt idx="896">
                  <c:v>30751</c:v>
                </c:pt>
                <c:pt idx="897">
                  <c:v>30758</c:v>
                </c:pt>
                <c:pt idx="898">
                  <c:v>30765</c:v>
                </c:pt>
                <c:pt idx="899">
                  <c:v>30772</c:v>
                </c:pt>
                <c:pt idx="900">
                  <c:v>30779</c:v>
                </c:pt>
                <c:pt idx="901">
                  <c:v>30786</c:v>
                </c:pt>
                <c:pt idx="902">
                  <c:v>30793</c:v>
                </c:pt>
                <c:pt idx="903">
                  <c:v>30800</c:v>
                </c:pt>
                <c:pt idx="904">
                  <c:v>30807</c:v>
                </c:pt>
                <c:pt idx="905">
                  <c:v>30814</c:v>
                </c:pt>
                <c:pt idx="906">
                  <c:v>30821</c:v>
                </c:pt>
                <c:pt idx="907">
                  <c:v>30828</c:v>
                </c:pt>
                <c:pt idx="908">
                  <c:v>30835</c:v>
                </c:pt>
                <c:pt idx="909">
                  <c:v>30842</c:v>
                </c:pt>
                <c:pt idx="910">
                  <c:v>30849</c:v>
                </c:pt>
                <c:pt idx="911">
                  <c:v>30856</c:v>
                </c:pt>
                <c:pt idx="912">
                  <c:v>30863</c:v>
                </c:pt>
                <c:pt idx="913">
                  <c:v>30870</c:v>
                </c:pt>
                <c:pt idx="914">
                  <c:v>30877</c:v>
                </c:pt>
                <c:pt idx="915">
                  <c:v>30884</c:v>
                </c:pt>
                <c:pt idx="916">
                  <c:v>30891</c:v>
                </c:pt>
                <c:pt idx="917">
                  <c:v>30898</c:v>
                </c:pt>
                <c:pt idx="918">
                  <c:v>30905</c:v>
                </c:pt>
                <c:pt idx="919">
                  <c:v>30912</c:v>
                </c:pt>
                <c:pt idx="920">
                  <c:v>30919</c:v>
                </c:pt>
                <c:pt idx="921">
                  <c:v>30926</c:v>
                </c:pt>
                <c:pt idx="922">
                  <c:v>30933</c:v>
                </c:pt>
                <c:pt idx="923">
                  <c:v>30940</c:v>
                </c:pt>
                <c:pt idx="924">
                  <c:v>30947</c:v>
                </c:pt>
                <c:pt idx="925">
                  <c:v>30954</c:v>
                </c:pt>
                <c:pt idx="926">
                  <c:v>30961</c:v>
                </c:pt>
                <c:pt idx="927">
                  <c:v>30968</c:v>
                </c:pt>
                <c:pt idx="928">
                  <c:v>30975</c:v>
                </c:pt>
                <c:pt idx="929">
                  <c:v>30982</c:v>
                </c:pt>
                <c:pt idx="930">
                  <c:v>30989</c:v>
                </c:pt>
                <c:pt idx="931">
                  <c:v>30996</c:v>
                </c:pt>
                <c:pt idx="932">
                  <c:v>31003</c:v>
                </c:pt>
                <c:pt idx="933">
                  <c:v>31010</c:v>
                </c:pt>
                <c:pt idx="934">
                  <c:v>31017</c:v>
                </c:pt>
                <c:pt idx="935">
                  <c:v>31024</c:v>
                </c:pt>
                <c:pt idx="936">
                  <c:v>31031</c:v>
                </c:pt>
                <c:pt idx="937">
                  <c:v>31038</c:v>
                </c:pt>
                <c:pt idx="938">
                  <c:v>31045</c:v>
                </c:pt>
                <c:pt idx="939">
                  <c:v>31052</c:v>
                </c:pt>
                <c:pt idx="940">
                  <c:v>31059</c:v>
                </c:pt>
                <c:pt idx="941">
                  <c:v>31066</c:v>
                </c:pt>
                <c:pt idx="942">
                  <c:v>31073</c:v>
                </c:pt>
                <c:pt idx="943">
                  <c:v>31080</c:v>
                </c:pt>
                <c:pt idx="944">
                  <c:v>31087</c:v>
                </c:pt>
                <c:pt idx="945">
                  <c:v>31094</c:v>
                </c:pt>
                <c:pt idx="946">
                  <c:v>31101</c:v>
                </c:pt>
                <c:pt idx="947">
                  <c:v>31108</c:v>
                </c:pt>
                <c:pt idx="948">
                  <c:v>31115</c:v>
                </c:pt>
                <c:pt idx="949">
                  <c:v>31122</c:v>
                </c:pt>
                <c:pt idx="950">
                  <c:v>31129</c:v>
                </c:pt>
                <c:pt idx="951">
                  <c:v>31136</c:v>
                </c:pt>
                <c:pt idx="952">
                  <c:v>31143</c:v>
                </c:pt>
                <c:pt idx="953">
                  <c:v>31150</c:v>
                </c:pt>
                <c:pt idx="954">
                  <c:v>31157</c:v>
                </c:pt>
                <c:pt idx="955">
                  <c:v>31164</c:v>
                </c:pt>
                <c:pt idx="956">
                  <c:v>31171</c:v>
                </c:pt>
                <c:pt idx="957">
                  <c:v>31178</c:v>
                </c:pt>
                <c:pt idx="958">
                  <c:v>31185</c:v>
                </c:pt>
                <c:pt idx="959">
                  <c:v>31192</c:v>
                </c:pt>
                <c:pt idx="960">
                  <c:v>31199</c:v>
                </c:pt>
                <c:pt idx="961">
                  <c:v>31206</c:v>
                </c:pt>
                <c:pt idx="962">
                  <c:v>31213</c:v>
                </c:pt>
                <c:pt idx="963">
                  <c:v>31220</c:v>
                </c:pt>
                <c:pt idx="964">
                  <c:v>31227</c:v>
                </c:pt>
                <c:pt idx="965">
                  <c:v>31234</c:v>
                </c:pt>
                <c:pt idx="966">
                  <c:v>31241</c:v>
                </c:pt>
                <c:pt idx="967">
                  <c:v>31248</c:v>
                </c:pt>
                <c:pt idx="968">
                  <c:v>31255</c:v>
                </c:pt>
                <c:pt idx="969">
                  <c:v>31262</c:v>
                </c:pt>
                <c:pt idx="970">
                  <c:v>31269</c:v>
                </c:pt>
                <c:pt idx="971">
                  <c:v>31276</c:v>
                </c:pt>
                <c:pt idx="972">
                  <c:v>31283</c:v>
                </c:pt>
                <c:pt idx="973">
                  <c:v>31290</c:v>
                </c:pt>
                <c:pt idx="974">
                  <c:v>31297</c:v>
                </c:pt>
                <c:pt idx="975">
                  <c:v>31304</c:v>
                </c:pt>
                <c:pt idx="976">
                  <c:v>31311</c:v>
                </c:pt>
                <c:pt idx="977">
                  <c:v>31318</c:v>
                </c:pt>
                <c:pt idx="978">
                  <c:v>31325</c:v>
                </c:pt>
                <c:pt idx="979">
                  <c:v>31332</c:v>
                </c:pt>
                <c:pt idx="980">
                  <c:v>31339</c:v>
                </c:pt>
                <c:pt idx="981">
                  <c:v>31346</c:v>
                </c:pt>
                <c:pt idx="982">
                  <c:v>31353</c:v>
                </c:pt>
                <c:pt idx="983">
                  <c:v>31360</c:v>
                </c:pt>
                <c:pt idx="984">
                  <c:v>31367</c:v>
                </c:pt>
                <c:pt idx="985">
                  <c:v>31374</c:v>
                </c:pt>
                <c:pt idx="986">
                  <c:v>31381</c:v>
                </c:pt>
                <c:pt idx="987">
                  <c:v>31388</c:v>
                </c:pt>
                <c:pt idx="988">
                  <c:v>31395</c:v>
                </c:pt>
                <c:pt idx="989">
                  <c:v>31402</c:v>
                </c:pt>
                <c:pt idx="990">
                  <c:v>31409</c:v>
                </c:pt>
                <c:pt idx="991">
                  <c:v>31416</c:v>
                </c:pt>
                <c:pt idx="992">
                  <c:v>31423</c:v>
                </c:pt>
                <c:pt idx="993">
                  <c:v>31430</c:v>
                </c:pt>
                <c:pt idx="994">
                  <c:v>31437</c:v>
                </c:pt>
                <c:pt idx="995">
                  <c:v>31444</c:v>
                </c:pt>
                <c:pt idx="996">
                  <c:v>31451</c:v>
                </c:pt>
                <c:pt idx="997">
                  <c:v>31458</c:v>
                </c:pt>
                <c:pt idx="998">
                  <c:v>31465</c:v>
                </c:pt>
                <c:pt idx="999">
                  <c:v>31472</c:v>
                </c:pt>
                <c:pt idx="1000">
                  <c:v>31479</c:v>
                </c:pt>
                <c:pt idx="1001">
                  <c:v>31486</c:v>
                </c:pt>
                <c:pt idx="1002">
                  <c:v>31493</c:v>
                </c:pt>
                <c:pt idx="1003">
                  <c:v>31500</c:v>
                </c:pt>
                <c:pt idx="1004">
                  <c:v>31507</c:v>
                </c:pt>
                <c:pt idx="1005">
                  <c:v>31514</c:v>
                </c:pt>
                <c:pt idx="1006">
                  <c:v>31521</c:v>
                </c:pt>
                <c:pt idx="1007">
                  <c:v>31528</c:v>
                </c:pt>
                <c:pt idx="1008">
                  <c:v>31535</c:v>
                </c:pt>
                <c:pt idx="1009">
                  <c:v>31542</c:v>
                </c:pt>
                <c:pt idx="1010">
                  <c:v>31549</c:v>
                </c:pt>
                <c:pt idx="1011">
                  <c:v>31556</c:v>
                </c:pt>
                <c:pt idx="1012">
                  <c:v>31563</c:v>
                </c:pt>
                <c:pt idx="1013">
                  <c:v>31570</c:v>
                </c:pt>
                <c:pt idx="1014">
                  <c:v>31577</c:v>
                </c:pt>
                <c:pt idx="1015">
                  <c:v>31584</c:v>
                </c:pt>
                <c:pt idx="1016">
                  <c:v>31591</c:v>
                </c:pt>
                <c:pt idx="1017">
                  <c:v>31598</c:v>
                </c:pt>
                <c:pt idx="1018">
                  <c:v>31605</c:v>
                </c:pt>
                <c:pt idx="1019">
                  <c:v>31612</c:v>
                </c:pt>
                <c:pt idx="1020">
                  <c:v>31619</c:v>
                </c:pt>
                <c:pt idx="1021">
                  <c:v>31626</c:v>
                </c:pt>
                <c:pt idx="1022">
                  <c:v>31633</c:v>
                </c:pt>
                <c:pt idx="1023">
                  <c:v>31640</c:v>
                </c:pt>
                <c:pt idx="1024">
                  <c:v>31647</c:v>
                </c:pt>
                <c:pt idx="1025">
                  <c:v>31654</c:v>
                </c:pt>
                <c:pt idx="1026">
                  <c:v>31661</c:v>
                </c:pt>
                <c:pt idx="1027">
                  <c:v>31668</c:v>
                </c:pt>
                <c:pt idx="1028">
                  <c:v>31675</c:v>
                </c:pt>
                <c:pt idx="1029">
                  <c:v>31682</c:v>
                </c:pt>
                <c:pt idx="1030">
                  <c:v>31689</c:v>
                </c:pt>
                <c:pt idx="1031">
                  <c:v>31696</c:v>
                </c:pt>
                <c:pt idx="1032">
                  <c:v>31703</c:v>
                </c:pt>
                <c:pt idx="1033">
                  <c:v>31710</c:v>
                </c:pt>
                <c:pt idx="1034">
                  <c:v>31717</c:v>
                </c:pt>
                <c:pt idx="1035">
                  <c:v>31724</c:v>
                </c:pt>
                <c:pt idx="1036">
                  <c:v>31731</c:v>
                </c:pt>
                <c:pt idx="1037">
                  <c:v>31738</c:v>
                </c:pt>
                <c:pt idx="1038">
                  <c:v>31745</c:v>
                </c:pt>
                <c:pt idx="1039">
                  <c:v>31752</c:v>
                </c:pt>
                <c:pt idx="1040">
                  <c:v>31759</c:v>
                </c:pt>
                <c:pt idx="1041">
                  <c:v>31766</c:v>
                </c:pt>
                <c:pt idx="1042">
                  <c:v>31773</c:v>
                </c:pt>
                <c:pt idx="1043">
                  <c:v>31780</c:v>
                </c:pt>
                <c:pt idx="1044">
                  <c:v>31787</c:v>
                </c:pt>
                <c:pt idx="1045">
                  <c:v>31794</c:v>
                </c:pt>
                <c:pt idx="1046">
                  <c:v>31801</c:v>
                </c:pt>
                <c:pt idx="1047">
                  <c:v>31808</c:v>
                </c:pt>
                <c:pt idx="1048">
                  <c:v>31815</c:v>
                </c:pt>
                <c:pt idx="1049">
                  <c:v>31822</c:v>
                </c:pt>
                <c:pt idx="1050">
                  <c:v>31829</c:v>
                </c:pt>
                <c:pt idx="1051">
                  <c:v>31836</c:v>
                </c:pt>
                <c:pt idx="1052">
                  <c:v>31843</c:v>
                </c:pt>
                <c:pt idx="1053">
                  <c:v>31850</c:v>
                </c:pt>
                <c:pt idx="1054">
                  <c:v>31857</c:v>
                </c:pt>
                <c:pt idx="1055">
                  <c:v>31864</c:v>
                </c:pt>
                <c:pt idx="1056">
                  <c:v>31871</c:v>
                </c:pt>
                <c:pt idx="1057">
                  <c:v>31878</c:v>
                </c:pt>
                <c:pt idx="1058">
                  <c:v>31885</c:v>
                </c:pt>
                <c:pt idx="1059">
                  <c:v>31892</c:v>
                </c:pt>
                <c:pt idx="1060">
                  <c:v>31899</c:v>
                </c:pt>
                <c:pt idx="1061">
                  <c:v>31906</c:v>
                </c:pt>
                <c:pt idx="1062">
                  <c:v>31913</c:v>
                </c:pt>
                <c:pt idx="1063">
                  <c:v>31920</c:v>
                </c:pt>
                <c:pt idx="1064">
                  <c:v>31927</c:v>
                </c:pt>
                <c:pt idx="1065">
                  <c:v>31934</c:v>
                </c:pt>
                <c:pt idx="1066">
                  <c:v>31941</c:v>
                </c:pt>
                <c:pt idx="1067">
                  <c:v>31948</c:v>
                </c:pt>
                <c:pt idx="1068">
                  <c:v>31955</c:v>
                </c:pt>
                <c:pt idx="1069">
                  <c:v>31962</c:v>
                </c:pt>
                <c:pt idx="1070">
                  <c:v>31969</c:v>
                </c:pt>
                <c:pt idx="1071">
                  <c:v>31976</c:v>
                </c:pt>
                <c:pt idx="1072">
                  <c:v>31983</c:v>
                </c:pt>
                <c:pt idx="1073">
                  <c:v>31990</c:v>
                </c:pt>
                <c:pt idx="1074">
                  <c:v>31997</c:v>
                </c:pt>
                <c:pt idx="1075">
                  <c:v>32004</c:v>
                </c:pt>
                <c:pt idx="1076">
                  <c:v>32011</c:v>
                </c:pt>
                <c:pt idx="1077">
                  <c:v>32018</c:v>
                </c:pt>
                <c:pt idx="1078">
                  <c:v>32025</c:v>
                </c:pt>
                <c:pt idx="1079">
                  <c:v>32032</c:v>
                </c:pt>
                <c:pt idx="1080">
                  <c:v>32039</c:v>
                </c:pt>
                <c:pt idx="1081">
                  <c:v>32046</c:v>
                </c:pt>
                <c:pt idx="1082">
                  <c:v>32053</c:v>
                </c:pt>
                <c:pt idx="1083">
                  <c:v>32060</c:v>
                </c:pt>
                <c:pt idx="1084">
                  <c:v>32067</c:v>
                </c:pt>
                <c:pt idx="1085">
                  <c:v>32074</c:v>
                </c:pt>
                <c:pt idx="1086">
                  <c:v>32081</c:v>
                </c:pt>
                <c:pt idx="1087">
                  <c:v>32088</c:v>
                </c:pt>
                <c:pt idx="1088">
                  <c:v>32095</c:v>
                </c:pt>
                <c:pt idx="1089">
                  <c:v>32102</c:v>
                </c:pt>
                <c:pt idx="1090">
                  <c:v>32109</c:v>
                </c:pt>
                <c:pt idx="1091">
                  <c:v>32116</c:v>
                </c:pt>
                <c:pt idx="1092">
                  <c:v>32123</c:v>
                </c:pt>
                <c:pt idx="1093">
                  <c:v>32130</c:v>
                </c:pt>
                <c:pt idx="1094">
                  <c:v>32137</c:v>
                </c:pt>
                <c:pt idx="1095">
                  <c:v>32144</c:v>
                </c:pt>
                <c:pt idx="1096">
                  <c:v>32151</c:v>
                </c:pt>
                <c:pt idx="1097">
                  <c:v>32158</c:v>
                </c:pt>
                <c:pt idx="1098">
                  <c:v>32165</c:v>
                </c:pt>
                <c:pt idx="1099">
                  <c:v>32172</c:v>
                </c:pt>
                <c:pt idx="1100">
                  <c:v>32179</c:v>
                </c:pt>
                <c:pt idx="1101">
                  <c:v>32186</c:v>
                </c:pt>
                <c:pt idx="1102">
                  <c:v>32193</c:v>
                </c:pt>
                <c:pt idx="1103">
                  <c:v>32200</c:v>
                </c:pt>
                <c:pt idx="1104">
                  <c:v>32207</c:v>
                </c:pt>
                <c:pt idx="1105">
                  <c:v>32214</c:v>
                </c:pt>
                <c:pt idx="1106">
                  <c:v>32221</c:v>
                </c:pt>
                <c:pt idx="1107">
                  <c:v>32228</c:v>
                </c:pt>
                <c:pt idx="1108">
                  <c:v>32235</c:v>
                </c:pt>
                <c:pt idx="1109">
                  <c:v>32242</c:v>
                </c:pt>
                <c:pt idx="1110">
                  <c:v>32249</c:v>
                </c:pt>
                <c:pt idx="1111">
                  <c:v>32256</c:v>
                </c:pt>
                <c:pt idx="1112">
                  <c:v>32263</c:v>
                </c:pt>
                <c:pt idx="1113">
                  <c:v>32270</c:v>
                </c:pt>
                <c:pt idx="1114">
                  <c:v>32277</c:v>
                </c:pt>
                <c:pt idx="1115">
                  <c:v>32284</c:v>
                </c:pt>
                <c:pt idx="1116">
                  <c:v>32291</c:v>
                </c:pt>
                <c:pt idx="1117">
                  <c:v>32298</c:v>
                </c:pt>
                <c:pt idx="1118">
                  <c:v>32305</c:v>
                </c:pt>
                <c:pt idx="1119">
                  <c:v>32312</c:v>
                </c:pt>
                <c:pt idx="1120">
                  <c:v>32319</c:v>
                </c:pt>
                <c:pt idx="1121">
                  <c:v>32326</c:v>
                </c:pt>
                <c:pt idx="1122">
                  <c:v>32333</c:v>
                </c:pt>
                <c:pt idx="1123">
                  <c:v>32340</c:v>
                </c:pt>
                <c:pt idx="1124">
                  <c:v>32347</c:v>
                </c:pt>
                <c:pt idx="1125">
                  <c:v>32354</c:v>
                </c:pt>
                <c:pt idx="1126">
                  <c:v>32361</c:v>
                </c:pt>
                <c:pt idx="1127">
                  <c:v>32368</c:v>
                </c:pt>
                <c:pt idx="1128">
                  <c:v>32375</c:v>
                </c:pt>
                <c:pt idx="1129">
                  <c:v>32382</c:v>
                </c:pt>
                <c:pt idx="1130">
                  <c:v>32389</c:v>
                </c:pt>
                <c:pt idx="1131">
                  <c:v>32396</c:v>
                </c:pt>
                <c:pt idx="1132">
                  <c:v>32403</c:v>
                </c:pt>
                <c:pt idx="1133">
                  <c:v>32410</c:v>
                </c:pt>
                <c:pt idx="1134">
                  <c:v>32417</c:v>
                </c:pt>
                <c:pt idx="1135">
                  <c:v>32424</c:v>
                </c:pt>
                <c:pt idx="1136">
                  <c:v>32431</c:v>
                </c:pt>
                <c:pt idx="1137">
                  <c:v>32438</c:v>
                </c:pt>
                <c:pt idx="1138">
                  <c:v>32445</c:v>
                </c:pt>
                <c:pt idx="1139">
                  <c:v>32452</c:v>
                </c:pt>
                <c:pt idx="1140">
                  <c:v>32459</c:v>
                </c:pt>
                <c:pt idx="1141">
                  <c:v>32466</c:v>
                </c:pt>
                <c:pt idx="1142">
                  <c:v>32473</c:v>
                </c:pt>
                <c:pt idx="1143">
                  <c:v>32480</c:v>
                </c:pt>
                <c:pt idx="1144">
                  <c:v>32487</c:v>
                </c:pt>
                <c:pt idx="1145">
                  <c:v>32494</c:v>
                </c:pt>
                <c:pt idx="1146">
                  <c:v>32501</c:v>
                </c:pt>
                <c:pt idx="1147">
                  <c:v>32508</c:v>
                </c:pt>
                <c:pt idx="1148">
                  <c:v>32515</c:v>
                </c:pt>
                <c:pt idx="1149">
                  <c:v>32522</c:v>
                </c:pt>
                <c:pt idx="1150">
                  <c:v>32529</c:v>
                </c:pt>
                <c:pt idx="1151">
                  <c:v>32536</c:v>
                </c:pt>
                <c:pt idx="1152">
                  <c:v>32543</c:v>
                </c:pt>
                <c:pt idx="1153">
                  <c:v>32550</c:v>
                </c:pt>
                <c:pt idx="1154">
                  <c:v>32557</c:v>
                </c:pt>
                <c:pt idx="1155">
                  <c:v>32564</c:v>
                </c:pt>
                <c:pt idx="1156">
                  <c:v>32571</c:v>
                </c:pt>
                <c:pt idx="1157">
                  <c:v>32578</c:v>
                </c:pt>
                <c:pt idx="1158">
                  <c:v>32585</c:v>
                </c:pt>
                <c:pt idx="1159">
                  <c:v>32592</c:v>
                </c:pt>
                <c:pt idx="1160">
                  <c:v>32599</c:v>
                </c:pt>
                <c:pt idx="1161">
                  <c:v>32606</c:v>
                </c:pt>
                <c:pt idx="1162">
                  <c:v>32613</c:v>
                </c:pt>
                <c:pt idx="1163">
                  <c:v>32620</c:v>
                </c:pt>
                <c:pt idx="1164">
                  <c:v>32627</c:v>
                </c:pt>
                <c:pt idx="1165">
                  <c:v>32634</c:v>
                </c:pt>
                <c:pt idx="1166">
                  <c:v>32641</c:v>
                </c:pt>
                <c:pt idx="1167">
                  <c:v>32648</c:v>
                </c:pt>
                <c:pt idx="1168">
                  <c:v>32655</c:v>
                </c:pt>
                <c:pt idx="1169">
                  <c:v>32662</c:v>
                </c:pt>
                <c:pt idx="1170">
                  <c:v>32669</c:v>
                </c:pt>
                <c:pt idx="1171">
                  <c:v>32676</c:v>
                </c:pt>
                <c:pt idx="1172">
                  <c:v>32683</c:v>
                </c:pt>
                <c:pt idx="1173">
                  <c:v>32690</c:v>
                </c:pt>
                <c:pt idx="1174">
                  <c:v>32697</c:v>
                </c:pt>
                <c:pt idx="1175">
                  <c:v>32704</c:v>
                </c:pt>
                <c:pt idx="1176">
                  <c:v>32711</c:v>
                </c:pt>
                <c:pt idx="1177">
                  <c:v>32718</c:v>
                </c:pt>
                <c:pt idx="1178">
                  <c:v>32725</c:v>
                </c:pt>
                <c:pt idx="1179">
                  <c:v>32732</c:v>
                </c:pt>
                <c:pt idx="1180">
                  <c:v>32739</c:v>
                </c:pt>
                <c:pt idx="1181">
                  <c:v>32746</c:v>
                </c:pt>
                <c:pt idx="1182">
                  <c:v>32753</c:v>
                </c:pt>
                <c:pt idx="1183">
                  <c:v>32760</c:v>
                </c:pt>
                <c:pt idx="1184">
                  <c:v>32767</c:v>
                </c:pt>
                <c:pt idx="1185">
                  <c:v>32774</c:v>
                </c:pt>
                <c:pt idx="1186">
                  <c:v>32781</c:v>
                </c:pt>
                <c:pt idx="1187">
                  <c:v>32788</c:v>
                </c:pt>
                <c:pt idx="1188">
                  <c:v>32795</c:v>
                </c:pt>
                <c:pt idx="1189">
                  <c:v>32802</c:v>
                </c:pt>
                <c:pt idx="1190">
                  <c:v>32809</c:v>
                </c:pt>
                <c:pt idx="1191">
                  <c:v>32816</c:v>
                </c:pt>
                <c:pt idx="1192">
                  <c:v>32823</c:v>
                </c:pt>
                <c:pt idx="1193">
                  <c:v>32830</c:v>
                </c:pt>
                <c:pt idx="1194">
                  <c:v>32837</c:v>
                </c:pt>
                <c:pt idx="1195">
                  <c:v>32844</c:v>
                </c:pt>
                <c:pt idx="1196">
                  <c:v>32851</c:v>
                </c:pt>
                <c:pt idx="1197">
                  <c:v>32858</c:v>
                </c:pt>
                <c:pt idx="1198">
                  <c:v>32865</c:v>
                </c:pt>
                <c:pt idx="1199">
                  <c:v>32872</c:v>
                </c:pt>
                <c:pt idx="1200">
                  <c:v>32879</c:v>
                </c:pt>
                <c:pt idx="1201">
                  <c:v>32886</c:v>
                </c:pt>
                <c:pt idx="1202">
                  <c:v>32893</c:v>
                </c:pt>
                <c:pt idx="1203">
                  <c:v>32900</c:v>
                </c:pt>
                <c:pt idx="1204">
                  <c:v>32907</c:v>
                </c:pt>
                <c:pt idx="1205">
                  <c:v>32914</c:v>
                </c:pt>
                <c:pt idx="1206">
                  <c:v>32921</c:v>
                </c:pt>
                <c:pt idx="1207">
                  <c:v>32928</c:v>
                </c:pt>
                <c:pt idx="1208">
                  <c:v>32935</c:v>
                </c:pt>
                <c:pt idx="1209">
                  <c:v>32942</c:v>
                </c:pt>
                <c:pt idx="1210">
                  <c:v>32949</c:v>
                </c:pt>
                <c:pt idx="1211">
                  <c:v>32956</c:v>
                </c:pt>
                <c:pt idx="1212">
                  <c:v>32963</c:v>
                </c:pt>
                <c:pt idx="1213">
                  <c:v>32970</c:v>
                </c:pt>
                <c:pt idx="1214">
                  <c:v>32977</c:v>
                </c:pt>
                <c:pt idx="1215">
                  <c:v>32984</c:v>
                </c:pt>
                <c:pt idx="1216">
                  <c:v>32991</c:v>
                </c:pt>
                <c:pt idx="1217">
                  <c:v>32998</c:v>
                </c:pt>
                <c:pt idx="1218">
                  <c:v>33005</c:v>
                </c:pt>
                <c:pt idx="1219">
                  <c:v>33012</c:v>
                </c:pt>
                <c:pt idx="1220">
                  <c:v>33019</c:v>
                </c:pt>
                <c:pt idx="1221">
                  <c:v>33026</c:v>
                </c:pt>
                <c:pt idx="1222">
                  <c:v>33033</c:v>
                </c:pt>
                <c:pt idx="1223">
                  <c:v>33040</c:v>
                </c:pt>
                <c:pt idx="1224">
                  <c:v>33047</c:v>
                </c:pt>
                <c:pt idx="1225">
                  <c:v>33054</c:v>
                </c:pt>
                <c:pt idx="1226">
                  <c:v>33061</c:v>
                </c:pt>
                <c:pt idx="1227">
                  <c:v>33068</c:v>
                </c:pt>
                <c:pt idx="1228">
                  <c:v>33075</c:v>
                </c:pt>
                <c:pt idx="1229">
                  <c:v>33082</c:v>
                </c:pt>
                <c:pt idx="1230">
                  <c:v>33089</c:v>
                </c:pt>
                <c:pt idx="1231">
                  <c:v>33096</c:v>
                </c:pt>
                <c:pt idx="1232">
                  <c:v>33103</c:v>
                </c:pt>
                <c:pt idx="1233">
                  <c:v>33110</c:v>
                </c:pt>
                <c:pt idx="1234">
                  <c:v>33117</c:v>
                </c:pt>
                <c:pt idx="1235">
                  <c:v>33124</c:v>
                </c:pt>
                <c:pt idx="1236">
                  <c:v>33131</c:v>
                </c:pt>
                <c:pt idx="1237">
                  <c:v>33138</c:v>
                </c:pt>
                <c:pt idx="1238">
                  <c:v>33145</c:v>
                </c:pt>
                <c:pt idx="1239">
                  <c:v>33152</c:v>
                </c:pt>
                <c:pt idx="1240">
                  <c:v>33159</c:v>
                </c:pt>
                <c:pt idx="1241">
                  <c:v>33166</c:v>
                </c:pt>
                <c:pt idx="1242">
                  <c:v>33173</c:v>
                </c:pt>
                <c:pt idx="1243">
                  <c:v>33180</c:v>
                </c:pt>
                <c:pt idx="1244">
                  <c:v>33187</c:v>
                </c:pt>
                <c:pt idx="1245">
                  <c:v>33194</c:v>
                </c:pt>
                <c:pt idx="1246">
                  <c:v>33201</c:v>
                </c:pt>
                <c:pt idx="1247">
                  <c:v>33208</c:v>
                </c:pt>
                <c:pt idx="1248">
                  <c:v>33215</c:v>
                </c:pt>
                <c:pt idx="1249">
                  <c:v>33222</c:v>
                </c:pt>
                <c:pt idx="1250">
                  <c:v>33229</c:v>
                </c:pt>
                <c:pt idx="1251">
                  <c:v>33236</c:v>
                </c:pt>
                <c:pt idx="1252">
                  <c:v>33243</c:v>
                </c:pt>
                <c:pt idx="1253">
                  <c:v>33250</c:v>
                </c:pt>
                <c:pt idx="1254">
                  <c:v>33257</c:v>
                </c:pt>
                <c:pt idx="1255">
                  <c:v>33264</c:v>
                </c:pt>
                <c:pt idx="1256">
                  <c:v>33271</c:v>
                </c:pt>
                <c:pt idx="1257">
                  <c:v>33278</c:v>
                </c:pt>
                <c:pt idx="1258">
                  <c:v>33285</c:v>
                </c:pt>
                <c:pt idx="1259">
                  <c:v>33292</c:v>
                </c:pt>
                <c:pt idx="1260">
                  <c:v>33299</c:v>
                </c:pt>
                <c:pt idx="1261">
                  <c:v>33306</c:v>
                </c:pt>
                <c:pt idx="1262">
                  <c:v>33313</c:v>
                </c:pt>
                <c:pt idx="1263">
                  <c:v>33320</c:v>
                </c:pt>
                <c:pt idx="1264">
                  <c:v>33327</c:v>
                </c:pt>
                <c:pt idx="1265">
                  <c:v>33334</c:v>
                </c:pt>
                <c:pt idx="1266">
                  <c:v>33341</c:v>
                </c:pt>
                <c:pt idx="1267">
                  <c:v>33348</c:v>
                </c:pt>
                <c:pt idx="1268">
                  <c:v>33355</c:v>
                </c:pt>
                <c:pt idx="1269">
                  <c:v>33362</c:v>
                </c:pt>
                <c:pt idx="1270">
                  <c:v>33369</c:v>
                </c:pt>
                <c:pt idx="1271">
                  <c:v>33376</c:v>
                </c:pt>
                <c:pt idx="1272">
                  <c:v>33383</c:v>
                </c:pt>
                <c:pt idx="1273">
                  <c:v>33390</c:v>
                </c:pt>
                <c:pt idx="1274">
                  <c:v>33397</c:v>
                </c:pt>
                <c:pt idx="1275">
                  <c:v>33404</c:v>
                </c:pt>
                <c:pt idx="1276">
                  <c:v>33411</c:v>
                </c:pt>
                <c:pt idx="1277">
                  <c:v>33418</c:v>
                </c:pt>
                <c:pt idx="1278">
                  <c:v>33425</c:v>
                </c:pt>
                <c:pt idx="1279">
                  <c:v>33432</c:v>
                </c:pt>
                <c:pt idx="1280">
                  <c:v>33439</c:v>
                </c:pt>
                <c:pt idx="1281">
                  <c:v>33446</c:v>
                </c:pt>
                <c:pt idx="1282">
                  <c:v>33453</c:v>
                </c:pt>
                <c:pt idx="1283">
                  <c:v>33460</c:v>
                </c:pt>
                <c:pt idx="1284">
                  <c:v>33467</c:v>
                </c:pt>
                <c:pt idx="1285">
                  <c:v>33474</c:v>
                </c:pt>
                <c:pt idx="1286">
                  <c:v>33481</c:v>
                </c:pt>
                <c:pt idx="1287">
                  <c:v>33488</c:v>
                </c:pt>
                <c:pt idx="1288">
                  <c:v>33495</c:v>
                </c:pt>
                <c:pt idx="1289">
                  <c:v>33502</c:v>
                </c:pt>
                <c:pt idx="1290">
                  <c:v>33509</c:v>
                </c:pt>
                <c:pt idx="1291">
                  <c:v>33516</c:v>
                </c:pt>
                <c:pt idx="1292">
                  <c:v>33523</c:v>
                </c:pt>
                <c:pt idx="1293">
                  <c:v>33530</c:v>
                </c:pt>
                <c:pt idx="1294">
                  <c:v>33537</c:v>
                </c:pt>
                <c:pt idx="1295">
                  <c:v>33544</c:v>
                </c:pt>
                <c:pt idx="1296">
                  <c:v>33551</c:v>
                </c:pt>
                <c:pt idx="1297">
                  <c:v>33558</c:v>
                </c:pt>
                <c:pt idx="1298">
                  <c:v>33565</c:v>
                </c:pt>
                <c:pt idx="1299">
                  <c:v>33572</c:v>
                </c:pt>
                <c:pt idx="1300">
                  <c:v>33579</c:v>
                </c:pt>
                <c:pt idx="1301">
                  <c:v>33586</c:v>
                </c:pt>
                <c:pt idx="1302">
                  <c:v>33593</c:v>
                </c:pt>
                <c:pt idx="1303">
                  <c:v>33600</c:v>
                </c:pt>
                <c:pt idx="1304">
                  <c:v>33607</c:v>
                </c:pt>
                <c:pt idx="1305">
                  <c:v>33614</c:v>
                </c:pt>
                <c:pt idx="1306">
                  <c:v>33621</c:v>
                </c:pt>
                <c:pt idx="1307">
                  <c:v>33628</c:v>
                </c:pt>
                <c:pt idx="1308">
                  <c:v>33635</c:v>
                </c:pt>
                <c:pt idx="1309">
                  <c:v>33642</c:v>
                </c:pt>
                <c:pt idx="1310">
                  <c:v>33649</c:v>
                </c:pt>
                <c:pt idx="1311">
                  <c:v>33656</c:v>
                </c:pt>
                <c:pt idx="1312">
                  <c:v>33663</c:v>
                </c:pt>
                <c:pt idx="1313">
                  <c:v>33670</c:v>
                </c:pt>
                <c:pt idx="1314">
                  <c:v>33677</c:v>
                </c:pt>
                <c:pt idx="1315">
                  <c:v>33684</c:v>
                </c:pt>
                <c:pt idx="1316">
                  <c:v>33691</c:v>
                </c:pt>
                <c:pt idx="1317">
                  <c:v>33698</c:v>
                </c:pt>
                <c:pt idx="1318">
                  <c:v>33705</c:v>
                </c:pt>
                <c:pt idx="1319">
                  <c:v>33712</c:v>
                </c:pt>
                <c:pt idx="1320">
                  <c:v>33719</c:v>
                </c:pt>
                <c:pt idx="1321">
                  <c:v>33726</c:v>
                </c:pt>
                <c:pt idx="1322">
                  <c:v>33733</c:v>
                </c:pt>
                <c:pt idx="1323">
                  <c:v>33740</c:v>
                </c:pt>
                <c:pt idx="1324">
                  <c:v>33747</c:v>
                </c:pt>
                <c:pt idx="1325">
                  <c:v>33754</c:v>
                </c:pt>
                <c:pt idx="1326">
                  <c:v>33761</c:v>
                </c:pt>
                <c:pt idx="1327">
                  <c:v>33768</c:v>
                </c:pt>
                <c:pt idx="1328">
                  <c:v>33775</c:v>
                </c:pt>
                <c:pt idx="1329">
                  <c:v>33782</c:v>
                </c:pt>
                <c:pt idx="1330">
                  <c:v>33789</c:v>
                </c:pt>
                <c:pt idx="1331">
                  <c:v>33796</c:v>
                </c:pt>
                <c:pt idx="1332">
                  <c:v>33803</c:v>
                </c:pt>
                <c:pt idx="1333">
                  <c:v>33810</c:v>
                </c:pt>
                <c:pt idx="1334">
                  <c:v>33817</c:v>
                </c:pt>
                <c:pt idx="1335">
                  <c:v>33824</c:v>
                </c:pt>
                <c:pt idx="1336">
                  <c:v>33831</c:v>
                </c:pt>
                <c:pt idx="1337">
                  <c:v>33838</c:v>
                </c:pt>
                <c:pt idx="1338">
                  <c:v>33845</c:v>
                </c:pt>
                <c:pt idx="1339">
                  <c:v>33852</c:v>
                </c:pt>
                <c:pt idx="1340">
                  <c:v>33859</c:v>
                </c:pt>
                <c:pt idx="1341">
                  <c:v>33866</c:v>
                </c:pt>
                <c:pt idx="1342">
                  <c:v>33873</c:v>
                </c:pt>
                <c:pt idx="1343">
                  <c:v>33880</c:v>
                </c:pt>
                <c:pt idx="1344">
                  <c:v>33887</c:v>
                </c:pt>
                <c:pt idx="1345">
                  <c:v>33894</c:v>
                </c:pt>
                <c:pt idx="1346">
                  <c:v>33901</c:v>
                </c:pt>
                <c:pt idx="1347">
                  <c:v>33908</c:v>
                </c:pt>
                <c:pt idx="1348">
                  <c:v>33915</c:v>
                </c:pt>
                <c:pt idx="1349">
                  <c:v>33922</c:v>
                </c:pt>
                <c:pt idx="1350">
                  <c:v>33929</c:v>
                </c:pt>
                <c:pt idx="1351">
                  <c:v>33936</c:v>
                </c:pt>
                <c:pt idx="1352">
                  <c:v>33943</c:v>
                </c:pt>
                <c:pt idx="1353">
                  <c:v>33950</c:v>
                </c:pt>
                <c:pt idx="1354">
                  <c:v>33957</c:v>
                </c:pt>
                <c:pt idx="1355">
                  <c:v>33964</c:v>
                </c:pt>
                <c:pt idx="1356">
                  <c:v>33971</c:v>
                </c:pt>
                <c:pt idx="1357">
                  <c:v>33978</c:v>
                </c:pt>
                <c:pt idx="1358">
                  <c:v>33985</c:v>
                </c:pt>
                <c:pt idx="1359">
                  <c:v>33992</c:v>
                </c:pt>
                <c:pt idx="1360">
                  <c:v>33999</c:v>
                </c:pt>
                <c:pt idx="1361">
                  <c:v>34006</c:v>
                </c:pt>
                <c:pt idx="1362">
                  <c:v>34013</c:v>
                </c:pt>
                <c:pt idx="1363">
                  <c:v>34020</c:v>
                </c:pt>
                <c:pt idx="1364">
                  <c:v>34027</c:v>
                </c:pt>
                <c:pt idx="1365">
                  <c:v>34034</c:v>
                </c:pt>
                <c:pt idx="1366">
                  <c:v>34041</c:v>
                </c:pt>
                <c:pt idx="1367">
                  <c:v>34048</c:v>
                </c:pt>
                <c:pt idx="1368">
                  <c:v>34055</c:v>
                </c:pt>
                <c:pt idx="1369">
                  <c:v>34062</c:v>
                </c:pt>
                <c:pt idx="1370">
                  <c:v>34069</c:v>
                </c:pt>
                <c:pt idx="1371">
                  <c:v>34076</c:v>
                </c:pt>
                <c:pt idx="1372">
                  <c:v>34083</c:v>
                </c:pt>
                <c:pt idx="1373">
                  <c:v>34090</c:v>
                </c:pt>
                <c:pt idx="1374">
                  <c:v>34097</c:v>
                </c:pt>
                <c:pt idx="1375">
                  <c:v>34104</c:v>
                </c:pt>
                <c:pt idx="1376">
                  <c:v>34111</c:v>
                </c:pt>
                <c:pt idx="1377">
                  <c:v>34118</c:v>
                </c:pt>
                <c:pt idx="1378">
                  <c:v>34125</c:v>
                </c:pt>
                <c:pt idx="1379">
                  <c:v>34132</c:v>
                </c:pt>
                <c:pt idx="1380">
                  <c:v>34139</c:v>
                </c:pt>
                <c:pt idx="1381">
                  <c:v>34146</c:v>
                </c:pt>
                <c:pt idx="1382">
                  <c:v>34153</c:v>
                </c:pt>
                <c:pt idx="1383">
                  <c:v>34160</c:v>
                </c:pt>
                <c:pt idx="1384">
                  <c:v>34167</c:v>
                </c:pt>
                <c:pt idx="1385">
                  <c:v>34174</c:v>
                </c:pt>
                <c:pt idx="1386">
                  <c:v>34181</c:v>
                </c:pt>
                <c:pt idx="1387">
                  <c:v>34188</c:v>
                </c:pt>
                <c:pt idx="1388">
                  <c:v>34195</c:v>
                </c:pt>
                <c:pt idx="1389">
                  <c:v>34202</c:v>
                </c:pt>
                <c:pt idx="1390">
                  <c:v>34209</c:v>
                </c:pt>
                <c:pt idx="1391">
                  <c:v>34216</c:v>
                </c:pt>
                <c:pt idx="1392">
                  <c:v>34223</c:v>
                </c:pt>
                <c:pt idx="1393">
                  <c:v>34230</c:v>
                </c:pt>
                <c:pt idx="1394">
                  <c:v>34237</c:v>
                </c:pt>
                <c:pt idx="1395">
                  <c:v>34244</c:v>
                </c:pt>
                <c:pt idx="1396">
                  <c:v>34251</c:v>
                </c:pt>
                <c:pt idx="1397">
                  <c:v>34258</c:v>
                </c:pt>
                <c:pt idx="1398">
                  <c:v>34265</c:v>
                </c:pt>
                <c:pt idx="1399">
                  <c:v>34272</c:v>
                </c:pt>
                <c:pt idx="1400">
                  <c:v>34279</c:v>
                </c:pt>
                <c:pt idx="1401">
                  <c:v>34286</c:v>
                </c:pt>
                <c:pt idx="1402">
                  <c:v>34293</c:v>
                </c:pt>
                <c:pt idx="1403">
                  <c:v>34300</c:v>
                </c:pt>
                <c:pt idx="1404">
                  <c:v>34307</c:v>
                </c:pt>
                <c:pt idx="1405">
                  <c:v>34314</c:v>
                </c:pt>
                <c:pt idx="1406">
                  <c:v>34321</c:v>
                </c:pt>
                <c:pt idx="1407">
                  <c:v>34328</c:v>
                </c:pt>
                <c:pt idx="1408">
                  <c:v>34335</c:v>
                </c:pt>
                <c:pt idx="1409">
                  <c:v>34342</c:v>
                </c:pt>
                <c:pt idx="1410">
                  <c:v>34349</c:v>
                </c:pt>
                <c:pt idx="1411">
                  <c:v>34356</c:v>
                </c:pt>
                <c:pt idx="1412">
                  <c:v>34363</c:v>
                </c:pt>
                <c:pt idx="1413">
                  <c:v>34370</c:v>
                </c:pt>
                <c:pt idx="1414">
                  <c:v>34377</c:v>
                </c:pt>
                <c:pt idx="1415">
                  <c:v>34384</c:v>
                </c:pt>
                <c:pt idx="1416">
                  <c:v>34391</c:v>
                </c:pt>
                <c:pt idx="1417">
                  <c:v>34398</c:v>
                </c:pt>
                <c:pt idx="1418">
                  <c:v>34405</c:v>
                </c:pt>
                <c:pt idx="1419">
                  <c:v>34412</c:v>
                </c:pt>
                <c:pt idx="1420">
                  <c:v>34419</c:v>
                </c:pt>
                <c:pt idx="1421">
                  <c:v>34426</c:v>
                </c:pt>
                <c:pt idx="1422">
                  <c:v>34433</c:v>
                </c:pt>
                <c:pt idx="1423">
                  <c:v>34440</c:v>
                </c:pt>
                <c:pt idx="1424">
                  <c:v>34447</c:v>
                </c:pt>
                <c:pt idx="1425">
                  <c:v>34454</c:v>
                </c:pt>
                <c:pt idx="1426">
                  <c:v>34461</c:v>
                </c:pt>
                <c:pt idx="1427">
                  <c:v>34468</c:v>
                </c:pt>
                <c:pt idx="1428">
                  <c:v>34475</c:v>
                </c:pt>
                <c:pt idx="1429">
                  <c:v>34482</c:v>
                </c:pt>
                <c:pt idx="1430">
                  <c:v>34489</c:v>
                </c:pt>
                <c:pt idx="1431">
                  <c:v>34496</c:v>
                </c:pt>
                <c:pt idx="1432">
                  <c:v>34503</c:v>
                </c:pt>
                <c:pt idx="1433">
                  <c:v>34510</c:v>
                </c:pt>
                <c:pt idx="1434">
                  <c:v>34517</c:v>
                </c:pt>
                <c:pt idx="1435">
                  <c:v>34524</c:v>
                </c:pt>
                <c:pt idx="1436">
                  <c:v>34531</c:v>
                </c:pt>
                <c:pt idx="1437">
                  <c:v>34538</c:v>
                </c:pt>
                <c:pt idx="1438">
                  <c:v>34545</c:v>
                </c:pt>
                <c:pt idx="1439">
                  <c:v>34552</c:v>
                </c:pt>
                <c:pt idx="1440">
                  <c:v>34559</c:v>
                </c:pt>
                <c:pt idx="1441">
                  <c:v>34566</c:v>
                </c:pt>
                <c:pt idx="1442">
                  <c:v>34573</c:v>
                </c:pt>
                <c:pt idx="1443">
                  <c:v>34580</c:v>
                </c:pt>
                <c:pt idx="1444">
                  <c:v>34587</c:v>
                </c:pt>
                <c:pt idx="1445">
                  <c:v>34594</c:v>
                </c:pt>
                <c:pt idx="1446">
                  <c:v>34601</c:v>
                </c:pt>
                <c:pt idx="1447">
                  <c:v>34608</c:v>
                </c:pt>
                <c:pt idx="1448">
                  <c:v>34615</c:v>
                </c:pt>
                <c:pt idx="1449">
                  <c:v>34622</c:v>
                </c:pt>
                <c:pt idx="1450">
                  <c:v>34629</c:v>
                </c:pt>
                <c:pt idx="1451">
                  <c:v>34636</c:v>
                </c:pt>
                <c:pt idx="1452">
                  <c:v>34643</c:v>
                </c:pt>
                <c:pt idx="1453">
                  <c:v>34650</c:v>
                </c:pt>
                <c:pt idx="1454">
                  <c:v>34657</c:v>
                </c:pt>
                <c:pt idx="1455">
                  <c:v>34664</c:v>
                </c:pt>
                <c:pt idx="1456">
                  <c:v>34671</c:v>
                </c:pt>
                <c:pt idx="1457">
                  <c:v>34678</c:v>
                </c:pt>
                <c:pt idx="1458">
                  <c:v>34685</c:v>
                </c:pt>
                <c:pt idx="1459">
                  <c:v>34692</c:v>
                </c:pt>
                <c:pt idx="1460">
                  <c:v>34699</c:v>
                </c:pt>
                <c:pt idx="1461">
                  <c:v>34706</c:v>
                </c:pt>
                <c:pt idx="1462">
                  <c:v>34713</c:v>
                </c:pt>
                <c:pt idx="1463">
                  <c:v>34720</c:v>
                </c:pt>
                <c:pt idx="1464">
                  <c:v>34727</c:v>
                </c:pt>
                <c:pt idx="1465">
                  <c:v>34734</c:v>
                </c:pt>
                <c:pt idx="1466">
                  <c:v>34741</c:v>
                </c:pt>
                <c:pt idx="1467">
                  <c:v>34748</c:v>
                </c:pt>
                <c:pt idx="1468">
                  <c:v>34755</c:v>
                </c:pt>
                <c:pt idx="1469">
                  <c:v>34762</c:v>
                </c:pt>
                <c:pt idx="1470">
                  <c:v>34769</c:v>
                </c:pt>
                <c:pt idx="1471">
                  <c:v>34776</c:v>
                </c:pt>
                <c:pt idx="1472">
                  <c:v>34783</c:v>
                </c:pt>
                <c:pt idx="1473">
                  <c:v>34790</c:v>
                </c:pt>
                <c:pt idx="1474">
                  <c:v>34797</c:v>
                </c:pt>
                <c:pt idx="1475">
                  <c:v>34804</c:v>
                </c:pt>
                <c:pt idx="1476">
                  <c:v>34811</c:v>
                </c:pt>
                <c:pt idx="1477">
                  <c:v>34818</c:v>
                </c:pt>
                <c:pt idx="1478">
                  <c:v>34825</c:v>
                </c:pt>
                <c:pt idx="1479">
                  <c:v>34832</c:v>
                </c:pt>
                <c:pt idx="1480">
                  <c:v>34839</c:v>
                </c:pt>
                <c:pt idx="1481">
                  <c:v>34846</c:v>
                </c:pt>
                <c:pt idx="1482">
                  <c:v>34853</c:v>
                </c:pt>
                <c:pt idx="1483">
                  <c:v>34860</c:v>
                </c:pt>
                <c:pt idx="1484">
                  <c:v>34867</c:v>
                </c:pt>
                <c:pt idx="1485">
                  <c:v>34874</c:v>
                </c:pt>
                <c:pt idx="1486">
                  <c:v>34881</c:v>
                </c:pt>
                <c:pt idx="1487">
                  <c:v>34888</c:v>
                </c:pt>
                <c:pt idx="1488">
                  <c:v>34895</c:v>
                </c:pt>
                <c:pt idx="1489">
                  <c:v>34902</c:v>
                </c:pt>
                <c:pt idx="1490">
                  <c:v>34909</c:v>
                </c:pt>
                <c:pt idx="1491">
                  <c:v>34916</c:v>
                </c:pt>
                <c:pt idx="1492">
                  <c:v>34923</c:v>
                </c:pt>
                <c:pt idx="1493">
                  <c:v>34930</c:v>
                </c:pt>
                <c:pt idx="1494">
                  <c:v>34937</c:v>
                </c:pt>
                <c:pt idx="1495">
                  <c:v>34944</c:v>
                </c:pt>
                <c:pt idx="1496">
                  <c:v>34951</c:v>
                </c:pt>
                <c:pt idx="1497">
                  <c:v>34958</c:v>
                </c:pt>
                <c:pt idx="1498">
                  <c:v>34965</c:v>
                </c:pt>
                <c:pt idx="1499">
                  <c:v>34972</c:v>
                </c:pt>
                <c:pt idx="1500">
                  <c:v>34979</c:v>
                </c:pt>
                <c:pt idx="1501">
                  <c:v>34986</c:v>
                </c:pt>
                <c:pt idx="1502">
                  <c:v>34993</c:v>
                </c:pt>
                <c:pt idx="1503">
                  <c:v>35000</c:v>
                </c:pt>
                <c:pt idx="1504">
                  <c:v>35007</c:v>
                </c:pt>
                <c:pt idx="1505">
                  <c:v>35014</c:v>
                </c:pt>
                <c:pt idx="1506">
                  <c:v>35021</c:v>
                </c:pt>
                <c:pt idx="1507">
                  <c:v>35028</c:v>
                </c:pt>
                <c:pt idx="1508">
                  <c:v>35035</c:v>
                </c:pt>
                <c:pt idx="1509">
                  <c:v>35042</c:v>
                </c:pt>
                <c:pt idx="1510">
                  <c:v>35049</c:v>
                </c:pt>
                <c:pt idx="1511">
                  <c:v>35056</c:v>
                </c:pt>
                <c:pt idx="1512">
                  <c:v>35063</c:v>
                </c:pt>
                <c:pt idx="1513">
                  <c:v>35070</c:v>
                </c:pt>
                <c:pt idx="1514">
                  <c:v>35077</c:v>
                </c:pt>
                <c:pt idx="1515">
                  <c:v>35084</c:v>
                </c:pt>
                <c:pt idx="1516">
                  <c:v>35091</c:v>
                </c:pt>
                <c:pt idx="1517">
                  <c:v>35098</c:v>
                </c:pt>
                <c:pt idx="1518">
                  <c:v>35105</c:v>
                </c:pt>
                <c:pt idx="1519">
                  <c:v>35112</c:v>
                </c:pt>
                <c:pt idx="1520">
                  <c:v>35119</c:v>
                </c:pt>
                <c:pt idx="1521">
                  <c:v>35126</c:v>
                </c:pt>
                <c:pt idx="1522">
                  <c:v>35133</c:v>
                </c:pt>
                <c:pt idx="1523">
                  <c:v>35140</c:v>
                </c:pt>
                <c:pt idx="1524">
                  <c:v>35147</c:v>
                </c:pt>
                <c:pt idx="1525">
                  <c:v>35154</c:v>
                </c:pt>
                <c:pt idx="1526">
                  <c:v>35161</c:v>
                </c:pt>
                <c:pt idx="1527">
                  <c:v>35168</c:v>
                </c:pt>
                <c:pt idx="1528">
                  <c:v>35175</c:v>
                </c:pt>
                <c:pt idx="1529">
                  <c:v>35182</c:v>
                </c:pt>
                <c:pt idx="1530">
                  <c:v>35189</c:v>
                </c:pt>
                <c:pt idx="1531">
                  <c:v>35196</c:v>
                </c:pt>
                <c:pt idx="1532">
                  <c:v>35203</c:v>
                </c:pt>
                <c:pt idx="1533">
                  <c:v>35210</c:v>
                </c:pt>
                <c:pt idx="1534">
                  <c:v>35217</c:v>
                </c:pt>
                <c:pt idx="1535">
                  <c:v>35224</c:v>
                </c:pt>
                <c:pt idx="1536">
                  <c:v>35231</c:v>
                </c:pt>
                <c:pt idx="1537">
                  <c:v>35238</c:v>
                </c:pt>
                <c:pt idx="1538">
                  <c:v>35245</c:v>
                </c:pt>
                <c:pt idx="1539">
                  <c:v>35252</c:v>
                </c:pt>
                <c:pt idx="1540">
                  <c:v>35259</c:v>
                </c:pt>
                <c:pt idx="1541">
                  <c:v>35266</c:v>
                </c:pt>
                <c:pt idx="1542">
                  <c:v>35273</c:v>
                </c:pt>
                <c:pt idx="1543">
                  <c:v>35280</c:v>
                </c:pt>
                <c:pt idx="1544">
                  <c:v>35287</c:v>
                </c:pt>
                <c:pt idx="1545">
                  <c:v>35294</c:v>
                </c:pt>
                <c:pt idx="1546">
                  <c:v>35301</c:v>
                </c:pt>
                <c:pt idx="1547">
                  <c:v>35308</c:v>
                </c:pt>
                <c:pt idx="1548">
                  <c:v>35315</c:v>
                </c:pt>
                <c:pt idx="1549">
                  <c:v>35322</c:v>
                </c:pt>
                <c:pt idx="1550">
                  <c:v>35329</c:v>
                </c:pt>
                <c:pt idx="1551">
                  <c:v>35336</c:v>
                </c:pt>
                <c:pt idx="1552">
                  <c:v>35343</c:v>
                </c:pt>
                <c:pt idx="1553">
                  <c:v>35350</c:v>
                </c:pt>
                <c:pt idx="1554">
                  <c:v>35357</c:v>
                </c:pt>
                <c:pt idx="1555">
                  <c:v>35364</c:v>
                </c:pt>
                <c:pt idx="1556">
                  <c:v>35371</c:v>
                </c:pt>
                <c:pt idx="1557">
                  <c:v>35378</c:v>
                </c:pt>
                <c:pt idx="1558">
                  <c:v>35385</c:v>
                </c:pt>
                <c:pt idx="1559">
                  <c:v>35392</c:v>
                </c:pt>
                <c:pt idx="1560">
                  <c:v>35399</c:v>
                </c:pt>
                <c:pt idx="1561">
                  <c:v>35406</c:v>
                </c:pt>
                <c:pt idx="1562">
                  <c:v>35413</c:v>
                </c:pt>
                <c:pt idx="1563">
                  <c:v>35420</c:v>
                </c:pt>
                <c:pt idx="1564">
                  <c:v>35427</c:v>
                </c:pt>
                <c:pt idx="1565">
                  <c:v>35434</c:v>
                </c:pt>
                <c:pt idx="1566">
                  <c:v>35441</c:v>
                </c:pt>
                <c:pt idx="1567">
                  <c:v>35448</c:v>
                </c:pt>
                <c:pt idx="1568">
                  <c:v>35455</c:v>
                </c:pt>
                <c:pt idx="1569">
                  <c:v>35462</c:v>
                </c:pt>
                <c:pt idx="1570">
                  <c:v>35469</c:v>
                </c:pt>
                <c:pt idx="1571">
                  <c:v>35476</c:v>
                </c:pt>
                <c:pt idx="1572">
                  <c:v>35483</c:v>
                </c:pt>
                <c:pt idx="1573">
                  <c:v>35490</c:v>
                </c:pt>
                <c:pt idx="1574">
                  <c:v>35497</c:v>
                </c:pt>
                <c:pt idx="1575">
                  <c:v>35504</c:v>
                </c:pt>
                <c:pt idx="1576">
                  <c:v>35511</c:v>
                </c:pt>
                <c:pt idx="1577">
                  <c:v>35518</c:v>
                </c:pt>
                <c:pt idx="1578">
                  <c:v>35525</c:v>
                </c:pt>
                <c:pt idx="1579">
                  <c:v>35532</c:v>
                </c:pt>
                <c:pt idx="1580">
                  <c:v>35539</c:v>
                </c:pt>
                <c:pt idx="1581">
                  <c:v>35546</c:v>
                </c:pt>
                <c:pt idx="1582">
                  <c:v>35553</c:v>
                </c:pt>
                <c:pt idx="1583">
                  <c:v>35560</c:v>
                </c:pt>
                <c:pt idx="1584">
                  <c:v>35567</c:v>
                </c:pt>
                <c:pt idx="1585">
                  <c:v>35574</c:v>
                </c:pt>
                <c:pt idx="1586">
                  <c:v>35581</c:v>
                </c:pt>
                <c:pt idx="1587">
                  <c:v>35588</c:v>
                </c:pt>
                <c:pt idx="1588">
                  <c:v>35595</c:v>
                </c:pt>
                <c:pt idx="1589">
                  <c:v>35602</c:v>
                </c:pt>
                <c:pt idx="1590">
                  <c:v>35609</c:v>
                </c:pt>
                <c:pt idx="1591">
                  <c:v>35616</c:v>
                </c:pt>
                <c:pt idx="1592">
                  <c:v>35623</c:v>
                </c:pt>
                <c:pt idx="1593">
                  <c:v>35630</c:v>
                </c:pt>
                <c:pt idx="1594">
                  <c:v>35637</c:v>
                </c:pt>
                <c:pt idx="1595">
                  <c:v>35644</c:v>
                </c:pt>
                <c:pt idx="1596">
                  <c:v>35651</c:v>
                </c:pt>
                <c:pt idx="1597">
                  <c:v>35658</c:v>
                </c:pt>
                <c:pt idx="1598">
                  <c:v>35665</c:v>
                </c:pt>
                <c:pt idx="1599">
                  <c:v>35672</c:v>
                </c:pt>
                <c:pt idx="1600">
                  <c:v>35679</c:v>
                </c:pt>
                <c:pt idx="1601">
                  <c:v>35686</c:v>
                </c:pt>
                <c:pt idx="1602">
                  <c:v>35693</c:v>
                </c:pt>
                <c:pt idx="1603">
                  <c:v>35700</c:v>
                </c:pt>
                <c:pt idx="1604">
                  <c:v>35707</c:v>
                </c:pt>
                <c:pt idx="1605">
                  <c:v>35714</c:v>
                </c:pt>
                <c:pt idx="1606">
                  <c:v>35721</c:v>
                </c:pt>
                <c:pt idx="1607">
                  <c:v>35728</c:v>
                </c:pt>
                <c:pt idx="1608">
                  <c:v>35735</c:v>
                </c:pt>
                <c:pt idx="1609">
                  <c:v>35742</c:v>
                </c:pt>
                <c:pt idx="1610">
                  <c:v>35749</c:v>
                </c:pt>
                <c:pt idx="1611">
                  <c:v>35756</c:v>
                </c:pt>
                <c:pt idx="1612">
                  <c:v>35763</c:v>
                </c:pt>
                <c:pt idx="1613">
                  <c:v>35770</c:v>
                </c:pt>
                <c:pt idx="1614">
                  <c:v>35777</c:v>
                </c:pt>
                <c:pt idx="1615">
                  <c:v>35784</c:v>
                </c:pt>
                <c:pt idx="1616">
                  <c:v>35791</c:v>
                </c:pt>
                <c:pt idx="1617">
                  <c:v>35798</c:v>
                </c:pt>
                <c:pt idx="1618">
                  <c:v>35805</c:v>
                </c:pt>
                <c:pt idx="1619">
                  <c:v>35812</c:v>
                </c:pt>
                <c:pt idx="1620">
                  <c:v>35819</c:v>
                </c:pt>
                <c:pt idx="1621">
                  <c:v>35826</c:v>
                </c:pt>
                <c:pt idx="1622">
                  <c:v>35833</c:v>
                </c:pt>
                <c:pt idx="1623">
                  <c:v>35840</c:v>
                </c:pt>
                <c:pt idx="1624">
                  <c:v>35847</c:v>
                </c:pt>
                <c:pt idx="1625">
                  <c:v>35854</c:v>
                </c:pt>
                <c:pt idx="1626">
                  <c:v>35861</c:v>
                </c:pt>
                <c:pt idx="1627">
                  <c:v>35868</c:v>
                </c:pt>
                <c:pt idx="1628">
                  <c:v>35875</c:v>
                </c:pt>
                <c:pt idx="1629">
                  <c:v>35882</c:v>
                </c:pt>
                <c:pt idx="1630">
                  <c:v>35889</c:v>
                </c:pt>
                <c:pt idx="1631">
                  <c:v>35896</c:v>
                </c:pt>
                <c:pt idx="1632">
                  <c:v>35903</c:v>
                </c:pt>
                <c:pt idx="1633">
                  <c:v>35910</c:v>
                </c:pt>
                <c:pt idx="1634">
                  <c:v>35917</c:v>
                </c:pt>
                <c:pt idx="1635">
                  <c:v>35924</c:v>
                </c:pt>
                <c:pt idx="1636">
                  <c:v>35931</c:v>
                </c:pt>
                <c:pt idx="1637">
                  <c:v>35938</c:v>
                </c:pt>
                <c:pt idx="1638">
                  <c:v>35945</c:v>
                </c:pt>
                <c:pt idx="1639">
                  <c:v>35952</c:v>
                </c:pt>
                <c:pt idx="1640">
                  <c:v>35959</c:v>
                </c:pt>
                <c:pt idx="1641">
                  <c:v>35966</c:v>
                </c:pt>
                <c:pt idx="1642">
                  <c:v>35973</c:v>
                </c:pt>
                <c:pt idx="1643">
                  <c:v>35980</c:v>
                </c:pt>
                <c:pt idx="1644">
                  <c:v>35987</c:v>
                </c:pt>
                <c:pt idx="1645">
                  <c:v>35994</c:v>
                </c:pt>
                <c:pt idx="1646">
                  <c:v>36001</c:v>
                </c:pt>
                <c:pt idx="1647">
                  <c:v>36008</c:v>
                </c:pt>
                <c:pt idx="1648">
                  <c:v>36015</c:v>
                </c:pt>
                <c:pt idx="1649">
                  <c:v>36022</c:v>
                </c:pt>
                <c:pt idx="1650">
                  <c:v>36029</c:v>
                </c:pt>
                <c:pt idx="1651">
                  <c:v>36036</c:v>
                </c:pt>
                <c:pt idx="1652">
                  <c:v>36043</c:v>
                </c:pt>
                <c:pt idx="1653">
                  <c:v>36050</c:v>
                </c:pt>
                <c:pt idx="1654">
                  <c:v>36057</c:v>
                </c:pt>
                <c:pt idx="1655">
                  <c:v>36064</c:v>
                </c:pt>
                <c:pt idx="1656">
                  <c:v>36071</c:v>
                </c:pt>
                <c:pt idx="1657">
                  <c:v>36078</c:v>
                </c:pt>
                <c:pt idx="1658">
                  <c:v>36085</c:v>
                </c:pt>
                <c:pt idx="1659">
                  <c:v>36092</c:v>
                </c:pt>
                <c:pt idx="1660">
                  <c:v>36099</c:v>
                </c:pt>
                <c:pt idx="1661">
                  <c:v>36106</c:v>
                </c:pt>
                <c:pt idx="1662">
                  <c:v>36113</c:v>
                </c:pt>
                <c:pt idx="1663">
                  <c:v>36120</c:v>
                </c:pt>
                <c:pt idx="1664">
                  <c:v>36127</c:v>
                </c:pt>
                <c:pt idx="1665">
                  <c:v>36134</c:v>
                </c:pt>
                <c:pt idx="1666">
                  <c:v>36141</c:v>
                </c:pt>
                <c:pt idx="1667">
                  <c:v>36148</c:v>
                </c:pt>
                <c:pt idx="1668">
                  <c:v>36155</c:v>
                </c:pt>
                <c:pt idx="1669">
                  <c:v>36162</c:v>
                </c:pt>
                <c:pt idx="1670">
                  <c:v>36169</c:v>
                </c:pt>
                <c:pt idx="1671">
                  <c:v>36176</c:v>
                </c:pt>
                <c:pt idx="1672">
                  <c:v>36183</c:v>
                </c:pt>
                <c:pt idx="1673">
                  <c:v>36190</c:v>
                </c:pt>
                <c:pt idx="1674">
                  <c:v>36197</c:v>
                </c:pt>
                <c:pt idx="1675">
                  <c:v>36204</c:v>
                </c:pt>
                <c:pt idx="1676">
                  <c:v>36211</c:v>
                </c:pt>
                <c:pt idx="1677">
                  <c:v>36218</c:v>
                </c:pt>
                <c:pt idx="1678">
                  <c:v>36225</c:v>
                </c:pt>
                <c:pt idx="1679">
                  <c:v>36232</c:v>
                </c:pt>
                <c:pt idx="1680">
                  <c:v>36239</c:v>
                </c:pt>
                <c:pt idx="1681">
                  <c:v>36246</c:v>
                </c:pt>
                <c:pt idx="1682">
                  <c:v>36253</c:v>
                </c:pt>
                <c:pt idx="1683">
                  <c:v>36260</c:v>
                </c:pt>
                <c:pt idx="1684">
                  <c:v>36267</c:v>
                </c:pt>
                <c:pt idx="1685">
                  <c:v>36274</c:v>
                </c:pt>
                <c:pt idx="1686">
                  <c:v>36281</c:v>
                </c:pt>
                <c:pt idx="1687">
                  <c:v>36288</c:v>
                </c:pt>
                <c:pt idx="1688">
                  <c:v>36295</c:v>
                </c:pt>
                <c:pt idx="1689">
                  <c:v>36302</c:v>
                </c:pt>
                <c:pt idx="1690">
                  <c:v>36309</c:v>
                </c:pt>
                <c:pt idx="1691">
                  <c:v>36316</c:v>
                </c:pt>
                <c:pt idx="1692">
                  <c:v>36323</c:v>
                </c:pt>
                <c:pt idx="1693">
                  <c:v>36330</c:v>
                </c:pt>
                <c:pt idx="1694">
                  <c:v>36337</c:v>
                </c:pt>
                <c:pt idx="1695">
                  <c:v>36344</c:v>
                </c:pt>
                <c:pt idx="1696">
                  <c:v>36351</c:v>
                </c:pt>
                <c:pt idx="1697">
                  <c:v>36358</c:v>
                </c:pt>
                <c:pt idx="1698">
                  <c:v>36365</c:v>
                </c:pt>
                <c:pt idx="1699">
                  <c:v>36372</c:v>
                </c:pt>
                <c:pt idx="1700">
                  <c:v>36379</c:v>
                </c:pt>
                <c:pt idx="1701">
                  <c:v>36386</c:v>
                </c:pt>
                <c:pt idx="1702">
                  <c:v>36393</c:v>
                </c:pt>
                <c:pt idx="1703">
                  <c:v>36400</c:v>
                </c:pt>
                <c:pt idx="1704">
                  <c:v>36407</c:v>
                </c:pt>
                <c:pt idx="1705">
                  <c:v>36414</c:v>
                </c:pt>
                <c:pt idx="1706">
                  <c:v>36421</c:v>
                </c:pt>
                <c:pt idx="1707">
                  <c:v>36428</c:v>
                </c:pt>
                <c:pt idx="1708">
                  <c:v>36435</c:v>
                </c:pt>
                <c:pt idx="1709">
                  <c:v>36442</c:v>
                </c:pt>
                <c:pt idx="1710">
                  <c:v>36449</c:v>
                </c:pt>
                <c:pt idx="1711">
                  <c:v>36456</c:v>
                </c:pt>
                <c:pt idx="1712">
                  <c:v>36463</c:v>
                </c:pt>
                <c:pt idx="1713">
                  <c:v>36470</c:v>
                </c:pt>
                <c:pt idx="1714">
                  <c:v>36477</c:v>
                </c:pt>
                <c:pt idx="1715">
                  <c:v>36484</c:v>
                </c:pt>
                <c:pt idx="1716">
                  <c:v>36491</c:v>
                </c:pt>
                <c:pt idx="1717">
                  <c:v>36498</c:v>
                </c:pt>
                <c:pt idx="1718">
                  <c:v>36505</c:v>
                </c:pt>
                <c:pt idx="1719">
                  <c:v>36512</c:v>
                </c:pt>
                <c:pt idx="1720">
                  <c:v>36519</c:v>
                </c:pt>
                <c:pt idx="1721">
                  <c:v>36526</c:v>
                </c:pt>
                <c:pt idx="1722">
                  <c:v>36533</c:v>
                </c:pt>
                <c:pt idx="1723">
                  <c:v>36540</c:v>
                </c:pt>
                <c:pt idx="1724">
                  <c:v>36547</c:v>
                </c:pt>
                <c:pt idx="1725">
                  <c:v>36554</c:v>
                </c:pt>
                <c:pt idx="1726">
                  <c:v>36561</c:v>
                </c:pt>
                <c:pt idx="1727">
                  <c:v>36568</c:v>
                </c:pt>
                <c:pt idx="1728">
                  <c:v>36575</c:v>
                </c:pt>
                <c:pt idx="1729">
                  <c:v>36582</c:v>
                </c:pt>
                <c:pt idx="1730">
                  <c:v>36589</c:v>
                </c:pt>
                <c:pt idx="1731">
                  <c:v>36596</c:v>
                </c:pt>
                <c:pt idx="1732">
                  <c:v>36603</c:v>
                </c:pt>
                <c:pt idx="1733">
                  <c:v>36610</c:v>
                </c:pt>
                <c:pt idx="1734">
                  <c:v>36617</c:v>
                </c:pt>
                <c:pt idx="1735">
                  <c:v>36624</c:v>
                </c:pt>
                <c:pt idx="1736">
                  <c:v>36631</c:v>
                </c:pt>
                <c:pt idx="1737">
                  <c:v>36638</c:v>
                </c:pt>
                <c:pt idx="1738">
                  <c:v>36645</c:v>
                </c:pt>
                <c:pt idx="1739">
                  <c:v>36652</c:v>
                </c:pt>
                <c:pt idx="1740">
                  <c:v>36659</c:v>
                </c:pt>
                <c:pt idx="1741">
                  <c:v>36666</c:v>
                </c:pt>
                <c:pt idx="1742">
                  <c:v>36673</c:v>
                </c:pt>
                <c:pt idx="1743">
                  <c:v>36680</c:v>
                </c:pt>
                <c:pt idx="1744">
                  <c:v>36687</c:v>
                </c:pt>
                <c:pt idx="1745">
                  <c:v>36694</c:v>
                </c:pt>
                <c:pt idx="1746">
                  <c:v>36701</c:v>
                </c:pt>
                <c:pt idx="1747">
                  <c:v>36708</c:v>
                </c:pt>
                <c:pt idx="1748">
                  <c:v>36715</c:v>
                </c:pt>
                <c:pt idx="1749">
                  <c:v>36722</c:v>
                </c:pt>
                <c:pt idx="1750">
                  <c:v>36729</c:v>
                </c:pt>
                <c:pt idx="1751">
                  <c:v>36736</c:v>
                </c:pt>
                <c:pt idx="1752">
                  <c:v>36743</c:v>
                </c:pt>
                <c:pt idx="1753">
                  <c:v>36750</c:v>
                </c:pt>
                <c:pt idx="1754">
                  <c:v>36757</c:v>
                </c:pt>
                <c:pt idx="1755">
                  <c:v>36764</c:v>
                </c:pt>
                <c:pt idx="1756">
                  <c:v>36771</c:v>
                </c:pt>
                <c:pt idx="1757">
                  <c:v>36778</c:v>
                </c:pt>
                <c:pt idx="1758">
                  <c:v>36785</c:v>
                </c:pt>
                <c:pt idx="1759">
                  <c:v>36792</c:v>
                </c:pt>
                <c:pt idx="1760">
                  <c:v>36799</c:v>
                </c:pt>
                <c:pt idx="1761">
                  <c:v>36806</c:v>
                </c:pt>
                <c:pt idx="1762">
                  <c:v>36813</c:v>
                </c:pt>
                <c:pt idx="1763">
                  <c:v>36820</c:v>
                </c:pt>
                <c:pt idx="1764">
                  <c:v>36827</c:v>
                </c:pt>
                <c:pt idx="1765">
                  <c:v>36834</c:v>
                </c:pt>
                <c:pt idx="1766">
                  <c:v>36841</c:v>
                </c:pt>
                <c:pt idx="1767">
                  <c:v>36848</c:v>
                </c:pt>
                <c:pt idx="1768">
                  <c:v>36855</c:v>
                </c:pt>
                <c:pt idx="1769">
                  <c:v>36862</c:v>
                </c:pt>
                <c:pt idx="1770">
                  <c:v>36869</c:v>
                </c:pt>
                <c:pt idx="1771">
                  <c:v>36876</c:v>
                </c:pt>
                <c:pt idx="1772">
                  <c:v>36883</c:v>
                </c:pt>
                <c:pt idx="1773">
                  <c:v>36890</c:v>
                </c:pt>
                <c:pt idx="1774">
                  <c:v>36897</c:v>
                </c:pt>
                <c:pt idx="1775">
                  <c:v>36904</c:v>
                </c:pt>
                <c:pt idx="1776">
                  <c:v>36911</c:v>
                </c:pt>
                <c:pt idx="1777">
                  <c:v>36918</c:v>
                </c:pt>
                <c:pt idx="1778">
                  <c:v>36925</c:v>
                </c:pt>
                <c:pt idx="1779">
                  <c:v>36932</c:v>
                </c:pt>
                <c:pt idx="1780">
                  <c:v>36939</c:v>
                </c:pt>
                <c:pt idx="1781">
                  <c:v>36946</c:v>
                </c:pt>
                <c:pt idx="1782">
                  <c:v>36953</c:v>
                </c:pt>
                <c:pt idx="1783">
                  <c:v>36960</c:v>
                </c:pt>
                <c:pt idx="1784">
                  <c:v>36967</c:v>
                </c:pt>
                <c:pt idx="1785">
                  <c:v>36974</c:v>
                </c:pt>
                <c:pt idx="1786">
                  <c:v>36981</c:v>
                </c:pt>
                <c:pt idx="1787">
                  <c:v>36988</c:v>
                </c:pt>
                <c:pt idx="1788">
                  <c:v>36995</c:v>
                </c:pt>
                <c:pt idx="1789">
                  <c:v>37002</c:v>
                </c:pt>
                <c:pt idx="1790">
                  <c:v>37009</c:v>
                </c:pt>
                <c:pt idx="1791">
                  <c:v>37016</c:v>
                </c:pt>
                <c:pt idx="1792">
                  <c:v>37023</c:v>
                </c:pt>
                <c:pt idx="1793">
                  <c:v>37030</c:v>
                </c:pt>
                <c:pt idx="1794">
                  <c:v>37037</c:v>
                </c:pt>
                <c:pt idx="1795">
                  <c:v>37044</c:v>
                </c:pt>
                <c:pt idx="1796">
                  <c:v>37051</c:v>
                </c:pt>
                <c:pt idx="1797">
                  <c:v>37058</c:v>
                </c:pt>
                <c:pt idx="1798">
                  <c:v>37065</c:v>
                </c:pt>
                <c:pt idx="1799">
                  <c:v>37072</c:v>
                </c:pt>
                <c:pt idx="1800">
                  <c:v>37079</c:v>
                </c:pt>
                <c:pt idx="1801">
                  <c:v>37086</c:v>
                </c:pt>
                <c:pt idx="1802">
                  <c:v>37093</c:v>
                </c:pt>
                <c:pt idx="1803">
                  <c:v>37100</c:v>
                </c:pt>
                <c:pt idx="1804">
                  <c:v>37107</c:v>
                </c:pt>
                <c:pt idx="1805">
                  <c:v>37114</c:v>
                </c:pt>
                <c:pt idx="1806">
                  <c:v>37121</c:v>
                </c:pt>
                <c:pt idx="1807">
                  <c:v>37128</c:v>
                </c:pt>
                <c:pt idx="1808">
                  <c:v>37135</c:v>
                </c:pt>
                <c:pt idx="1809">
                  <c:v>37142</c:v>
                </c:pt>
                <c:pt idx="1810">
                  <c:v>37149</c:v>
                </c:pt>
                <c:pt idx="1811">
                  <c:v>37156</c:v>
                </c:pt>
                <c:pt idx="1812">
                  <c:v>37163</c:v>
                </c:pt>
                <c:pt idx="1813">
                  <c:v>37170</c:v>
                </c:pt>
                <c:pt idx="1814">
                  <c:v>37177</c:v>
                </c:pt>
                <c:pt idx="1815">
                  <c:v>37184</c:v>
                </c:pt>
                <c:pt idx="1816">
                  <c:v>37191</c:v>
                </c:pt>
                <c:pt idx="1817">
                  <c:v>37198</c:v>
                </c:pt>
                <c:pt idx="1818">
                  <c:v>37205</c:v>
                </c:pt>
                <c:pt idx="1819">
                  <c:v>37212</c:v>
                </c:pt>
                <c:pt idx="1820">
                  <c:v>37219</c:v>
                </c:pt>
                <c:pt idx="1821">
                  <c:v>37226</c:v>
                </c:pt>
                <c:pt idx="1822">
                  <c:v>37233</c:v>
                </c:pt>
                <c:pt idx="1823">
                  <c:v>37240</c:v>
                </c:pt>
                <c:pt idx="1824">
                  <c:v>37247</c:v>
                </c:pt>
                <c:pt idx="1825">
                  <c:v>37254</c:v>
                </c:pt>
                <c:pt idx="1826">
                  <c:v>37261</c:v>
                </c:pt>
                <c:pt idx="1827">
                  <c:v>37268</c:v>
                </c:pt>
                <c:pt idx="1828">
                  <c:v>37275</c:v>
                </c:pt>
                <c:pt idx="1829">
                  <c:v>37282</c:v>
                </c:pt>
                <c:pt idx="1830">
                  <c:v>37289</c:v>
                </c:pt>
                <c:pt idx="1831">
                  <c:v>37296</c:v>
                </c:pt>
                <c:pt idx="1832">
                  <c:v>37303</c:v>
                </c:pt>
                <c:pt idx="1833">
                  <c:v>37310</c:v>
                </c:pt>
                <c:pt idx="1834">
                  <c:v>37317</c:v>
                </c:pt>
                <c:pt idx="1835">
                  <c:v>37324</c:v>
                </c:pt>
                <c:pt idx="1836">
                  <c:v>37331</c:v>
                </c:pt>
                <c:pt idx="1837">
                  <c:v>37338</c:v>
                </c:pt>
                <c:pt idx="1838">
                  <c:v>37345</c:v>
                </c:pt>
                <c:pt idx="1839">
                  <c:v>37352</c:v>
                </c:pt>
                <c:pt idx="1840">
                  <c:v>37359</c:v>
                </c:pt>
                <c:pt idx="1841">
                  <c:v>37366</c:v>
                </c:pt>
                <c:pt idx="1842">
                  <c:v>37373</c:v>
                </c:pt>
                <c:pt idx="1843">
                  <c:v>37380</c:v>
                </c:pt>
                <c:pt idx="1844">
                  <c:v>37387</c:v>
                </c:pt>
                <c:pt idx="1845">
                  <c:v>37394</c:v>
                </c:pt>
                <c:pt idx="1846">
                  <c:v>37401</c:v>
                </c:pt>
                <c:pt idx="1847">
                  <c:v>37408</c:v>
                </c:pt>
                <c:pt idx="1848">
                  <c:v>37415</c:v>
                </c:pt>
                <c:pt idx="1849">
                  <c:v>37422</c:v>
                </c:pt>
                <c:pt idx="1850">
                  <c:v>37429</c:v>
                </c:pt>
                <c:pt idx="1851">
                  <c:v>37436</c:v>
                </c:pt>
                <c:pt idx="1852">
                  <c:v>37443</c:v>
                </c:pt>
                <c:pt idx="1853">
                  <c:v>37450</c:v>
                </c:pt>
                <c:pt idx="1854">
                  <c:v>37457</c:v>
                </c:pt>
                <c:pt idx="1855">
                  <c:v>37464</c:v>
                </c:pt>
                <c:pt idx="1856">
                  <c:v>37471</c:v>
                </c:pt>
                <c:pt idx="1857">
                  <c:v>37478</c:v>
                </c:pt>
                <c:pt idx="1858">
                  <c:v>37485</c:v>
                </c:pt>
                <c:pt idx="1859">
                  <c:v>37492</c:v>
                </c:pt>
                <c:pt idx="1860">
                  <c:v>37499</c:v>
                </c:pt>
                <c:pt idx="1861">
                  <c:v>37506</c:v>
                </c:pt>
                <c:pt idx="1862">
                  <c:v>37513</c:v>
                </c:pt>
                <c:pt idx="1863">
                  <c:v>37520</c:v>
                </c:pt>
                <c:pt idx="1864">
                  <c:v>37527</c:v>
                </c:pt>
                <c:pt idx="1865">
                  <c:v>37534</c:v>
                </c:pt>
                <c:pt idx="1866">
                  <c:v>37541</c:v>
                </c:pt>
                <c:pt idx="1867">
                  <c:v>37548</c:v>
                </c:pt>
                <c:pt idx="1868">
                  <c:v>37555</c:v>
                </c:pt>
                <c:pt idx="1869">
                  <c:v>37562</c:v>
                </c:pt>
                <c:pt idx="1870">
                  <c:v>37569</c:v>
                </c:pt>
                <c:pt idx="1871">
                  <c:v>37576</c:v>
                </c:pt>
                <c:pt idx="1872">
                  <c:v>37583</c:v>
                </c:pt>
                <c:pt idx="1873">
                  <c:v>37590</c:v>
                </c:pt>
                <c:pt idx="1874">
                  <c:v>37597</c:v>
                </c:pt>
                <c:pt idx="1875">
                  <c:v>37604</c:v>
                </c:pt>
                <c:pt idx="1876">
                  <c:v>37611</c:v>
                </c:pt>
                <c:pt idx="1877">
                  <c:v>37618</c:v>
                </c:pt>
                <c:pt idx="1878">
                  <c:v>37625</c:v>
                </c:pt>
                <c:pt idx="1879">
                  <c:v>37632</c:v>
                </c:pt>
                <c:pt idx="1880">
                  <c:v>37639</c:v>
                </c:pt>
                <c:pt idx="1881">
                  <c:v>37646</c:v>
                </c:pt>
                <c:pt idx="1882">
                  <c:v>37653</c:v>
                </c:pt>
                <c:pt idx="1883">
                  <c:v>37660</c:v>
                </c:pt>
                <c:pt idx="1884">
                  <c:v>37667</c:v>
                </c:pt>
                <c:pt idx="1885">
                  <c:v>37674</c:v>
                </c:pt>
                <c:pt idx="1886">
                  <c:v>37681</c:v>
                </c:pt>
                <c:pt idx="1887">
                  <c:v>37688</c:v>
                </c:pt>
                <c:pt idx="1888">
                  <c:v>37695</c:v>
                </c:pt>
                <c:pt idx="1889">
                  <c:v>37702</c:v>
                </c:pt>
                <c:pt idx="1890">
                  <c:v>37709</c:v>
                </c:pt>
                <c:pt idx="1891">
                  <c:v>37716</c:v>
                </c:pt>
                <c:pt idx="1892">
                  <c:v>37723</c:v>
                </c:pt>
                <c:pt idx="1893">
                  <c:v>37730</c:v>
                </c:pt>
                <c:pt idx="1894">
                  <c:v>37737</c:v>
                </c:pt>
                <c:pt idx="1895">
                  <c:v>37744</c:v>
                </c:pt>
                <c:pt idx="1896">
                  <c:v>37751</c:v>
                </c:pt>
                <c:pt idx="1897">
                  <c:v>37758</c:v>
                </c:pt>
                <c:pt idx="1898">
                  <c:v>37765</c:v>
                </c:pt>
                <c:pt idx="1899">
                  <c:v>37772</c:v>
                </c:pt>
                <c:pt idx="1900">
                  <c:v>37779</c:v>
                </c:pt>
                <c:pt idx="1901">
                  <c:v>37786</c:v>
                </c:pt>
                <c:pt idx="1902">
                  <c:v>37793</c:v>
                </c:pt>
                <c:pt idx="1903">
                  <c:v>37800</c:v>
                </c:pt>
                <c:pt idx="1904">
                  <c:v>37807</c:v>
                </c:pt>
                <c:pt idx="1905">
                  <c:v>37814</c:v>
                </c:pt>
                <c:pt idx="1906">
                  <c:v>37821</c:v>
                </c:pt>
                <c:pt idx="1907">
                  <c:v>37828</c:v>
                </c:pt>
                <c:pt idx="1908">
                  <c:v>37835</c:v>
                </c:pt>
                <c:pt idx="1909">
                  <c:v>37842</c:v>
                </c:pt>
                <c:pt idx="1910">
                  <c:v>37849</c:v>
                </c:pt>
                <c:pt idx="1911">
                  <c:v>37856</c:v>
                </c:pt>
                <c:pt idx="1912">
                  <c:v>37863</c:v>
                </c:pt>
                <c:pt idx="1913">
                  <c:v>37870</c:v>
                </c:pt>
                <c:pt idx="1914">
                  <c:v>37877</c:v>
                </c:pt>
                <c:pt idx="1915">
                  <c:v>37884</c:v>
                </c:pt>
                <c:pt idx="1916">
                  <c:v>37891</c:v>
                </c:pt>
                <c:pt idx="1917">
                  <c:v>37898</c:v>
                </c:pt>
                <c:pt idx="1918">
                  <c:v>37905</c:v>
                </c:pt>
                <c:pt idx="1919">
                  <c:v>37912</c:v>
                </c:pt>
                <c:pt idx="1920">
                  <c:v>37919</c:v>
                </c:pt>
                <c:pt idx="1921">
                  <c:v>37926</c:v>
                </c:pt>
                <c:pt idx="1922">
                  <c:v>37933</c:v>
                </c:pt>
                <c:pt idx="1923">
                  <c:v>37940</c:v>
                </c:pt>
                <c:pt idx="1924">
                  <c:v>37947</c:v>
                </c:pt>
                <c:pt idx="1925">
                  <c:v>37954</c:v>
                </c:pt>
                <c:pt idx="1926">
                  <c:v>37961</c:v>
                </c:pt>
                <c:pt idx="1927">
                  <c:v>37968</c:v>
                </c:pt>
                <c:pt idx="1928">
                  <c:v>37975</c:v>
                </c:pt>
                <c:pt idx="1929">
                  <c:v>37982</c:v>
                </c:pt>
                <c:pt idx="1930">
                  <c:v>37989</c:v>
                </c:pt>
                <c:pt idx="1931">
                  <c:v>37996</c:v>
                </c:pt>
                <c:pt idx="1932">
                  <c:v>38003</c:v>
                </c:pt>
                <c:pt idx="1933">
                  <c:v>38010</c:v>
                </c:pt>
                <c:pt idx="1934">
                  <c:v>38017</c:v>
                </c:pt>
                <c:pt idx="1935">
                  <c:v>38024</c:v>
                </c:pt>
                <c:pt idx="1936">
                  <c:v>38031</c:v>
                </c:pt>
                <c:pt idx="1937">
                  <c:v>38038</c:v>
                </c:pt>
                <c:pt idx="1938">
                  <c:v>38045</c:v>
                </c:pt>
                <c:pt idx="1939">
                  <c:v>38052</c:v>
                </c:pt>
                <c:pt idx="1940">
                  <c:v>38059</c:v>
                </c:pt>
                <c:pt idx="1941">
                  <c:v>38066</c:v>
                </c:pt>
                <c:pt idx="1942">
                  <c:v>38073</c:v>
                </c:pt>
                <c:pt idx="1943">
                  <c:v>38080</c:v>
                </c:pt>
                <c:pt idx="1944">
                  <c:v>38087</c:v>
                </c:pt>
                <c:pt idx="1945">
                  <c:v>38094</c:v>
                </c:pt>
                <c:pt idx="1946">
                  <c:v>38101</c:v>
                </c:pt>
                <c:pt idx="1947">
                  <c:v>38108</c:v>
                </c:pt>
                <c:pt idx="1948">
                  <c:v>38115</c:v>
                </c:pt>
                <c:pt idx="1949">
                  <c:v>38122</c:v>
                </c:pt>
                <c:pt idx="1950">
                  <c:v>38129</c:v>
                </c:pt>
                <c:pt idx="1951">
                  <c:v>38136</c:v>
                </c:pt>
                <c:pt idx="1952">
                  <c:v>38143</c:v>
                </c:pt>
                <c:pt idx="1953">
                  <c:v>38150</c:v>
                </c:pt>
                <c:pt idx="1954">
                  <c:v>38157</c:v>
                </c:pt>
                <c:pt idx="1955">
                  <c:v>38164</c:v>
                </c:pt>
                <c:pt idx="1956">
                  <c:v>38171</c:v>
                </c:pt>
                <c:pt idx="1957">
                  <c:v>38178</c:v>
                </c:pt>
                <c:pt idx="1958">
                  <c:v>38185</c:v>
                </c:pt>
                <c:pt idx="1959">
                  <c:v>38192</c:v>
                </c:pt>
                <c:pt idx="1960">
                  <c:v>38199</c:v>
                </c:pt>
                <c:pt idx="1961">
                  <c:v>38206</c:v>
                </c:pt>
                <c:pt idx="1962">
                  <c:v>38213</c:v>
                </c:pt>
                <c:pt idx="1963">
                  <c:v>38220</c:v>
                </c:pt>
                <c:pt idx="1964">
                  <c:v>38227</c:v>
                </c:pt>
                <c:pt idx="1965">
                  <c:v>38234</c:v>
                </c:pt>
                <c:pt idx="1966">
                  <c:v>38241</c:v>
                </c:pt>
                <c:pt idx="1967">
                  <c:v>38248</c:v>
                </c:pt>
                <c:pt idx="1968">
                  <c:v>38255</c:v>
                </c:pt>
                <c:pt idx="1969">
                  <c:v>38262</c:v>
                </c:pt>
                <c:pt idx="1970">
                  <c:v>38269</c:v>
                </c:pt>
                <c:pt idx="1971">
                  <c:v>38276</c:v>
                </c:pt>
                <c:pt idx="1972">
                  <c:v>38283</c:v>
                </c:pt>
                <c:pt idx="1973">
                  <c:v>38290</c:v>
                </c:pt>
                <c:pt idx="1974">
                  <c:v>38297</c:v>
                </c:pt>
                <c:pt idx="1975">
                  <c:v>38304</c:v>
                </c:pt>
                <c:pt idx="1976">
                  <c:v>38311</c:v>
                </c:pt>
                <c:pt idx="1977">
                  <c:v>38318</c:v>
                </c:pt>
                <c:pt idx="1978">
                  <c:v>38325</c:v>
                </c:pt>
                <c:pt idx="1979">
                  <c:v>38332</c:v>
                </c:pt>
                <c:pt idx="1980">
                  <c:v>38339</c:v>
                </c:pt>
                <c:pt idx="1981">
                  <c:v>38346</c:v>
                </c:pt>
                <c:pt idx="1982">
                  <c:v>38353</c:v>
                </c:pt>
                <c:pt idx="1983">
                  <c:v>38360</c:v>
                </c:pt>
                <c:pt idx="1984">
                  <c:v>38367</c:v>
                </c:pt>
                <c:pt idx="1985">
                  <c:v>38374</c:v>
                </c:pt>
                <c:pt idx="1986">
                  <c:v>38381</c:v>
                </c:pt>
                <c:pt idx="1987">
                  <c:v>38388</c:v>
                </c:pt>
                <c:pt idx="1988">
                  <c:v>38395</c:v>
                </c:pt>
                <c:pt idx="1989">
                  <c:v>38402</c:v>
                </c:pt>
                <c:pt idx="1990">
                  <c:v>38409</c:v>
                </c:pt>
                <c:pt idx="1991">
                  <c:v>38416</c:v>
                </c:pt>
                <c:pt idx="1992">
                  <c:v>38423</c:v>
                </c:pt>
                <c:pt idx="1993">
                  <c:v>38430</c:v>
                </c:pt>
                <c:pt idx="1994">
                  <c:v>38437</c:v>
                </c:pt>
                <c:pt idx="1995">
                  <c:v>38444</c:v>
                </c:pt>
                <c:pt idx="1996">
                  <c:v>38451</c:v>
                </c:pt>
                <c:pt idx="1997">
                  <c:v>38458</c:v>
                </c:pt>
                <c:pt idx="1998">
                  <c:v>38465</c:v>
                </c:pt>
                <c:pt idx="1999">
                  <c:v>38472</c:v>
                </c:pt>
                <c:pt idx="2000">
                  <c:v>38479</c:v>
                </c:pt>
                <c:pt idx="2001">
                  <c:v>38486</c:v>
                </c:pt>
                <c:pt idx="2002">
                  <c:v>38493</c:v>
                </c:pt>
                <c:pt idx="2003">
                  <c:v>38500</c:v>
                </c:pt>
                <c:pt idx="2004">
                  <c:v>38507</c:v>
                </c:pt>
                <c:pt idx="2005">
                  <c:v>38514</c:v>
                </c:pt>
                <c:pt idx="2006">
                  <c:v>38521</c:v>
                </c:pt>
                <c:pt idx="2007">
                  <c:v>38528</c:v>
                </c:pt>
                <c:pt idx="2008">
                  <c:v>38535</c:v>
                </c:pt>
                <c:pt idx="2009">
                  <c:v>38542</c:v>
                </c:pt>
                <c:pt idx="2010">
                  <c:v>38549</c:v>
                </c:pt>
                <c:pt idx="2011">
                  <c:v>38556</c:v>
                </c:pt>
                <c:pt idx="2012">
                  <c:v>38563</c:v>
                </c:pt>
                <c:pt idx="2013">
                  <c:v>38570</c:v>
                </c:pt>
                <c:pt idx="2014">
                  <c:v>38577</c:v>
                </c:pt>
                <c:pt idx="2015">
                  <c:v>38584</c:v>
                </c:pt>
                <c:pt idx="2016">
                  <c:v>38591</c:v>
                </c:pt>
                <c:pt idx="2017">
                  <c:v>38598</c:v>
                </c:pt>
                <c:pt idx="2018">
                  <c:v>38605</c:v>
                </c:pt>
                <c:pt idx="2019">
                  <c:v>38612</c:v>
                </c:pt>
                <c:pt idx="2020">
                  <c:v>38619</c:v>
                </c:pt>
                <c:pt idx="2021">
                  <c:v>38626</c:v>
                </c:pt>
                <c:pt idx="2022">
                  <c:v>38633</c:v>
                </c:pt>
                <c:pt idx="2023">
                  <c:v>38640</c:v>
                </c:pt>
                <c:pt idx="2024">
                  <c:v>38647</c:v>
                </c:pt>
                <c:pt idx="2025">
                  <c:v>38654</c:v>
                </c:pt>
                <c:pt idx="2026">
                  <c:v>38661</c:v>
                </c:pt>
                <c:pt idx="2027">
                  <c:v>38668</c:v>
                </c:pt>
                <c:pt idx="2028">
                  <c:v>38675</c:v>
                </c:pt>
                <c:pt idx="2029">
                  <c:v>38682</c:v>
                </c:pt>
                <c:pt idx="2030">
                  <c:v>38689</c:v>
                </c:pt>
                <c:pt idx="2031">
                  <c:v>38696</c:v>
                </c:pt>
                <c:pt idx="2032">
                  <c:v>38703</c:v>
                </c:pt>
                <c:pt idx="2033">
                  <c:v>38710</c:v>
                </c:pt>
                <c:pt idx="2034">
                  <c:v>38717</c:v>
                </c:pt>
                <c:pt idx="2035">
                  <c:v>38724</c:v>
                </c:pt>
                <c:pt idx="2036">
                  <c:v>38731</c:v>
                </c:pt>
                <c:pt idx="2037">
                  <c:v>38738</c:v>
                </c:pt>
                <c:pt idx="2038">
                  <c:v>38745</c:v>
                </c:pt>
                <c:pt idx="2039">
                  <c:v>38752</c:v>
                </c:pt>
                <c:pt idx="2040">
                  <c:v>38759</c:v>
                </c:pt>
                <c:pt idx="2041">
                  <c:v>38766</c:v>
                </c:pt>
                <c:pt idx="2042">
                  <c:v>38773</c:v>
                </c:pt>
                <c:pt idx="2043">
                  <c:v>38780</c:v>
                </c:pt>
                <c:pt idx="2044">
                  <c:v>38787</c:v>
                </c:pt>
                <c:pt idx="2045">
                  <c:v>38794</c:v>
                </c:pt>
                <c:pt idx="2046">
                  <c:v>38801</c:v>
                </c:pt>
                <c:pt idx="2047">
                  <c:v>38808</c:v>
                </c:pt>
                <c:pt idx="2048">
                  <c:v>38815</c:v>
                </c:pt>
                <c:pt idx="2049">
                  <c:v>38822</c:v>
                </c:pt>
                <c:pt idx="2050">
                  <c:v>38829</c:v>
                </c:pt>
                <c:pt idx="2051">
                  <c:v>38836</c:v>
                </c:pt>
                <c:pt idx="2052">
                  <c:v>38843</c:v>
                </c:pt>
                <c:pt idx="2053">
                  <c:v>38850</c:v>
                </c:pt>
                <c:pt idx="2054">
                  <c:v>38857</c:v>
                </c:pt>
                <c:pt idx="2055">
                  <c:v>38864</c:v>
                </c:pt>
                <c:pt idx="2056">
                  <c:v>38871</c:v>
                </c:pt>
                <c:pt idx="2057">
                  <c:v>38878</c:v>
                </c:pt>
                <c:pt idx="2058">
                  <c:v>38885</c:v>
                </c:pt>
                <c:pt idx="2059">
                  <c:v>38892</c:v>
                </c:pt>
                <c:pt idx="2060">
                  <c:v>38899</c:v>
                </c:pt>
                <c:pt idx="2061">
                  <c:v>38906</c:v>
                </c:pt>
                <c:pt idx="2062">
                  <c:v>38913</c:v>
                </c:pt>
                <c:pt idx="2063">
                  <c:v>38920</c:v>
                </c:pt>
                <c:pt idx="2064">
                  <c:v>38927</c:v>
                </c:pt>
                <c:pt idx="2065">
                  <c:v>38934</c:v>
                </c:pt>
                <c:pt idx="2066">
                  <c:v>38941</c:v>
                </c:pt>
                <c:pt idx="2067">
                  <c:v>38948</c:v>
                </c:pt>
                <c:pt idx="2068">
                  <c:v>38955</c:v>
                </c:pt>
                <c:pt idx="2069">
                  <c:v>38962</c:v>
                </c:pt>
                <c:pt idx="2070">
                  <c:v>38969</c:v>
                </c:pt>
                <c:pt idx="2071">
                  <c:v>38976</c:v>
                </c:pt>
                <c:pt idx="2072">
                  <c:v>38983</c:v>
                </c:pt>
                <c:pt idx="2073">
                  <c:v>38990</c:v>
                </c:pt>
                <c:pt idx="2074">
                  <c:v>38997</c:v>
                </c:pt>
                <c:pt idx="2075">
                  <c:v>39004</c:v>
                </c:pt>
                <c:pt idx="2076">
                  <c:v>39011</c:v>
                </c:pt>
                <c:pt idx="2077">
                  <c:v>39018</c:v>
                </c:pt>
                <c:pt idx="2078">
                  <c:v>39025</c:v>
                </c:pt>
                <c:pt idx="2079">
                  <c:v>39032</c:v>
                </c:pt>
                <c:pt idx="2080">
                  <c:v>39039</c:v>
                </c:pt>
                <c:pt idx="2081">
                  <c:v>39046</c:v>
                </c:pt>
                <c:pt idx="2082">
                  <c:v>39053</c:v>
                </c:pt>
                <c:pt idx="2083">
                  <c:v>39060</c:v>
                </c:pt>
                <c:pt idx="2084">
                  <c:v>39067</c:v>
                </c:pt>
                <c:pt idx="2085">
                  <c:v>39074</c:v>
                </c:pt>
                <c:pt idx="2086">
                  <c:v>39081</c:v>
                </c:pt>
                <c:pt idx="2087">
                  <c:v>39088</c:v>
                </c:pt>
                <c:pt idx="2088">
                  <c:v>39095</c:v>
                </c:pt>
                <c:pt idx="2089">
                  <c:v>39102</c:v>
                </c:pt>
                <c:pt idx="2090">
                  <c:v>39109</c:v>
                </c:pt>
                <c:pt idx="2091">
                  <c:v>39116</c:v>
                </c:pt>
                <c:pt idx="2092">
                  <c:v>39123</c:v>
                </c:pt>
                <c:pt idx="2093">
                  <c:v>39130</c:v>
                </c:pt>
                <c:pt idx="2094">
                  <c:v>39137</c:v>
                </c:pt>
                <c:pt idx="2095">
                  <c:v>39144</c:v>
                </c:pt>
                <c:pt idx="2096">
                  <c:v>39151</c:v>
                </c:pt>
                <c:pt idx="2097">
                  <c:v>39158</c:v>
                </c:pt>
                <c:pt idx="2098">
                  <c:v>39165</c:v>
                </c:pt>
                <c:pt idx="2099">
                  <c:v>39172</c:v>
                </c:pt>
                <c:pt idx="2100">
                  <c:v>39179</c:v>
                </c:pt>
                <c:pt idx="2101">
                  <c:v>39186</c:v>
                </c:pt>
                <c:pt idx="2102">
                  <c:v>39193</c:v>
                </c:pt>
                <c:pt idx="2103">
                  <c:v>39200</c:v>
                </c:pt>
                <c:pt idx="2104">
                  <c:v>39207</c:v>
                </c:pt>
                <c:pt idx="2105">
                  <c:v>39214</c:v>
                </c:pt>
                <c:pt idx="2106">
                  <c:v>39221</c:v>
                </c:pt>
                <c:pt idx="2107">
                  <c:v>39228</c:v>
                </c:pt>
                <c:pt idx="2108">
                  <c:v>39235</c:v>
                </c:pt>
                <c:pt idx="2109">
                  <c:v>39242</c:v>
                </c:pt>
                <c:pt idx="2110">
                  <c:v>39249</c:v>
                </c:pt>
                <c:pt idx="2111">
                  <c:v>39256</c:v>
                </c:pt>
                <c:pt idx="2112">
                  <c:v>39263</c:v>
                </c:pt>
                <c:pt idx="2113">
                  <c:v>39270</c:v>
                </c:pt>
                <c:pt idx="2114">
                  <c:v>39277</c:v>
                </c:pt>
                <c:pt idx="2115">
                  <c:v>39284</c:v>
                </c:pt>
                <c:pt idx="2116">
                  <c:v>39291</c:v>
                </c:pt>
                <c:pt idx="2117">
                  <c:v>39298</c:v>
                </c:pt>
                <c:pt idx="2118">
                  <c:v>39305</c:v>
                </c:pt>
                <c:pt idx="2119">
                  <c:v>39312</c:v>
                </c:pt>
                <c:pt idx="2120">
                  <c:v>39319</c:v>
                </c:pt>
                <c:pt idx="2121">
                  <c:v>39326</c:v>
                </c:pt>
                <c:pt idx="2122">
                  <c:v>39333</c:v>
                </c:pt>
                <c:pt idx="2123">
                  <c:v>39340</c:v>
                </c:pt>
                <c:pt idx="2124">
                  <c:v>39347</c:v>
                </c:pt>
                <c:pt idx="2125">
                  <c:v>39354</c:v>
                </c:pt>
                <c:pt idx="2126">
                  <c:v>39361</c:v>
                </c:pt>
                <c:pt idx="2127">
                  <c:v>39368</c:v>
                </c:pt>
                <c:pt idx="2128">
                  <c:v>39375</c:v>
                </c:pt>
                <c:pt idx="2129">
                  <c:v>39382</c:v>
                </c:pt>
                <c:pt idx="2130">
                  <c:v>39389</c:v>
                </c:pt>
                <c:pt idx="2131">
                  <c:v>39396</c:v>
                </c:pt>
                <c:pt idx="2132">
                  <c:v>39403</c:v>
                </c:pt>
                <c:pt idx="2133">
                  <c:v>39410</c:v>
                </c:pt>
                <c:pt idx="2134">
                  <c:v>39417</c:v>
                </c:pt>
                <c:pt idx="2135">
                  <c:v>39424</c:v>
                </c:pt>
                <c:pt idx="2136">
                  <c:v>39431</c:v>
                </c:pt>
                <c:pt idx="2137">
                  <c:v>39438</c:v>
                </c:pt>
                <c:pt idx="2138">
                  <c:v>39445</c:v>
                </c:pt>
                <c:pt idx="2139">
                  <c:v>39452</c:v>
                </c:pt>
                <c:pt idx="2140">
                  <c:v>39459</c:v>
                </c:pt>
                <c:pt idx="2141">
                  <c:v>39466</c:v>
                </c:pt>
                <c:pt idx="2142">
                  <c:v>39473</c:v>
                </c:pt>
                <c:pt idx="2143">
                  <c:v>39480</c:v>
                </c:pt>
                <c:pt idx="2144">
                  <c:v>39487</c:v>
                </c:pt>
                <c:pt idx="2145">
                  <c:v>39494</c:v>
                </c:pt>
                <c:pt idx="2146">
                  <c:v>39501</c:v>
                </c:pt>
                <c:pt idx="2147">
                  <c:v>39508</c:v>
                </c:pt>
                <c:pt idx="2148">
                  <c:v>39515</c:v>
                </c:pt>
                <c:pt idx="2149">
                  <c:v>39522</c:v>
                </c:pt>
                <c:pt idx="2150">
                  <c:v>39529</c:v>
                </c:pt>
                <c:pt idx="2151">
                  <c:v>39536</c:v>
                </c:pt>
                <c:pt idx="2152">
                  <c:v>39543</c:v>
                </c:pt>
                <c:pt idx="2153">
                  <c:v>39550</c:v>
                </c:pt>
                <c:pt idx="2154">
                  <c:v>39557</c:v>
                </c:pt>
                <c:pt idx="2155">
                  <c:v>39564</c:v>
                </c:pt>
                <c:pt idx="2156">
                  <c:v>39571</c:v>
                </c:pt>
                <c:pt idx="2157">
                  <c:v>39578</c:v>
                </c:pt>
                <c:pt idx="2158">
                  <c:v>39585</c:v>
                </c:pt>
                <c:pt idx="2159">
                  <c:v>39592</c:v>
                </c:pt>
                <c:pt idx="2160">
                  <c:v>39599</c:v>
                </c:pt>
                <c:pt idx="2161">
                  <c:v>39606</c:v>
                </c:pt>
                <c:pt idx="2162">
                  <c:v>39613</c:v>
                </c:pt>
                <c:pt idx="2163">
                  <c:v>39620</c:v>
                </c:pt>
                <c:pt idx="2164">
                  <c:v>39627</c:v>
                </c:pt>
                <c:pt idx="2165">
                  <c:v>39634</c:v>
                </c:pt>
                <c:pt idx="2166">
                  <c:v>39641</c:v>
                </c:pt>
                <c:pt idx="2167">
                  <c:v>39648</c:v>
                </c:pt>
                <c:pt idx="2168">
                  <c:v>39655</c:v>
                </c:pt>
                <c:pt idx="2169">
                  <c:v>39662</c:v>
                </c:pt>
                <c:pt idx="2170">
                  <c:v>39669</c:v>
                </c:pt>
                <c:pt idx="2171">
                  <c:v>39676</c:v>
                </c:pt>
                <c:pt idx="2172">
                  <c:v>39683</c:v>
                </c:pt>
                <c:pt idx="2173">
                  <c:v>39690</c:v>
                </c:pt>
                <c:pt idx="2174">
                  <c:v>39697</c:v>
                </c:pt>
                <c:pt idx="2175">
                  <c:v>39704</c:v>
                </c:pt>
                <c:pt idx="2176">
                  <c:v>39711</c:v>
                </c:pt>
                <c:pt idx="2177">
                  <c:v>39718</c:v>
                </c:pt>
                <c:pt idx="2178">
                  <c:v>39725</c:v>
                </c:pt>
                <c:pt idx="2179">
                  <c:v>39732</c:v>
                </c:pt>
                <c:pt idx="2180">
                  <c:v>39739</c:v>
                </c:pt>
                <c:pt idx="2181">
                  <c:v>39746</c:v>
                </c:pt>
                <c:pt idx="2182">
                  <c:v>39753</c:v>
                </c:pt>
                <c:pt idx="2183">
                  <c:v>39760</c:v>
                </c:pt>
                <c:pt idx="2184">
                  <c:v>39767</c:v>
                </c:pt>
                <c:pt idx="2185">
                  <c:v>39774</c:v>
                </c:pt>
                <c:pt idx="2186">
                  <c:v>39781</c:v>
                </c:pt>
                <c:pt idx="2187">
                  <c:v>39788</c:v>
                </c:pt>
                <c:pt idx="2188">
                  <c:v>39795</c:v>
                </c:pt>
                <c:pt idx="2189">
                  <c:v>39802</c:v>
                </c:pt>
                <c:pt idx="2190">
                  <c:v>39809</c:v>
                </c:pt>
                <c:pt idx="2191">
                  <c:v>39816</c:v>
                </c:pt>
                <c:pt idx="2192">
                  <c:v>39823</c:v>
                </c:pt>
                <c:pt idx="2193">
                  <c:v>39830</c:v>
                </c:pt>
                <c:pt idx="2194">
                  <c:v>39837</c:v>
                </c:pt>
                <c:pt idx="2195">
                  <c:v>39844</c:v>
                </c:pt>
                <c:pt idx="2196">
                  <c:v>39851</c:v>
                </c:pt>
                <c:pt idx="2197">
                  <c:v>39858</c:v>
                </c:pt>
                <c:pt idx="2198">
                  <c:v>39865</c:v>
                </c:pt>
                <c:pt idx="2199">
                  <c:v>39872</c:v>
                </c:pt>
                <c:pt idx="2200">
                  <c:v>39879</c:v>
                </c:pt>
                <c:pt idx="2201">
                  <c:v>39886</c:v>
                </c:pt>
                <c:pt idx="2202">
                  <c:v>39893</c:v>
                </c:pt>
                <c:pt idx="2203">
                  <c:v>39900</c:v>
                </c:pt>
                <c:pt idx="2204">
                  <c:v>39907</c:v>
                </c:pt>
                <c:pt idx="2205">
                  <c:v>39914</c:v>
                </c:pt>
                <c:pt idx="2206">
                  <c:v>39921</c:v>
                </c:pt>
                <c:pt idx="2207">
                  <c:v>39928</c:v>
                </c:pt>
                <c:pt idx="2208">
                  <c:v>39935</c:v>
                </c:pt>
                <c:pt idx="2209">
                  <c:v>39942</c:v>
                </c:pt>
                <c:pt idx="2210">
                  <c:v>39949</c:v>
                </c:pt>
                <c:pt idx="2211">
                  <c:v>39956</c:v>
                </c:pt>
                <c:pt idx="2212">
                  <c:v>39963</c:v>
                </c:pt>
                <c:pt idx="2213">
                  <c:v>39970</c:v>
                </c:pt>
                <c:pt idx="2214">
                  <c:v>39977</c:v>
                </c:pt>
                <c:pt idx="2215">
                  <c:v>39984</c:v>
                </c:pt>
                <c:pt idx="2216">
                  <c:v>39991</c:v>
                </c:pt>
                <c:pt idx="2217">
                  <c:v>39998</c:v>
                </c:pt>
                <c:pt idx="2218">
                  <c:v>40005</c:v>
                </c:pt>
                <c:pt idx="2219">
                  <c:v>40012</c:v>
                </c:pt>
                <c:pt idx="2220">
                  <c:v>40019</c:v>
                </c:pt>
                <c:pt idx="2221">
                  <c:v>40026</c:v>
                </c:pt>
                <c:pt idx="2222">
                  <c:v>40033</c:v>
                </c:pt>
                <c:pt idx="2223">
                  <c:v>40040</c:v>
                </c:pt>
                <c:pt idx="2224">
                  <c:v>40047</c:v>
                </c:pt>
                <c:pt idx="2225">
                  <c:v>40054</c:v>
                </c:pt>
                <c:pt idx="2226">
                  <c:v>40061</c:v>
                </c:pt>
                <c:pt idx="2227">
                  <c:v>40068</c:v>
                </c:pt>
                <c:pt idx="2228">
                  <c:v>40075</c:v>
                </c:pt>
                <c:pt idx="2229">
                  <c:v>40082</c:v>
                </c:pt>
                <c:pt idx="2230">
                  <c:v>40089</c:v>
                </c:pt>
                <c:pt idx="2231">
                  <c:v>40096</c:v>
                </c:pt>
                <c:pt idx="2232">
                  <c:v>40103</c:v>
                </c:pt>
                <c:pt idx="2233">
                  <c:v>40110</c:v>
                </c:pt>
                <c:pt idx="2234">
                  <c:v>40117</c:v>
                </c:pt>
                <c:pt idx="2235">
                  <c:v>40124</c:v>
                </c:pt>
                <c:pt idx="2236">
                  <c:v>40131</c:v>
                </c:pt>
                <c:pt idx="2237">
                  <c:v>40138</c:v>
                </c:pt>
                <c:pt idx="2238">
                  <c:v>40145</c:v>
                </c:pt>
                <c:pt idx="2239">
                  <c:v>40152</c:v>
                </c:pt>
                <c:pt idx="2240">
                  <c:v>40159</c:v>
                </c:pt>
                <c:pt idx="2241">
                  <c:v>40166</c:v>
                </c:pt>
                <c:pt idx="2242">
                  <c:v>40173</c:v>
                </c:pt>
                <c:pt idx="2243">
                  <c:v>40180</c:v>
                </c:pt>
                <c:pt idx="2244">
                  <c:v>40187</c:v>
                </c:pt>
                <c:pt idx="2245">
                  <c:v>40194</c:v>
                </c:pt>
                <c:pt idx="2246">
                  <c:v>40201</c:v>
                </c:pt>
                <c:pt idx="2247">
                  <c:v>40208</c:v>
                </c:pt>
                <c:pt idx="2248">
                  <c:v>40215</c:v>
                </c:pt>
                <c:pt idx="2249">
                  <c:v>40222</c:v>
                </c:pt>
                <c:pt idx="2250">
                  <c:v>40229</c:v>
                </c:pt>
                <c:pt idx="2251">
                  <c:v>40236</c:v>
                </c:pt>
                <c:pt idx="2252">
                  <c:v>40243</c:v>
                </c:pt>
                <c:pt idx="2253">
                  <c:v>40250</c:v>
                </c:pt>
                <c:pt idx="2254">
                  <c:v>40257</c:v>
                </c:pt>
                <c:pt idx="2255">
                  <c:v>40264</c:v>
                </c:pt>
                <c:pt idx="2256">
                  <c:v>40271</c:v>
                </c:pt>
                <c:pt idx="2257">
                  <c:v>40278</c:v>
                </c:pt>
                <c:pt idx="2258">
                  <c:v>40285</c:v>
                </c:pt>
                <c:pt idx="2259">
                  <c:v>40292</c:v>
                </c:pt>
                <c:pt idx="2260">
                  <c:v>40299</c:v>
                </c:pt>
                <c:pt idx="2261">
                  <c:v>40306</c:v>
                </c:pt>
                <c:pt idx="2262">
                  <c:v>40313</c:v>
                </c:pt>
                <c:pt idx="2263">
                  <c:v>40320</c:v>
                </c:pt>
                <c:pt idx="2264">
                  <c:v>40327</c:v>
                </c:pt>
                <c:pt idx="2265">
                  <c:v>40334</c:v>
                </c:pt>
                <c:pt idx="2266">
                  <c:v>40341</c:v>
                </c:pt>
                <c:pt idx="2267">
                  <c:v>40348</c:v>
                </c:pt>
                <c:pt idx="2268">
                  <c:v>40355</c:v>
                </c:pt>
                <c:pt idx="2269">
                  <c:v>40362</c:v>
                </c:pt>
                <c:pt idx="2270">
                  <c:v>40369</c:v>
                </c:pt>
                <c:pt idx="2271">
                  <c:v>40376</c:v>
                </c:pt>
                <c:pt idx="2272">
                  <c:v>40383</c:v>
                </c:pt>
                <c:pt idx="2273">
                  <c:v>40390</c:v>
                </c:pt>
                <c:pt idx="2274">
                  <c:v>40397</c:v>
                </c:pt>
                <c:pt idx="2275">
                  <c:v>40404</c:v>
                </c:pt>
                <c:pt idx="2276">
                  <c:v>40411</c:v>
                </c:pt>
                <c:pt idx="2277">
                  <c:v>40418</c:v>
                </c:pt>
                <c:pt idx="2278">
                  <c:v>40425</c:v>
                </c:pt>
                <c:pt idx="2279">
                  <c:v>40432</c:v>
                </c:pt>
                <c:pt idx="2280">
                  <c:v>40439</c:v>
                </c:pt>
                <c:pt idx="2281">
                  <c:v>40446</c:v>
                </c:pt>
                <c:pt idx="2282">
                  <c:v>40453</c:v>
                </c:pt>
                <c:pt idx="2283">
                  <c:v>40460</c:v>
                </c:pt>
                <c:pt idx="2284">
                  <c:v>40467</c:v>
                </c:pt>
                <c:pt idx="2285">
                  <c:v>40474</c:v>
                </c:pt>
                <c:pt idx="2286">
                  <c:v>40481</c:v>
                </c:pt>
                <c:pt idx="2287">
                  <c:v>40488</c:v>
                </c:pt>
                <c:pt idx="2288">
                  <c:v>40495</c:v>
                </c:pt>
                <c:pt idx="2289">
                  <c:v>40502</c:v>
                </c:pt>
                <c:pt idx="2290">
                  <c:v>40509</c:v>
                </c:pt>
                <c:pt idx="2291">
                  <c:v>40516</c:v>
                </c:pt>
                <c:pt idx="2292">
                  <c:v>40523</c:v>
                </c:pt>
                <c:pt idx="2293">
                  <c:v>40530</c:v>
                </c:pt>
                <c:pt idx="2294">
                  <c:v>40537</c:v>
                </c:pt>
                <c:pt idx="2295">
                  <c:v>40544</c:v>
                </c:pt>
                <c:pt idx="2296">
                  <c:v>40551</c:v>
                </c:pt>
                <c:pt idx="2297">
                  <c:v>40558</c:v>
                </c:pt>
                <c:pt idx="2298">
                  <c:v>40565</c:v>
                </c:pt>
                <c:pt idx="2299">
                  <c:v>40572</c:v>
                </c:pt>
                <c:pt idx="2300">
                  <c:v>40579</c:v>
                </c:pt>
                <c:pt idx="2301">
                  <c:v>40586</c:v>
                </c:pt>
                <c:pt idx="2302">
                  <c:v>40593</c:v>
                </c:pt>
                <c:pt idx="2303">
                  <c:v>40600</c:v>
                </c:pt>
                <c:pt idx="2304">
                  <c:v>40607</c:v>
                </c:pt>
                <c:pt idx="2305">
                  <c:v>40614</c:v>
                </c:pt>
                <c:pt idx="2306">
                  <c:v>40621</c:v>
                </c:pt>
                <c:pt idx="2307">
                  <c:v>40628</c:v>
                </c:pt>
                <c:pt idx="2308">
                  <c:v>40635</c:v>
                </c:pt>
                <c:pt idx="2309">
                  <c:v>40642</c:v>
                </c:pt>
                <c:pt idx="2310">
                  <c:v>40649</c:v>
                </c:pt>
                <c:pt idx="2311">
                  <c:v>40656</c:v>
                </c:pt>
                <c:pt idx="2312">
                  <c:v>40663</c:v>
                </c:pt>
                <c:pt idx="2313">
                  <c:v>40670</c:v>
                </c:pt>
                <c:pt idx="2314">
                  <c:v>40677</c:v>
                </c:pt>
                <c:pt idx="2315">
                  <c:v>40684</c:v>
                </c:pt>
                <c:pt idx="2316">
                  <c:v>40691</c:v>
                </c:pt>
                <c:pt idx="2317">
                  <c:v>40698</c:v>
                </c:pt>
                <c:pt idx="2318">
                  <c:v>40705</c:v>
                </c:pt>
                <c:pt idx="2319">
                  <c:v>40712</c:v>
                </c:pt>
                <c:pt idx="2320">
                  <c:v>40719</c:v>
                </c:pt>
                <c:pt idx="2321">
                  <c:v>40726</c:v>
                </c:pt>
                <c:pt idx="2322">
                  <c:v>40733</c:v>
                </c:pt>
                <c:pt idx="2323">
                  <c:v>40740</c:v>
                </c:pt>
                <c:pt idx="2324">
                  <c:v>40747</c:v>
                </c:pt>
                <c:pt idx="2325">
                  <c:v>40754</c:v>
                </c:pt>
                <c:pt idx="2326">
                  <c:v>40761</c:v>
                </c:pt>
                <c:pt idx="2327">
                  <c:v>40768</c:v>
                </c:pt>
                <c:pt idx="2328">
                  <c:v>40775</c:v>
                </c:pt>
                <c:pt idx="2329">
                  <c:v>40782</c:v>
                </c:pt>
                <c:pt idx="2330">
                  <c:v>40789</c:v>
                </c:pt>
                <c:pt idx="2331">
                  <c:v>40796</c:v>
                </c:pt>
                <c:pt idx="2332">
                  <c:v>40803</c:v>
                </c:pt>
                <c:pt idx="2333">
                  <c:v>40810</c:v>
                </c:pt>
                <c:pt idx="2334">
                  <c:v>40817</c:v>
                </c:pt>
                <c:pt idx="2335">
                  <c:v>40824</c:v>
                </c:pt>
                <c:pt idx="2336">
                  <c:v>40831</c:v>
                </c:pt>
                <c:pt idx="2337">
                  <c:v>40838</c:v>
                </c:pt>
                <c:pt idx="2338">
                  <c:v>40845</c:v>
                </c:pt>
                <c:pt idx="2339">
                  <c:v>40852</c:v>
                </c:pt>
                <c:pt idx="2340">
                  <c:v>40859</c:v>
                </c:pt>
                <c:pt idx="2341">
                  <c:v>40866</c:v>
                </c:pt>
                <c:pt idx="2342">
                  <c:v>40873</c:v>
                </c:pt>
                <c:pt idx="2343">
                  <c:v>40880</c:v>
                </c:pt>
                <c:pt idx="2344">
                  <c:v>40887</c:v>
                </c:pt>
                <c:pt idx="2345">
                  <c:v>40894</c:v>
                </c:pt>
                <c:pt idx="2346">
                  <c:v>40901</c:v>
                </c:pt>
                <c:pt idx="2347">
                  <c:v>40908</c:v>
                </c:pt>
                <c:pt idx="2348">
                  <c:v>40915</c:v>
                </c:pt>
                <c:pt idx="2349">
                  <c:v>40922</c:v>
                </c:pt>
                <c:pt idx="2350">
                  <c:v>40929</c:v>
                </c:pt>
                <c:pt idx="2351">
                  <c:v>40936</c:v>
                </c:pt>
                <c:pt idx="2352">
                  <c:v>40943</c:v>
                </c:pt>
                <c:pt idx="2353">
                  <c:v>40950</c:v>
                </c:pt>
                <c:pt idx="2354">
                  <c:v>40957</c:v>
                </c:pt>
                <c:pt idx="2355">
                  <c:v>40964</c:v>
                </c:pt>
                <c:pt idx="2356">
                  <c:v>40971</c:v>
                </c:pt>
                <c:pt idx="2357">
                  <c:v>40978</c:v>
                </c:pt>
                <c:pt idx="2358">
                  <c:v>40985</c:v>
                </c:pt>
                <c:pt idx="2359">
                  <c:v>40992</c:v>
                </c:pt>
                <c:pt idx="2360">
                  <c:v>40999</c:v>
                </c:pt>
                <c:pt idx="2361">
                  <c:v>41006</c:v>
                </c:pt>
                <c:pt idx="2362">
                  <c:v>41013</c:v>
                </c:pt>
                <c:pt idx="2363">
                  <c:v>41020</c:v>
                </c:pt>
                <c:pt idx="2364">
                  <c:v>41027</c:v>
                </c:pt>
                <c:pt idx="2365">
                  <c:v>41034</c:v>
                </c:pt>
                <c:pt idx="2366">
                  <c:v>41041</c:v>
                </c:pt>
                <c:pt idx="2367">
                  <c:v>41048</c:v>
                </c:pt>
                <c:pt idx="2368">
                  <c:v>41055</c:v>
                </c:pt>
                <c:pt idx="2369">
                  <c:v>41062</c:v>
                </c:pt>
                <c:pt idx="2370">
                  <c:v>41069</c:v>
                </c:pt>
                <c:pt idx="2371">
                  <c:v>41076</c:v>
                </c:pt>
                <c:pt idx="2372">
                  <c:v>41083</c:v>
                </c:pt>
                <c:pt idx="2373">
                  <c:v>41090</c:v>
                </c:pt>
                <c:pt idx="2374">
                  <c:v>41097</c:v>
                </c:pt>
                <c:pt idx="2375">
                  <c:v>41104</c:v>
                </c:pt>
                <c:pt idx="2376">
                  <c:v>41111</c:v>
                </c:pt>
                <c:pt idx="2377">
                  <c:v>41118</c:v>
                </c:pt>
                <c:pt idx="2378">
                  <c:v>41125</c:v>
                </c:pt>
                <c:pt idx="2379">
                  <c:v>41132</c:v>
                </c:pt>
                <c:pt idx="2380">
                  <c:v>41139</c:v>
                </c:pt>
                <c:pt idx="2381">
                  <c:v>41146</c:v>
                </c:pt>
                <c:pt idx="2382">
                  <c:v>41153</c:v>
                </c:pt>
                <c:pt idx="2383">
                  <c:v>41160</c:v>
                </c:pt>
                <c:pt idx="2384">
                  <c:v>41167</c:v>
                </c:pt>
                <c:pt idx="2385">
                  <c:v>41174</c:v>
                </c:pt>
                <c:pt idx="2386">
                  <c:v>41181</c:v>
                </c:pt>
                <c:pt idx="2387">
                  <c:v>41188</c:v>
                </c:pt>
                <c:pt idx="2388">
                  <c:v>41195</c:v>
                </c:pt>
                <c:pt idx="2389">
                  <c:v>41202</c:v>
                </c:pt>
                <c:pt idx="2390">
                  <c:v>41209</c:v>
                </c:pt>
                <c:pt idx="2391">
                  <c:v>41216</c:v>
                </c:pt>
                <c:pt idx="2392">
                  <c:v>41223</c:v>
                </c:pt>
                <c:pt idx="2393">
                  <c:v>41230</c:v>
                </c:pt>
                <c:pt idx="2394">
                  <c:v>41237</c:v>
                </c:pt>
                <c:pt idx="2395">
                  <c:v>41244</c:v>
                </c:pt>
                <c:pt idx="2396">
                  <c:v>41251</c:v>
                </c:pt>
                <c:pt idx="2397">
                  <c:v>41258</c:v>
                </c:pt>
                <c:pt idx="2398">
                  <c:v>41265</c:v>
                </c:pt>
                <c:pt idx="2399">
                  <c:v>41272</c:v>
                </c:pt>
                <c:pt idx="2400">
                  <c:v>41279</c:v>
                </c:pt>
                <c:pt idx="2401">
                  <c:v>41286</c:v>
                </c:pt>
                <c:pt idx="2402">
                  <c:v>41293</c:v>
                </c:pt>
                <c:pt idx="2403">
                  <c:v>41300</c:v>
                </c:pt>
                <c:pt idx="2404">
                  <c:v>41307</c:v>
                </c:pt>
                <c:pt idx="2405">
                  <c:v>41314</c:v>
                </c:pt>
                <c:pt idx="2406">
                  <c:v>41321</c:v>
                </c:pt>
                <c:pt idx="2407">
                  <c:v>41328</c:v>
                </c:pt>
                <c:pt idx="2408">
                  <c:v>41335</c:v>
                </c:pt>
                <c:pt idx="2409">
                  <c:v>41342</c:v>
                </c:pt>
                <c:pt idx="2410">
                  <c:v>41349</c:v>
                </c:pt>
                <c:pt idx="2411">
                  <c:v>41356</c:v>
                </c:pt>
                <c:pt idx="2412">
                  <c:v>41363</c:v>
                </c:pt>
                <c:pt idx="2413">
                  <c:v>41370</c:v>
                </c:pt>
                <c:pt idx="2414">
                  <c:v>41377</c:v>
                </c:pt>
                <c:pt idx="2415">
                  <c:v>41384</c:v>
                </c:pt>
                <c:pt idx="2416">
                  <c:v>41391</c:v>
                </c:pt>
                <c:pt idx="2417">
                  <c:v>41398</c:v>
                </c:pt>
                <c:pt idx="2418">
                  <c:v>41405</c:v>
                </c:pt>
                <c:pt idx="2419">
                  <c:v>41412</c:v>
                </c:pt>
                <c:pt idx="2420">
                  <c:v>41419</c:v>
                </c:pt>
                <c:pt idx="2421">
                  <c:v>41426</c:v>
                </c:pt>
                <c:pt idx="2422">
                  <c:v>41433</c:v>
                </c:pt>
                <c:pt idx="2423">
                  <c:v>41440</c:v>
                </c:pt>
                <c:pt idx="2424">
                  <c:v>41447</c:v>
                </c:pt>
                <c:pt idx="2425">
                  <c:v>41454</c:v>
                </c:pt>
                <c:pt idx="2426">
                  <c:v>41461</c:v>
                </c:pt>
                <c:pt idx="2427">
                  <c:v>41468</c:v>
                </c:pt>
                <c:pt idx="2428">
                  <c:v>41475</c:v>
                </c:pt>
                <c:pt idx="2429">
                  <c:v>41482</c:v>
                </c:pt>
                <c:pt idx="2430">
                  <c:v>41489</c:v>
                </c:pt>
                <c:pt idx="2431">
                  <c:v>41496</c:v>
                </c:pt>
                <c:pt idx="2432">
                  <c:v>41503</c:v>
                </c:pt>
                <c:pt idx="2433">
                  <c:v>41510</c:v>
                </c:pt>
                <c:pt idx="2434">
                  <c:v>41517</c:v>
                </c:pt>
                <c:pt idx="2435">
                  <c:v>41524</c:v>
                </c:pt>
                <c:pt idx="2436">
                  <c:v>41531</c:v>
                </c:pt>
                <c:pt idx="2437">
                  <c:v>41538</c:v>
                </c:pt>
                <c:pt idx="2438">
                  <c:v>41545</c:v>
                </c:pt>
                <c:pt idx="2439">
                  <c:v>41552</c:v>
                </c:pt>
                <c:pt idx="2440">
                  <c:v>41559</c:v>
                </c:pt>
                <c:pt idx="2441">
                  <c:v>41566</c:v>
                </c:pt>
                <c:pt idx="2442">
                  <c:v>41573</c:v>
                </c:pt>
                <c:pt idx="2443">
                  <c:v>41580</c:v>
                </c:pt>
                <c:pt idx="2444">
                  <c:v>41587</c:v>
                </c:pt>
                <c:pt idx="2445">
                  <c:v>41594</c:v>
                </c:pt>
                <c:pt idx="2446">
                  <c:v>41601</c:v>
                </c:pt>
                <c:pt idx="2447">
                  <c:v>41608</c:v>
                </c:pt>
                <c:pt idx="2448">
                  <c:v>41615</c:v>
                </c:pt>
                <c:pt idx="2449">
                  <c:v>41622</c:v>
                </c:pt>
                <c:pt idx="2450">
                  <c:v>41629</c:v>
                </c:pt>
                <c:pt idx="2451">
                  <c:v>41636</c:v>
                </c:pt>
                <c:pt idx="2452">
                  <c:v>41643</c:v>
                </c:pt>
                <c:pt idx="2453">
                  <c:v>41650</c:v>
                </c:pt>
                <c:pt idx="2454">
                  <c:v>41657</c:v>
                </c:pt>
                <c:pt idx="2455">
                  <c:v>41664</c:v>
                </c:pt>
                <c:pt idx="2456">
                  <c:v>41671</c:v>
                </c:pt>
                <c:pt idx="2457">
                  <c:v>41678</c:v>
                </c:pt>
                <c:pt idx="2458">
                  <c:v>41685</c:v>
                </c:pt>
                <c:pt idx="2459">
                  <c:v>41692</c:v>
                </c:pt>
                <c:pt idx="2460">
                  <c:v>41699</c:v>
                </c:pt>
                <c:pt idx="2461">
                  <c:v>41706</c:v>
                </c:pt>
                <c:pt idx="2462">
                  <c:v>41713</c:v>
                </c:pt>
                <c:pt idx="2463">
                  <c:v>41720</c:v>
                </c:pt>
                <c:pt idx="2464">
                  <c:v>41727</c:v>
                </c:pt>
                <c:pt idx="2465">
                  <c:v>41734</c:v>
                </c:pt>
                <c:pt idx="2466">
                  <c:v>41741</c:v>
                </c:pt>
                <c:pt idx="2467">
                  <c:v>41748</c:v>
                </c:pt>
                <c:pt idx="2468">
                  <c:v>41755</c:v>
                </c:pt>
                <c:pt idx="2469">
                  <c:v>41762</c:v>
                </c:pt>
                <c:pt idx="2470">
                  <c:v>41769</c:v>
                </c:pt>
                <c:pt idx="2471">
                  <c:v>41776</c:v>
                </c:pt>
                <c:pt idx="2472">
                  <c:v>41783</c:v>
                </c:pt>
                <c:pt idx="2473">
                  <c:v>41790</c:v>
                </c:pt>
                <c:pt idx="2474">
                  <c:v>41797</c:v>
                </c:pt>
                <c:pt idx="2475">
                  <c:v>41804</c:v>
                </c:pt>
                <c:pt idx="2476">
                  <c:v>41811</c:v>
                </c:pt>
                <c:pt idx="2477">
                  <c:v>41818</c:v>
                </c:pt>
                <c:pt idx="2478">
                  <c:v>41825</c:v>
                </c:pt>
                <c:pt idx="2479">
                  <c:v>41832</c:v>
                </c:pt>
                <c:pt idx="2480">
                  <c:v>41839</c:v>
                </c:pt>
                <c:pt idx="2481">
                  <c:v>41846</c:v>
                </c:pt>
                <c:pt idx="2482">
                  <c:v>41853</c:v>
                </c:pt>
                <c:pt idx="2483">
                  <c:v>41860</c:v>
                </c:pt>
                <c:pt idx="2484">
                  <c:v>41867</c:v>
                </c:pt>
                <c:pt idx="2485">
                  <c:v>41874</c:v>
                </c:pt>
                <c:pt idx="2486">
                  <c:v>41881</c:v>
                </c:pt>
                <c:pt idx="2487">
                  <c:v>41888</c:v>
                </c:pt>
                <c:pt idx="2488">
                  <c:v>41895</c:v>
                </c:pt>
                <c:pt idx="2489">
                  <c:v>41902</c:v>
                </c:pt>
                <c:pt idx="2490">
                  <c:v>41909</c:v>
                </c:pt>
                <c:pt idx="2491">
                  <c:v>41916</c:v>
                </c:pt>
                <c:pt idx="2492">
                  <c:v>41923</c:v>
                </c:pt>
                <c:pt idx="2493">
                  <c:v>41930</c:v>
                </c:pt>
                <c:pt idx="2494">
                  <c:v>41937</c:v>
                </c:pt>
                <c:pt idx="2495">
                  <c:v>41944</c:v>
                </c:pt>
                <c:pt idx="2496">
                  <c:v>41951</c:v>
                </c:pt>
                <c:pt idx="2497">
                  <c:v>41958</c:v>
                </c:pt>
                <c:pt idx="2498">
                  <c:v>41965</c:v>
                </c:pt>
                <c:pt idx="2499">
                  <c:v>41972</c:v>
                </c:pt>
                <c:pt idx="2500">
                  <c:v>41979</c:v>
                </c:pt>
                <c:pt idx="2501">
                  <c:v>41986</c:v>
                </c:pt>
                <c:pt idx="2502">
                  <c:v>41993</c:v>
                </c:pt>
                <c:pt idx="2503">
                  <c:v>42000</c:v>
                </c:pt>
                <c:pt idx="2504">
                  <c:v>42007</c:v>
                </c:pt>
                <c:pt idx="2505">
                  <c:v>42014</c:v>
                </c:pt>
                <c:pt idx="2506">
                  <c:v>42021</c:v>
                </c:pt>
                <c:pt idx="2507">
                  <c:v>42028</c:v>
                </c:pt>
                <c:pt idx="2508">
                  <c:v>42035</c:v>
                </c:pt>
                <c:pt idx="2509">
                  <c:v>42042</c:v>
                </c:pt>
                <c:pt idx="2510">
                  <c:v>42049</c:v>
                </c:pt>
                <c:pt idx="2511">
                  <c:v>42056</c:v>
                </c:pt>
                <c:pt idx="2512">
                  <c:v>42063</c:v>
                </c:pt>
                <c:pt idx="2513">
                  <c:v>42070</c:v>
                </c:pt>
                <c:pt idx="2514">
                  <c:v>42077</c:v>
                </c:pt>
                <c:pt idx="2515">
                  <c:v>42084</c:v>
                </c:pt>
                <c:pt idx="2516">
                  <c:v>42091</c:v>
                </c:pt>
                <c:pt idx="2517">
                  <c:v>42098</c:v>
                </c:pt>
                <c:pt idx="2518">
                  <c:v>42105</c:v>
                </c:pt>
                <c:pt idx="2519">
                  <c:v>42112</c:v>
                </c:pt>
                <c:pt idx="2520">
                  <c:v>42119</c:v>
                </c:pt>
                <c:pt idx="2521">
                  <c:v>42126</c:v>
                </c:pt>
                <c:pt idx="2522">
                  <c:v>42133</c:v>
                </c:pt>
                <c:pt idx="2523">
                  <c:v>42140</c:v>
                </c:pt>
                <c:pt idx="2524">
                  <c:v>42147</c:v>
                </c:pt>
                <c:pt idx="2525">
                  <c:v>42154</c:v>
                </c:pt>
                <c:pt idx="2526">
                  <c:v>42161</c:v>
                </c:pt>
                <c:pt idx="2527">
                  <c:v>42168</c:v>
                </c:pt>
                <c:pt idx="2528">
                  <c:v>42175</c:v>
                </c:pt>
                <c:pt idx="2529">
                  <c:v>42182</c:v>
                </c:pt>
                <c:pt idx="2530">
                  <c:v>42189</c:v>
                </c:pt>
                <c:pt idx="2531">
                  <c:v>42196</c:v>
                </c:pt>
                <c:pt idx="2532">
                  <c:v>42203</c:v>
                </c:pt>
                <c:pt idx="2533">
                  <c:v>42210</c:v>
                </c:pt>
                <c:pt idx="2534">
                  <c:v>42217</c:v>
                </c:pt>
                <c:pt idx="2535">
                  <c:v>42224</c:v>
                </c:pt>
                <c:pt idx="2536">
                  <c:v>42231</c:v>
                </c:pt>
                <c:pt idx="2537">
                  <c:v>42238</c:v>
                </c:pt>
                <c:pt idx="2538">
                  <c:v>42245</c:v>
                </c:pt>
                <c:pt idx="2539">
                  <c:v>42252</c:v>
                </c:pt>
                <c:pt idx="2540">
                  <c:v>42259</c:v>
                </c:pt>
                <c:pt idx="2541">
                  <c:v>42266</c:v>
                </c:pt>
                <c:pt idx="2542">
                  <c:v>42273</c:v>
                </c:pt>
                <c:pt idx="2543">
                  <c:v>42280</c:v>
                </c:pt>
                <c:pt idx="2544">
                  <c:v>42287</c:v>
                </c:pt>
                <c:pt idx="2545">
                  <c:v>42294</c:v>
                </c:pt>
                <c:pt idx="2546">
                  <c:v>42301</c:v>
                </c:pt>
                <c:pt idx="2547">
                  <c:v>42308</c:v>
                </c:pt>
                <c:pt idx="2548">
                  <c:v>42315</c:v>
                </c:pt>
                <c:pt idx="2549">
                  <c:v>42322</c:v>
                </c:pt>
                <c:pt idx="2550">
                  <c:v>42329</c:v>
                </c:pt>
                <c:pt idx="2551">
                  <c:v>42336</c:v>
                </c:pt>
                <c:pt idx="2552">
                  <c:v>42343</c:v>
                </c:pt>
                <c:pt idx="2553">
                  <c:v>42350</c:v>
                </c:pt>
                <c:pt idx="2554">
                  <c:v>42357</c:v>
                </c:pt>
                <c:pt idx="2555">
                  <c:v>42364</c:v>
                </c:pt>
                <c:pt idx="2556">
                  <c:v>42371</c:v>
                </c:pt>
                <c:pt idx="2557">
                  <c:v>42378</c:v>
                </c:pt>
                <c:pt idx="2558">
                  <c:v>42385</c:v>
                </c:pt>
                <c:pt idx="2559">
                  <c:v>42392</c:v>
                </c:pt>
                <c:pt idx="2560">
                  <c:v>42399</c:v>
                </c:pt>
                <c:pt idx="2561">
                  <c:v>42406</c:v>
                </c:pt>
                <c:pt idx="2562">
                  <c:v>42413</c:v>
                </c:pt>
                <c:pt idx="2563">
                  <c:v>42420</c:v>
                </c:pt>
                <c:pt idx="2564">
                  <c:v>42427</c:v>
                </c:pt>
                <c:pt idx="2565">
                  <c:v>42434</c:v>
                </c:pt>
                <c:pt idx="2566">
                  <c:v>42441</c:v>
                </c:pt>
                <c:pt idx="2567">
                  <c:v>42448</c:v>
                </c:pt>
                <c:pt idx="2568">
                  <c:v>42455</c:v>
                </c:pt>
                <c:pt idx="2569">
                  <c:v>42462</c:v>
                </c:pt>
                <c:pt idx="2570">
                  <c:v>42469</c:v>
                </c:pt>
                <c:pt idx="2571">
                  <c:v>42476</c:v>
                </c:pt>
                <c:pt idx="2572">
                  <c:v>42483</c:v>
                </c:pt>
                <c:pt idx="2573">
                  <c:v>42490</c:v>
                </c:pt>
                <c:pt idx="2574">
                  <c:v>42497</c:v>
                </c:pt>
                <c:pt idx="2575">
                  <c:v>42504</c:v>
                </c:pt>
                <c:pt idx="2576">
                  <c:v>42511</c:v>
                </c:pt>
                <c:pt idx="2577">
                  <c:v>42518</c:v>
                </c:pt>
                <c:pt idx="2578">
                  <c:v>42525</c:v>
                </c:pt>
                <c:pt idx="2579">
                  <c:v>42532</c:v>
                </c:pt>
                <c:pt idx="2580">
                  <c:v>42539</c:v>
                </c:pt>
                <c:pt idx="2581">
                  <c:v>42546</c:v>
                </c:pt>
                <c:pt idx="2582">
                  <c:v>42553</c:v>
                </c:pt>
                <c:pt idx="2583">
                  <c:v>42560</c:v>
                </c:pt>
                <c:pt idx="2584">
                  <c:v>42567</c:v>
                </c:pt>
                <c:pt idx="2585">
                  <c:v>42574</c:v>
                </c:pt>
                <c:pt idx="2586">
                  <c:v>42581</c:v>
                </c:pt>
                <c:pt idx="2587">
                  <c:v>42588</c:v>
                </c:pt>
                <c:pt idx="2588">
                  <c:v>42595</c:v>
                </c:pt>
                <c:pt idx="2589">
                  <c:v>42602</c:v>
                </c:pt>
                <c:pt idx="2590">
                  <c:v>42609</c:v>
                </c:pt>
                <c:pt idx="2591">
                  <c:v>42616</c:v>
                </c:pt>
                <c:pt idx="2592">
                  <c:v>42623</c:v>
                </c:pt>
                <c:pt idx="2593">
                  <c:v>42630</c:v>
                </c:pt>
                <c:pt idx="2594">
                  <c:v>42637</c:v>
                </c:pt>
                <c:pt idx="2595">
                  <c:v>42644</c:v>
                </c:pt>
                <c:pt idx="2596">
                  <c:v>42651</c:v>
                </c:pt>
                <c:pt idx="2597">
                  <c:v>42658</c:v>
                </c:pt>
                <c:pt idx="2598">
                  <c:v>42665</c:v>
                </c:pt>
                <c:pt idx="2599">
                  <c:v>42672</c:v>
                </c:pt>
                <c:pt idx="2600">
                  <c:v>42679</c:v>
                </c:pt>
                <c:pt idx="2601">
                  <c:v>42686</c:v>
                </c:pt>
                <c:pt idx="2602">
                  <c:v>42693</c:v>
                </c:pt>
                <c:pt idx="2603">
                  <c:v>42700</c:v>
                </c:pt>
                <c:pt idx="2604">
                  <c:v>42707</c:v>
                </c:pt>
                <c:pt idx="2605">
                  <c:v>42714</c:v>
                </c:pt>
                <c:pt idx="2606">
                  <c:v>42721</c:v>
                </c:pt>
                <c:pt idx="2607">
                  <c:v>42728</c:v>
                </c:pt>
                <c:pt idx="2608">
                  <c:v>42735</c:v>
                </c:pt>
                <c:pt idx="2609">
                  <c:v>42742</c:v>
                </c:pt>
                <c:pt idx="2610">
                  <c:v>42749</c:v>
                </c:pt>
                <c:pt idx="2611">
                  <c:v>42756</c:v>
                </c:pt>
                <c:pt idx="2612">
                  <c:v>42763</c:v>
                </c:pt>
                <c:pt idx="2613">
                  <c:v>42770</c:v>
                </c:pt>
                <c:pt idx="2614">
                  <c:v>42777</c:v>
                </c:pt>
                <c:pt idx="2615">
                  <c:v>42784</c:v>
                </c:pt>
                <c:pt idx="2616">
                  <c:v>42791</c:v>
                </c:pt>
                <c:pt idx="2617">
                  <c:v>42798</c:v>
                </c:pt>
                <c:pt idx="2618">
                  <c:v>42805</c:v>
                </c:pt>
                <c:pt idx="2619">
                  <c:v>42812</c:v>
                </c:pt>
                <c:pt idx="2620">
                  <c:v>42819</c:v>
                </c:pt>
                <c:pt idx="2621">
                  <c:v>42826</c:v>
                </c:pt>
                <c:pt idx="2622">
                  <c:v>42833</c:v>
                </c:pt>
                <c:pt idx="2623">
                  <c:v>42840</c:v>
                </c:pt>
                <c:pt idx="2624">
                  <c:v>42847</c:v>
                </c:pt>
                <c:pt idx="2625">
                  <c:v>42854</c:v>
                </c:pt>
                <c:pt idx="2626">
                  <c:v>42861</c:v>
                </c:pt>
                <c:pt idx="2627">
                  <c:v>42868</c:v>
                </c:pt>
                <c:pt idx="2628">
                  <c:v>42875</c:v>
                </c:pt>
                <c:pt idx="2629">
                  <c:v>42882</c:v>
                </c:pt>
                <c:pt idx="2630">
                  <c:v>42889</c:v>
                </c:pt>
                <c:pt idx="2631">
                  <c:v>42896</c:v>
                </c:pt>
                <c:pt idx="2632">
                  <c:v>42903</c:v>
                </c:pt>
                <c:pt idx="2633">
                  <c:v>42910</c:v>
                </c:pt>
                <c:pt idx="2634">
                  <c:v>42917</c:v>
                </c:pt>
                <c:pt idx="2635">
                  <c:v>42924</c:v>
                </c:pt>
                <c:pt idx="2636">
                  <c:v>42931</c:v>
                </c:pt>
                <c:pt idx="2637">
                  <c:v>42938</c:v>
                </c:pt>
                <c:pt idx="2638">
                  <c:v>42945</c:v>
                </c:pt>
                <c:pt idx="2639">
                  <c:v>42952</c:v>
                </c:pt>
                <c:pt idx="2640">
                  <c:v>42959</c:v>
                </c:pt>
                <c:pt idx="2641">
                  <c:v>42966</c:v>
                </c:pt>
                <c:pt idx="2642">
                  <c:v>42973</c:v>
                </c:pt>
                <c:pt idx="2643">
                  <c:v>42980</c:v>
                </c:pt>
                <c:pt idx="2644">
                  <c:v>42987</c:v>
                </c:pt>
                <c:pt idx="2645">
                  <c:v>42994</c:v>
                </c:pt>
                <c:pt idx="2646">
                  <c:v>43001</c:v>
                </c:pt>
                <c:pt idx="2647">
                  <c:v>43008</c:v>
                </c:pt>
                <c:pt idx="2648">
                  <c:v>43015</c:v>
                </c:pt>
                <c:pt idx="2649">
                  <c:v>43022</c:v>
                </c:pt>
                <c:pt idx="2650">
                  <c:v>43029</c:v>
                </c:pt>
                <c:pt idx="2651">
                  <c:v>43036</c:v>
                </c:pt>
                <c:pt idx="2652">
                  <c:v>43043</c:v>
                </c:pt>
                <c:pt idx="2653">
                  <c:v>43050</c:v>
                </c:pt>
                <c:pt idx="2654">
                  <c:v>43057</c:v>
                </c:pt>
                <c:pt idx="2655">
                  <c:v>43064</c:v>
                </c:pt>
                <c:pt idx="2656">
                  <c:v>43071</c:v>
                </c:pt>
                <c:pt idx="2657">
                  <c:v>43078</c:v>
                </c:pt>
                <c:pt idx="2658">
                  <c:v>43085</c:v>
                </c:pt>
                <c:pt idx="2659">
                  <c:v>43092</c:v>
                </c:pt>
                <c:pt idx="2660">
                  <c:v>43099</c:v>
                </c:pt>
                <c:pt idx="2661">
                  <c:v>43106</c:v>
                </c:pt>
                <c:pt idx="2662">
                  <c:v>43113</c:v>
                </c:pt>
                <c:pt idx="2663">
                  <c:v>43120</c:v>
                </c:pt>
                <c:pt idx="2664">
                  <c:v>43127</c:v>
                </c:pt>
                <c:pt idx="2665">
                  <c:v>43134</c:v>
                </c:pt>
                <c:pt idx="2666">
                  <c:v>43141</c:v>
                </c:pt>
                <c:pt idx="2667">
                  <c:v>43148</c:v>
                </c:pt>
                <c:pt idx="2668">
                  <c:v>43155</c:v>
                </c:pt>
                <c:pt idx="2669">
                  <c:v>43162</c:v>
                </c:pt>
                <c:pt idx="2670">
                  <c:v>43169</c:v>
                </c:pt>
                <c:pt idx="2671">
                  <c:v>43176</c:v>
                </c:pt>
                <c:pt idx="2672">
                  <c:v>43183</c:v>
                </c:pt>
                <c:pt idx="2673">
                  <c:v>43190</c:v>
                </c:pt>
                <c:pt idx="2674">
                  <c:v>43197</c:v>
                </c:pt>
                <c:pt idx="2675">
                  <c:v>43204</c:v>
                </c:pt>
                <c:pt idx="2676">
                  <c:v>43211</c:v>
                </c:pt>
                <c:pt idx="2677">
                  <c:v>43218</c:v>
                </c:pt>
                <c:pt idx="2678">
                  <c:v>43225</c:v>
                </c:pt>
                <c:pt idx="2679">
                  <c:v>43232</c:v>
                </c:pt>
                <c:pt idx="2680">
                  <c:v>43239</c:v>
                </c:pt>
                <c:pt idx="2681">
                  <c:v>43246</c:v>
                </c:pt>
                <c:pt idx="2682">
                  <c:v>43253</c:v>
                </c:pt>
                <c:pt idx="2683">
                  <c:v>43260</c:v>
                </c:pt>
                <c:pt idx="2684">
                  <c:v>43267</c:v>
                </c:pt>
                <c:pt idx="2685">
                  <c:v>43274</c:v>
                </c:pt>
                <c:pt idx="2686">
                  <c:v>43281</c:v>
                </c:pt>
                <c:pt idx="2687">
                  <c:v>43288</c:v>
                </c:pt>
                <c:pt idx="2688">
                  <c:v>43295</c:v>
                </c:pt>
                <c:pt idx="2689">
                  <c:v>43302</c:v>
                </c:pt>
                <c:pt idx="2690">
                  <c:v>43309</c:v>
                </c:pt>
                <c:pt idx="2691">
                  <c:v>43316</c:v>
                </c:pt>
                <c:pt idx="2692">
                  <c:v>43323</c:v>
                </c:pt>
                <c:pt idx="2693">
                  <c:v>43330</c:v>
                </c:pt>
                <c:pt idx="2694">
                  <c:v>43337</c:v>
                </c:pt>
                <c:pt idx="2695">
                  <c:v>43344</c:v>
                </c:pt>
                <c:pt idx="2696">
                  <c:v>43351</c:v>
                </c:pt>
                <c:pt idx="2697">
                  <c:v>43358</c:v>
                </c:pt>
                <c:pt idx="2698">
                  <c:v>43365</c:v>
                </c:pt>
                <c:pt idx="2699">
                  <c:v>43372</c:v>
                </c:pt>
                <c:pt idx="2700">
                  <c:v>43379</c:v>
                </c:pt>
                <c:pt idx="2701">
                  <c:v>43386</c:v>
                </c:pt>
                <c:pt idx="2702">
                  <c:v>43393</c:v>
                </c:pt>
                <c:pt idx="2703">
                  <c:v>43400</c:v>
                </c:pt>
                <c:pt idx="2704">
                  <c:v>43407</c:v>
                </c:pt>
                <c:pt idx="2705">
                  <c:v>43414</c:v>
                </c:pt>
                <c:pt idx="2706">
                  <c:v>43421</c:v>
                </c:pt>
                <c:pt idx="2707">
                  <c:v>43428</c:v>
                </c:pt>
                <c:pt idx="2708">
                  <c:v>43435</c:v>
                </c:pt>
                <c:pt idx="2709">
                  <c:v>43442</c:v>
                </c:pt>
                <c:pt idx="2710">
                  <c:v>43449</c:v>
                </c:pt>
                <c:pt idx="2711">
                  <c:v>43456</c:v>
                </c:pt>
                <c:pt idx="2712">
                  <c:v>43463</c:v>
                </c:pt>
                <c:pt idx="2713">
                  <c:v>43470</c:v>
                </c:pt>
                <c:pt idx="2714">
                  <c:v>43477</c:v>
                </c:pt>
                <c:pt idx="2715">
                  <c:v>43484</c:v>
                </c:pt>
                <c:pt idx="2716">
                  <c:v>43491</c:v>
                </c:pt>
                <c:pt idx="2717">
                  <c:v>43498</c:v>
                </c:pt>
                <c:pt idx="2718">
                  <c:v>43505</c:v>
                </c:pt>
                <c:pt idx="2719">
                  <c:v>43512</c:v>
                </c:pt>
                <c:pt idx="2720">
                  <c:v>43519</c:v>
                </c:pt>
                <c:pt idx="2721">
                  <c:v>43526</c:v>
                </c:pt>
                <c:pt idx="2722">
                  <c:v>43533</c:v>
                </c:pt>
                <c:pt idx="2723">
                  <c:v>43540</c:v>
                </c:pt>
                <c:pt idx="2724">
                  <c:v>43547</c:v>
                </c:pt>
                <c:pt idx="2725">
                  <c:v>43554</c:v>
                </c:pt>
                <c:pt idx="2726">
                  <c:v>43561</c:v>
                </c:pt>
                <c:pt idx="2727">
                  <c:v>43568</c:v>
                </c:pt>
                <c:pt idx="2728">
                  <c:v>43575</c:v>
                </c:pt>
                <c:pt idx="2729">
                  <c:v>43582</c:v>
                </c:pt>
                <c:pt idx="2730">
                  <c:v>43589</c:v>
                </c:pt>
                <c:pt idx="2731">
                  <c:v>43596</c:v>
                </c:pt>
                <c:pt idx="2732">
                  <c:v>43603</c:v>
                </c:pt>
                <c:pt idx="2733">
                  <c:v>43610</c:v>
                </c:pt>
                <c:pt idx="2734">
                  <c:v>43617</c:v>
                </c:pt>
                <c:pt idx="2735">
                  <c:v>43624</c:v>
                </c:pt>
                <c:pt idx="2736">
                  <c:v>43631</c:v>
                </c:pt>
                <c:pt idx="2737">
                  <c:v>43638</c:v>
                </c:pt>
                <c:pt idx="2738">
                  <c:v>43645</c:v>
                </c:pt>
                <c:pt idx="2739">
                  <c:v>43652</c:v>
                </c:pt>
                <c:pt idx="2740">
                  <c:v>43659</c:v>
                </c:pt>
                <c:pt idx="2741">
                  <c:v>43666</c:v>
                </c:pt>
                <c:pt idx="2742">
                  <c:v>43673</c:v>
                </c:pt>
                <c:pt idx="2743">
                  <c:v>43680</c:v>
                </c:pt>
                <c:pt idx="2744">
                  <c:v>43687</c:v>
                </c:pt>
                <c:pt idx="2745">
                  <c:v>43694</c:v>
                </c:pt>
                <c:pt idx="2746">
                  <c:v>43701</c:v>
                </c:pt>
                <c:pt idx="2747">
                  <c:v>43708</c:v>
                </c:pt>
                <c:pt idx="2748">
                  <c:v>43715</c:v>
                </c:pt>
                <c:pt idx="2749">
                  <c:v>43722</c:v>
                </c:pt>
                <c:pt idx="2750">
                  <c:v>43729</c:v>
                </c:pt>
                <c:pt idx="2751">
                  <c:v>43736</c:v>
                </c:pt>
                <c:pt idx="2752">
                  <c:v>43743</c:v>
                </c:pt>
                <c:pt idx="2753">
                  <c:v>43750</c:v>
                </c:pt>
                <c:pt idx="2754">
                  <c:v>43757</c:v>
                </c:pt>
                <c:pt idx="2755">
                  <c:v>43764</c:v>
                </c:pt>
                <c:pt idx="2756">
                  <c:v>43771</c:v>
                </c:pt>
                <c:pt idx="2757">
                  <c:v>43778</c:v>
                </c:pt>
                <c:pt idx="2758">
                  <c:v>43785</c:v>
                </c:pt>
                <c:pt idx="2759">
                  <c:v>43792</c:v>
                </c:pt>
                <c:pt idx="2760">
                  <c:v>43799</c:v>
                </c:pt>
                <c:pt idx="2761">
                  <c:v>43806</c:v>
                </c:pt>
                <c:pt idx="2762">
                  <c:v>43813</c:v>
                </c:pt>
                <c:pt idx="2763">
                  <c:v>43820</c:v>
                </c:pt>
                <c:pt idx="2764">
                  <c:v>43827</c:v>
                </c:pt>
                <c:pt idx="2765">
                  <c:v>43834</c:v>
                </c:pt>
                <c:pt idx="2766">
                  <c:v>43841</c:v>
                </c:pt>
                <c:pt idx="2767">
                  <c:v>43848</c:v>
                </c:pt>
                <c:pt idx="2768">
                  <c:v>43855</c:v>
                </c:pt>
                <c:pt idx="2769">
                  <c:v>43862</c:v>
                </c:pt>
                <c:pt idx="2770">
                  <c:v>43869</c:v>
                </c:pt>
                <c:pt idx="2771">
                  <c:v>43876</c:v>
                </c:pt>
                <c:pt idx="2772">
                  <c:v>43883</c:v>
                </c:pt>
                <c:pt idx="2773">
                  <c:v>43890</c:v>
                </c:pt>
                <c:pt idx="2774">
                  <c:v>43897</c:v>
                </c:pt>
                <c:pt idx="2775">
                  <c:v>43904</c:v>
                </c:pt>
                <c:pt idx="2776">
                  <c:v>43911</c:v>
                </c:pt>
                <c:pt idx="2777">
                  <c:v>43918</c:v>
                </c:pt>
                <c:pt idx="2778">
                  <c:v>43925</c:v>
                </c:pt>
                <c:pt idx="2779">
                  <c:v>43932</c:v>
                </c:pt>
                <c:pt idx="2780">
                  <c:v>43939</c:v>
                </c:pt>
                <c:pt idx="2781">
                  <c:v>43946</c:v>
                </c:pt>
                <c:pt idx="2782">
                  <c:v>43953</c:v>
                </c:pt>
                <c:pt idx="2783">
                  <c:v>43960</c:v>
                </c:pt>
                <c:pt idx="2784">
                  <c:v>43967</c:v>
                </c:pt>
                <c:pt idx="2785">
                  <c:v>43974</c:v>
                </c:pt>
                <c:pt idx="2786">
                  <c:v>43981</c:v>
                </c:pt>
                <c:pt idx="2787">
                  <c:v>43988</c:v>
                </c:pt>
                <c:pt idx="2788">
                  <c:v>43995</c:v>
                </c:pt>
                <c:pt idx="2789">
                  <c:v>44002</c:v>
                </c:pt>
                <c:pt idx="2790">
                  <c:v>44009</c:v>
                </c:pt>
                <c:pt idx="2791">
                  <c:v>44016</c:v>
                </c:pt>
                <c:pt idx="2792">
                  <c:v>44023</c:v>
                </c:pt>
                <c:pt idx="2793">
                  <c:v>44030</c:v>
                </c:pt>
                <c:pt idx="2794">
                  <c:v>44037</c:v>
                </c:pt>
                <c:pt idx="2795">
                  <c:v>44044</c:v>
                </c:pt>
                <c:pt idx="2796">
                  <c:v>44051</c:v>
                </c:pt>
                <c:pt idx="2797">
                  <c:v>44058</c:v>
                </c:pt>
                <c:pt idx="2798">
                  <c:v>44065</c:v>
                </c:pt>
                <c:pt idx="2799">
                  <c:v>44072</c:v>
                </c:pt>
                <c:pt idx="2800">
                  <c:v>44079</c:v>
                </c:pt>
                <c:pt idx="2801">
                  <c:v>44086</c:v>
                </c:pt>
                <c:pt idx="2802">
                  <c:v>44093</c:v>
                </c:pt>
                <c:pt idx="2803">
                  <c:v>44100</c:v>
                </c:pt>
                <c:pt idx="2804">
                  <c:v>44107</c:v>
                </c:pt>
                <c:pt idx="2805">
                  <c:v>44114</c:v>
                </c:pt>
                <c:pt idx="2806">
                  <c:v>44121</c:v>
                </c:pt>
                <c:pt idx="2807">
                  <c:v>44128</c:v>
                </c:pt>
                <c:pt idx="2808">
                  <c:v>44135</c:v>
                </c:pt>
                <c:pt idx="2809">
                  <c:v>44142</c:v>
                </c:pt>
                <c:pt idx="2810">
                  <c:v>44149</c:v>
                </c:pt>
                <c:pt idx="2811">
                  <c:v>44156</c:v>
                </c:pt>
                <c:pt idx="2812">
                  <c:v>44163</c:v>
                </c:pt>
                <c:pt idx="2813">
                  <c:v>44170</c:v>
                </c:pt>
                <c:pt idx="2814">
                  <c:v>44177</c:v>
                </c:pt>
                <c:pt idx="2815">
                  <c:v>44184</c:v>
                </c:pt>
                <c:pt idx="2816">
                  <c:v>44191</c:v>
                </c:pt>
                <c:pt idx="2817">
                  <c:v>44198</c:v>
                </c:pt>
                <c:pt idx="2818">
                  <c:v>44205</c:v>
                </c:pt>
                <c:pt idx="2819">
                  <c:v>44212</c:v>
                </c:pt>
                <c:pt idx="2820">
                  <c:v>44219</c:v>
                </c:pt>
                <c:pt idx="2821">
                  <c:v>44226</c:v>
                </c:pt>
                <c:pt idx="2822">
                  <c:v>44233</c:v>
                </c:pt>
                <c:pt idx="2823">
                  <c:v>44240</c:v>
                </c:pt>
                <c:pt idx="2824">
                  <c:v>44247</c:v>
                </c:pt>
                <c:pt idx="2825">
                  <c:v>44254</c:v>
                </c:pt>
                <c:pt idx="2826">
                  <c:v>44261</c:v>
                </c:pt>
                <c:pt idx="2827">
                  <c:v>44268</c:v>
                </c:pt>
                <c:pt idx="2828">
                  <c:v>44275</c:v>
                </c:pt>
                <c:pt idx="2829">
                  <c:v>44282</c:v>
                </c:pt>
                <c:pt idx="2830">
                  <c:v>44289</c:v>
                </c:pt>
                <c:pt idx="2831">
                  <c:v>44296</c:v>
                </c:pt>
                <c:pt idx="2832">
                  <c:v>44303</c:v>
                </c:pt>
                <c:pt idx="2833">
                  <c:v>44310</c:v>
                </c:pt>
                <c:pt idx="2834">
                  <c:v>44317</c:v>
                </c:pt>
                <c:pt idx="2835">
                  <c:v>44324</c:v>
                </c:pt>
                <c:pt idx="2836">
                  <c:v>44331</c:v>
                </c:pt>
                <c:pt idx="2837">
                  <c:v>44338</c:v>
                </c:pt>
                <c:pt idx="2838">
                  <c:v>44345</c:v>
                </c:pt>
                <c:pt idx="2839">
                  <c:v>44352</c:v>
                </c:pt>
                <c:pt idx="2840">
                  <c:v>44359</c:v>
                </c:pt>
                <c:pt idx="2841">
                  <c:v>44366</c:v>
                </c:pt>
                <c:pt idx="2842">
                  <c:v>44373</c:v>
                </c:pt>
                <c:pt idx="2843">
                  <c:v>44380</c:v>
                </c:pt>
                <c:pt idx="2844">
                  <c:v>44387</c:v>
                </c:pt>
                <c:pt idx="2845">
                  <c:v>44394</c:v>
                </c:pt>
                <c:pt idx="2846">
                  <c:v>44401</c:v>
                </c:pt>
                <c:pt idx="2847">
                  <c:v>44408</c:v>
                </c:pt>
                <c:pt idx="2848">
                  <c:v>44415</c:v>
                </c:pt>
                <c:pt idx="2849">
                  <c:v>44422</c:v>
                </c:pt>
                <c:pt idx="2850">
                  <c:v>44429</c:v>
                </c:pt>
                <c:pt idx="2851">
                  <c:v>44436</c:v>
                </c:pt>
                <c:pt idx="2852">
                  <c:v>44443</c:v>
                </c:pt>
                <c:pt idx="2853">
                  <c:v>44450</c:v>
                </c:pt>
                <c:pt idx="2854">
                  <c:v>44457</c:v>
                </c:pt>
                <c:pt idx="2855">
                  <c:v>44464</c:v>
                </c:pt>
                <c:pt idx="2856">
                  <c:v>44471</c:v>
                </c:pt>
                <c:pt idx="2857">
                  <c:v>44478</c:v>
                </c:pt>
                <c:pt idx="2858">
                  <c:v>44485</c:v>
                </c:pt>
                <c:pt idx="2859">
                  <c:v>44492</c:v>
                </c:pt>
                <c:pt idx="2860">
                  <c:v>44499</c:v>
                </c:pt>
                <c:pt idx="2861">
                  <c:v>44506</c:v>
                </c:pt>
                <c:pt idx="2862">
                  <c:v>44513</c:v>
                </c:pt>
                <c:pt idx="2863">
                  <c:v>44520</c:v>
                </c:pt>
                <c:pt idx="2864">
                  <c:v>44527</c:v>
                </c:pt>
                <c:pt idx="2865">
                  <c:v>44534</c:v>
                </c:pt>
                <c:pt idx="2866">
                  <c:v>44541</c:v>
                </c:pt>
                <c:pt idx="2867">
                  <c:v>44548</c:v>
                </c:pt>
                <c:pt idx="2868">
                  <c:v>44555</c:v>
                </c:pt>
                <c:pt idx="2869">
                  <c:v>44562</c:v>
                </c:pt>
                <c:pt idx="2870">
                  <c:v>44569</c:v>
                </c:pt>
                <c:pt idx="2871">
                  <c:v>44576</c:v>
                </c:pt>
                <c:pt idx="2872">
                  <c:v>44583</c:v>
                </c:pt>
                <c:pt idx="2873">
                  <c:v>44590</c:v>
                </c:pt>
                <c:pt idx="2874">
                  <c:v>44597</c:v>
                </c:pt>
                <c:pt idx="2875">
                  <c:v>44604</c:v>
                </c:pt>
                <c:pt idx="2876">
                  <c:v>44611</c:v>
                </c:pt>
                <c:pt idx="2877">
                  <c:v>44618</c:v>
                </c:pt>
                <c:pt idx="2878">
                  <c:v>44625</c:v>
                </c:pt>
                <c:pt idx="2879">
                  <c:v>44632</c:v>
                </c:pt>
                <c:pt idx="2880">
                  <c:v>44639</c:v>
                </c:pt>
                <c:pt idx="2881">
                  <c:v>44646</c:v>
                </c:pt>
                <c:pt idx="2882">
                  <c:v>44653</c:v>
                </c:pt>
                <c:pt idx="2883">
                  <c:v>44660</c:v>
                </c:pt>
                <c:pt idx="2884">
                  <c:v>44667</c:v>
                </c:pt>
                <c:pt idx="2885">
                  <c:v>44674</c:v>
                </c:pt>
                <c:pt idx="2886">
                  <c:v>44681</c:v>
                </c:pt>
                <c:pt idx="2887">
                  <c:v>44688</c:v>
                </c:pt>
                <c:pt idx="2888">
                  <c:v>44695</c:v>
                </c:pt>
                <c:pt idx="2889">
                  <c:v>44702</c:v>
                </c:pt>
                <c:pt idx="2890">
                  <c:v>44709</c:v>
                </c:pt>
                <c:pt idx="2891">
                  <c:v>44716</c:v>
                </c:pt>
                <c:pt idx="2892">
                  <c:v>44723</c:v>
                </c:pt>
                <c:pt idx="2893">
                  <c:v>44730</c:v>
                </c:pt>
                <c:pt idx="2894">
                  <c:v>44737</c:v>
                </c:pt>
                <c:pt idx="2895">
                  <c:v>44744</c:v>
                </c:pt>
                <c:pt idx="2896">
                  <c:v>44751</c:v>
                </c:pt>
                <c:pt idx="2897">
                  <c:v>44758</c:v>
                </c:pt>
                <c:pt idx="2898">
                  <c:v>44765</c:v>
                </c:pt>
                <c:pt idx="2899">
                  <c:v>44772</c:v>
                </c:pt>
                <c:pt idx="2900">
                  <c:v>44779</c:v>
                </c:pt>
                <c:pt idx="2901">
                  <c:v>44786</c:v>
                </c:pt>
                <c:pt idx="2902">
                  <c:v>44793</c:v>
                </c:pt>
                <c:pt idx="2903">
                  <c:v>44800</c:v>
                </c:pt>
                <c:pt idx="2904">
                  <c:v>44807</c:v>
                </c:pt>
                <c:pt idx="2905">
                  <c:v>44814</c:v>
                </c:pt>
                <c:pt idx="2906">
                  <c:v>44821</c:v>
                </c:pt>
                <c:pt idx="2907">
                  <c:v>44828</c:v>
                </c:pt>
                <c:pt idx="2908">
                  <c:v>44835</c:v>
                </c:pt>
                <c:pt idx="2909">
                  <c:v>44842</c:v>
                </c:pt>
                <c:pt idx="2910">
                  <c:v>44849</c:v>
                </c:pt>
                <c:pt idx="2911">
                  <c:v>44856</c:v>
                </c:pt>
                <c:pt idx="2912">
                  <c:v>44863</c:v>
                </c:pt>
                <c:pt idx="2913">
                  <c:v>44870</c:v>
                </c:pt>
                <c:pt idx="2914">
                  <c:v>44877</c:v>
                </c:pt>
                <c:pt idx="2915">
                  <c:v>44884</c:v>
                </c:pt>
                <c:pt idx="2916">
                  <c:v>44891</c:v>
                </c:pt>
                <c:pt idx="2917">
                  <c:v>44898</c:v>
                </c:pt>
                <c:pt idx="2918">
                  <c:v>44905</c:v>
                </c:pt>
                <c:pt idx="2919">
                  <c:v>44912</c:v>
                </c:pt>
                <c:pt idx="2920">
                  <c:v>44919</c:v>
                </c:pt>
                <c:pt idx="2921">
                  <c:v>44926</c:v>
                </c:pt>
                <c:pt idx="2922">
                  <c:v>44933</c:v>
                </c:pt>
                <c:pt idx="2923">
                  <c:v>44940</c:v>
                </c:pt>
                <c:pt idx="2924">
                  <c:v>44947</c:v>
                </c:pt>
                <c:pt idx="2925">
                  <c:v>44954</c:v>
                </c:pt>
                <c:pt idx="2926">
                  <c:v>44961</c:v>
                </c:pt>
                <c:pt idx="2927">
                  <c:v>44968</c:v>
                </c:pt>
                <c:pt idx="2928">
                  <c:v>44975</c:v>
                </c:pt>
                <c:pt idx="2929">
                  <c:v>44982</c:v>
                </c:pt>
                <c:pt idx="2930">
                  <c:v>44989</c:v>
                </c:pt>
                <c:pt idx="2931">
                  <c:v>44996</c:v>
                </c:pt>
                <c:pt idx="2932">
                  <c:v>45003</c:v>
                </c:pt>
                <c:pt idx="2933">
                  <c:v>45010</c:v>
                </c:pt>
                <c:pt idx="2934">
                  <c:v>45017</c:v>
                </c:pt>
                <c:pt idx="2935">
                  <c:v>45024</c:v>
                </c:pt>
                <c:pt idx="2936">
                  <c:v>45031</c:v>
                </c:pt>
                <c:pt idx="2937">
                  <c:v>45038</c:v>
                </c:pt>
                <c:pt idx="2938">
                  <c:v>45045</c:v>
                </c:pt>
                <c:pt idx="2939">
                  <c:v>45052</c:v>
                </c:pt>
                <c:pt idx="2940">
                  <c:v>45059</c:v>
                </c:pt>
                <c:pt idx="2941">
                  <c:v>45066</c:v>
                </c:pt>
                <c:pt idx="2942">
                  <c:v>45073</c:v>
                </c:pt>
                <c:pt idx="2943">
                  <c:v>45080</c:v>
                </c:pt>
                <c:pt idx="2944">
                  <c:v>45087</c:v>
                </c:pt>
                <c:pt idx="2945">
                  <c:v>45094</c:v>
                </c:pt>
                <c:pt idx="2946">
                  <c:v>45101</c:v>
                </c:pt>
                <c:pt idx="2947">
                  <c:v>45108</c:v>
                </c:pt>
                <c:pt idx="2948">
                  <c:v>45115</c:v>
                </c:pt>
                <c:pt idx="2949">
                  <c:v>45122</c:v>
                </c:pt>
                <c:pt idx="2950">
                  <c:v>45129</c:v>
                </c:pt>
                <c:pt idx="2951">
                  <c:v>45136</c:v>
                </c:pt>
                <c:pt idx="2952">
                  <c:v>45143</c:v>
                </c:pt>
                <c:pt idx="2953">
                  <c:v>45150</c:v>
                </c:pt>
                <c:pt idx="2954">
                  <c:v>45157</c:v>
                </c:pt>
                <c:pt idx="2955">
                  <c:v>45164</c:v>
                </c:pt>
                <c:pt idx="2956">
                  <c:v>45171</c:v>
                </c:pt>
                <c:pt idx="2957">
                  <c:v>45178</c:v>
                </c:pt>
                <c:pt idx="2958">
                  <c:v>45185</c:v>
                </c:pt>
                <c:pt idx="2959">
                  <c:v>45192</c:v>
                </c:pt>
                <c:pt idx="2960">
                  <c:v>45199</c:v>
                </c:pt>
                <c:pt idx="2961">
                  <c:v>45206</c:v>
                </c:pt>
                <c:pt idx="2962">
                  <c:v>45213</c:v>
                </c:pt>
                <c:pt idx="2963">
                  <c:v>45220</c:v>
                </c:pt>
                <c:pt idx="2964">
                  <c:v>45227</c:v>
                </c:pt>
                <c:pt idx="2965">
                  <c:v>45234</c:v>
                </c:pt>
                <c:pt idx="2966">
                  <c:v>45241</c:v>
                </c:pt>
                <c:pt idx="2967">
                  <c:v>45248</c:v>
                </c:pt>
                <c:pt idx="2968">
                  <c:v>45255</c:v>
                </c:pt>
                <c:pt idx="2969">
                  <c:v>45262</c:v>
                </c:pt>
                <c:pt idx="2970">
                  <c:v>45269</c:v>
                </c:pt>
                <c:pt idx="2971">
                  <c:v>45276</c:v>
                </c:pt>
                <c:pt idx="2972">
                  <c:v>45283</c:v>
                </c:pt>
                <c:pt idx="2973">
                  <c:v>45290</c:v>
                </c:pt>
                <c:pt idx="2974">
                  <c:v>45297</c:v>
                </c:pt>
                <c:pt idx="2975">
                  <c:v>45304</c:v>
                </c:pt>
                <c:pt idx="2976">
                  <c:v>45311</c:v>
                </c:pt>
                <c:pt idx="2977">
                  <c:v>45318</c:v>
                </c:pt>
                <c:pt idx="2978">
                  <c:v>45325</c:v>
                </c:pt>
                <c:pt idx="2979">
                  <c:v>45332</c:v>
                </c:pt>
                <c:pt idx="2980">
                  <c:v>45339</c:v>
                </c:pt>
                <c:pt idx="2981">
                  <c:v>45346</c:v>
                </c:pt>
                <c:pt idx="2982">
                  <c:v>45353</c:v>
                </c:pt>
                <c:pt idx="2983">
                  <c:v>45360</c:v>
                </c:pt>
                <c:pt idx="2984">
                  <c:v>45367</c:v>
                </c:pt>
                <c:pt idx="2985">
                  <c:v>45374</c:v>
                </c:pt>
                <c:pt idx="2986">
                  <c:v>45381</c:v>
                </c:pt>
                <c:pt idx="2987">
                  <c:v>45388</c:v>
                </c:pt>
                <c:pt idx="2988">
                  <c:v>45395</c:v>
                </c:pt>
                <c:pt idx="2989">
                  <c:v>45402</c:v>
                </c:pt>
                <c:pt idx="2990">
                  <c:v>45409</c:v>
                </c:pt>
                <c:pt idx="2991">
                  <c:v>45416</c:v>
                </c:pt>
                <c:pt idx="2992">
                  <c:v>45423</c:v>
                </c:pt>
                <c:pt idx="2993">
                  <c:v>45430</c:v>
                </c:pt>
                <c:pt idx="2994">
                  <c:v>45437</c:v>
                </c:pt>
                <c:pt idx="2995">
                  <c:v>45444</c:v>
                </c:pt>
                <c:pt idx="2996">
                  <c:v>45451</c:v>
                </c:pt>
                <c:pt idx="2997">
                  <c:v>45458</c:v>
                </c:pt>
                <c:pt idx="2998">
                  <c:v>45465</c:v>
                </c:pt>
                <c:pt idx="2999">
                  <c:v>45472</c:v>
                </c:pt>
                <c:pt idx="3000">
                  <c:v>45479</c:v>
                </c:pt>
                <c:pt idx="3001">
                  <c:v>45486</c:v>
                </c:pt>
                <c:pt idx="3002">
                  <c:v>45493</c:v>
                </c:pt>
                <c:pt idx="3003">
                  <c:v>45500</c:v>
                </c:pt>
                <c:pt idx="3004">
                  <c:v>45507</c:v>
                </c:pt>
                <c:pt idx="3005">
                  <c:v>45514</c:v>
                </c:pt>
                <c:pt idx="3006">
                  <c:v>45521</c:v>
                </c:pt>
                <c:pt idx="3007">
                  <c:v>45528</c:v>
                </c:pt>
                <c:pt idx="3008">
                  <c:v>45535</c:v>
                </c:pt>
                <c:pt idx="3009">
                  <c:v>45542</c:v>
                </c:pt>
                <c:pt idx="3010">
                  <c:v>45549</c:v>
                </c:pt>
                <c:pt idx="3011">
                  <c:v>45556</c:v>
                </c:pt>
                <c:pt idx="3012">
                  <c:v>45563</c:v>
                </c:pt>
                <c:pt idx="3013">
                  <c:v>45570</c:v>
                </c:pt>
                <c:pt idx="3014">
                  <c:v>45577</c:v>
                </c:pt>
                <c:pt idx="3015">
                  <c:v>45584</c:v>
                </c:pt>
                <c:pt idx="3016">
                  <c:v>45591</c:v>
                </c:pt>
                <c:pt idx="3017">
                  <c:v>45598</c:v>
                </c:pt>
                <c:pt idx="3018">
                  <c:v>45605</c:v>
                </c:pt>
                <c:pt idx="3019">
                  <c:v>45612</c:v>
                </c:pt>
                <c:pt idx="3020">
                  <c:v>45619</c:v>
                </c:pt>
                <c:pt idx="3021">
                  <c:v>45626</c:v>
                </c:pt>
                <c:pt idx="3022">
                  <c:v>45633</c:v>
                </c:pt>
                <c:pt idx="3023">
                  <c:v>45640</c:v>
                </c:pt>
                <c:pt idx="3024">
                  <c:v>45647</c:v>
                </c:pt>
                <c:pt idx="3025">
                  <c:v>45654</c:v>
                </c:pt>
                <c:pt idx="3026">
                  <c:v>45661</c:v>
                </c:pt>
                <c:pt idx="3027">
                  <c:v>45668</c:v>
                </c:pt>
                <c:pt idx="3028">
                  <c:v>45675</c:v>
                </c:pt>
                <c:pt idx="3029">
                  <c:v>45682</c:v>
                </c:pt>
                <c:pt idx="3030">
                  <c:v>45689</c:v>
                </c:pt>
                <c:pt idx="3031">
                  <c:v>45696</c:v>
                </c:pt>
                <c:pt idx="3032">
                  <c:v>45703</c:v>
                </c:pt>
                <c:pt idx="3033">
                  <c:v>45710</c:v>
                </c:pt>
                <c:pt idx="3034">
                  <c:v>45717</c:v>
                </c:pt>
                <c:pt idx="3035">
                  <c:v>45724</c:v>
                </c:pt>
                <c:pt idx="3036">
                  <c:v>45731</c:v>
                </c:pt>
                <c:pt idx="3037">
                  <c:v>45738</c:v>
                </c:pt>
                <c:pt idx="3038">
                  <c:v>45745</c:v>
                </c:pt>
                <c:pt idx="3039">
                  <c:v>45752</c:v>
                </c:pt>
                <c:pt idx="3040">
                  <c:v>45759</c:v>
                </c:pt>
                <c:pt idx="3041">
                  <c:v>45766</c:v>
                </c:pt>
                <c:pt idx="3042">
                  <c:v>45773</c:v>
                </c:pt>
                <c:pt idx="3043">
                  <c:v>45780</c:v>
                </c:pt>
                <c:pt idx="3044">
                  <c:v>45787</c:v>
                </c:pt>
                <c:pt idx="3045">
                  <c:v>45794</c:v>
                </c:pt>
                <c:pt idx="3046">
                  <c:v>45801</c:v>
                </c:pt>
                <c:pt idx="3047">
                  <c:v>45808</c:v>
                </c:pt>
                <c:pt idx="3048">
                  <c:v>45815</c:v>
                </c:pt>
                <c:pt idx="3049">
                  <c:v>45822</c:v>
                </c:pt>
                <c:pt idx="3050">
                  <c:v>45829</c:v>
                </c:pt>
                <c:pt idx="3051">
                  <c:v>45836</c:v>
                </c:pt>
                <c:pt idx="3052">
                  <c:v>45843</c:v>
                </c:pt>
                <c:pt idx="3053">
                  <c:v>45850</c:v>
                </c:pt>
                <c:pt idx="3054">
                  <c:v>45857</c:v>
                </c:pt>
                <c:pt idx="3055">
                  <c:v>45864</c:v>
                </c:pt>
                <c:pt idx="3056">
                  <c:v>45871</c:v>
                </c:pt>
                <c:pt idx="3057">
                  <c:v>45878</c:v>
                </c:pt>
                <c:pt idx="3058">
                  <c:v>45885</c:v>
                </c:pt>
                <c:pt idx="3059">
                  <c:v>45892</c:v>
                </c:pt>
                <c:pt idx="3060">
                  <c:v>45899</c:v>
                </c:pt>
                <c:pt idx="3061">
                  <c:v>45906</c:v>
                </c:pt>
                <c:pt idx="3062">
                  <c:v>45913</c:v>
                </c:pt>
                <c:pt idx="3063">
                  <c:v>45920</c:v>
                </c:pt>
                <c:pt idx="3064">
                  <c:v>45927</c:v>
                </c:pt>
                <c:pt idx="3065">
                  <c:v>45934</c:v>
                </c:pt>
                <c:pt idx="3066">
                  <c:v>45941</c:v>
                </c:pt>
                <c:pt idx="3067">
                  <c:v>45948</c:v>
                </c:pt>
                <c:pt idx="3068">
                  <c:v>45955</c:v>
                </c:pt>
                <c:pt idx="3069">
                  <c:v>45962</c:v>
                </c:pt>
                <c:pt idx="3070">
                  <c:v>45969</c:v>
                </c:pt>
                <c:pt idx="3071">
                  <c:v>45976</c:v>
                </c:pt>
                <c:pt idx="3072">
                  <c:v>45983</c:v>
                </c:pt>
                <c:pt idx="3073">
                  <c:v>45990</c:v>
                </c:pt>
                <c:pt idx="3074">
                  <c:v>45997</c:v>
                </c:pt>
                <c:pt idx="3075">
                  <c:v>46004</c:v>
                </c:pt>
                <c:pt idx="3076">
                  <c:v>46011</c:v>
                </c:pt>
                <c:pt idx="3077">
                  <c:v>46018</c:v>
                </c:pt>
                <c:pt idx="3078">
                  <c:v>46025</c:v>
                </c:pt>
                <c:pt idx="3079">
                  <c:v>46032</c:v>
                </c:pt>
                <c:pt idx="3080">
                  <c:v>46039</c:v>
                </c:pt>
                <c:pt idx="3081">
                  <c:v>46046</c:v>
                </c:pt>
                <c:pt idx="3082">
                  <c:v>46053</c:v>
                </c:pt>
                <c:pt idx="3083">
                  <c:v>46060</c:v>
                </c:pt>
                <c:pt idx="3084">
                  <c:v>46067</c:v>
                </c:pt>
                <c:pt idx="3085">
                  <c:v>46074</c:v>
                </c:pt>
                <c:pt idx="3086">
                  <c:v>46081</c:v>
                </c:pt>
                <c:pt idx="3087">
                  <c:v>46088</c:v>
                </c:pt>
                <c:pt idx="3088">
                  <c:v>46095</c:v>
                </c:pt>
                <c:pt idx="3089">
                  <c:v>46102</c:v>
                </c:pt>
                <c:pt idx="3090">
                  <c:v>46109</c:v>
                </c:pt>
                <c:pt idx="3091">
                  <c:v>46116</c:v>
                </c:pt>
                <c:pt idx="3092">
                  <c:v>46123</c:v>
                </c:pt>
                <c:pt idx="3093">
                  <c:v>46130</c:v>
                </c:pt>
                <c:pt idx="3094">
                  <c:v>46137</c:v>
                </c:pt>
                <c:pt idx="3095">
                  <c:v>46144</c:v>
                </c:pt>
                <c:pt idx="3096">
                  <c:v>46151</c:v>
                </c:pt>
                <c:pt idx="3097">
                  <c:v>46158</c:v>
                </c:pt>
                <c:pt idx="3098">
                  <c:v>46165</c:v>
                </c:pt>
                <c:pt idx="3099">
                  <c:v>46172</c:v>
                </c:pt>
                <c:pt idx="3100">
                  <c:v>46179</c:v>
                </c:pt>
                <c:pt idx="3101">
                  <c:v>46186</c:v>
                </c:pt>
                <c:pt idx="3102">
                  <c:v>46193</c:v>
                </c:pt>
                <c:pt idx="3103">
                  <c:v>46200</c:v>
                </c:pt>
                <c:pt idx="3104">
                  <c:v>46207</c:v>
                </c:pt>
                <c:pt idx="3105">
                  <c:v>46214</c:v>
                </c:pt>
                <c:pt idx="3106">
                  <c:v>46221</c:v>
                </c:pt>
                <c:pt idx="3107">
                  <c:v>46228</c:v>
                </c:pt>
                <c:pt idx="3108">
                  <c:v>46235</c:v>
                </c:pt>
              </c:numCache>
            </c:numRef>
          </c:cat>
          <c:val>
            <c:numRef>
              <c:f>CLAIMS!$B$5:$B$3113</c:f>
              <c:numCache>
                <c:formatCode>#,##0</c:formatCode>
                <c:ptCount val="3109"/>
                <c:pt idx="0">
                  <c:v>208000</c:v>
                </c:pt>
                <c:pt idx="1">
                  <c:v>207000</c:v>
                </c:pt>
                <c:pt idx="2">
                  <c:v>217000</c:v>
                </c:pt>
                <c:pt idx="3">
                  <c:v>204000</c:v>
                </c:pt>
                <c:pt idx="4">
                  <c:v>216000</c:v>
                </c:pt>
                <c:pt idx="5">
                  <c:v>229000</c:v>
                </c:pt>
                <c:pt idx="6">
                  <c:v>229000</c:v>
                </c:pt>
                <c:pt idx="7">
                  <c:v>242000</c:v>
                </c:pt>
                <c:pt idx="8">
                  <c:v>310000</c:v>
                </c:pt>
                <c:pt idx="9">
                  <c:v>241000</c:v>
                </c:pt>
                <c:pt idx="10">
                  <c:v>245000</c:v>
                </c:pt>
                <c:pt idx="11">
                  <c:v>247000</c:v>
                </c:pt>
                <c:pt idx="12">
                  <c:v>259000</c:v>
                </c:pt>
                <c:pt idx="13">
                  <c:v>257000</c:v>
                </c:pt>
                <c:pt idx="14">
                  <c:v>299000</c:v>
                </c:pt>
                <c:pt idx="15">
                  <c:v>245000</c:v>
                </c:pt>
                <c:pt idx="16">
                  <c:v>255000</c:v>
                </c:pt>
                <c:pt idx="17">
                  <c:v>254000</c:v>
                </c:pt>
                <c:pt idx="18">
                  <c:v>231000</c:v>
                </c:pt>
                <c:pt idx="19">
                  <c:v>230000</c:v>
                </c:pt>
                <c:pt idx="20">
                  <c:v>228000</c:v>
                </c:pt>
                <c:pt idx="21">
                  <c:v>248000</c:v>
                </c:pt>
                <c:pt idx="22">
                  <c:v>238000</c:v>
                </c:pt>
                <c:pt idx="23">
                  <c:v>224000</c:v>
                </c:pt>
                <c:pt idx="24">
                  <c:v>218000</c:v>
                </c:pt>
                <c:pt idx="25">
                  <c:v>209000</c:v>
                </c:pt>
                <c:pt idx="26">
                  <c:v>240000</c:v>
                </c:pt>
                <c:pt idx="27">
                  <c:v>241000</c:v>
                </c:pt>
                <c:pt idx="28">
                  <c:v>240000</c:v>
                </c:pt>
                <c:pt idx="29">
                  <c:v>209000</c:v>
                </c:pt>
                <c:pt idx="30">
                  <c:v>221000</c:v>
                </c:pt>
                <c:pt idx="31">
                  <c:v>202000</c:v>
                </c:pt>
                <c:pt idx="32">
                  <c:v>215000</c:v>
                </c:pt>
                <c:pt idx="33">
                  <c:v>213000</c:v>
                </c:pt>
                <c:pt idx="34">
                  <c:v>218000</c:v>
                </c:pt>
                <c:pt idx="35">
                  <c:v>231000</c:v>
                </c:pt>
                <c:pt idx="36">
                  <c:v>220000</c:v>
                </c:pt>
                <c:pt idx="37">
                  <c:v>209000</c:v>
                </c:pt>
                <c:pt idx="38">
                  <c:v>204000</c:v>
                </c:pt>
                <c:pt idx="39">
                  <c:v>231000</c:v>
                </c:pt>
                <c:pt idx="40">
                  <c:v>206000</c:v>
                </c:pt>
                <c:pt idx="41">
                  <c:v>223000</c:v>
                </c:pt>
                <c:pt idx="42">
                  <c:v>207000</c:v>
                </c:pt>
                <c:pt idx="43">
                  <c:v>222000</c:v>
                </c:pt>
                <c:pt idx="44">
                  <c:v>214000</c:v>
                </c:pt>
                <c:pt idx="45">
                  <c:v>198000</c:v>
                </c:pt>
                <c:pt idx="46">
                  <c:v>191000</c:v>
                </c:pt>
                <c:pt idx="47">
                  <c:v>196000</c:v>
                </c:pt>
                <c:pt idx="48">
                  <c:v>221000</c:v>
                </c:pt>
                <c:pt idx="49">
                  <c:v>204000</c:v>
                </c:pt>
                <c:pt idx="50">
                  <c:v>219000</c:v>
                </c:pt>
                <c:pt idx="51">
                  <c:v>216000</c:v>
                </c:pt>
                <c:pt idx="52">
                  <c:v>222000</c:v>
                </c:pt>
                <c:pt idx="53">
                  <c:v>222000</c:v>
                </c:pt>
                <c:pt idx="54">
                  <c:v>221000</c:v>
                </c:pt>
                <c:pt idx="55">
                  <c:v>198000</c:v>
                </c:pt>
                <c:pt idx="56">
                  <c:v>244000</c:v>
                </c:pt>
                <c:pt idx="57">
                  <c:v>210000</c:v>
                </c:pt>
                <c:pt idx="58">
                  <c:v>196000</c:v>
                </c:pt>
                <c:pt idx="59">
                  <c:v>193000</c:v>
                </c:pt>
                <c:pt idx="60">
                  <c:v>190000</c:v>
                </c:pt>
                <c:pt idx="61">
                  <c:v>204000</c:v>
                </c:pt>
                <c:pt idx="62">
                  <c:v>190000</c:v>
                </c:pt>
                <c:pt idx="63">
                  <c:v>200000</c:v>
                </c:pt>
                <c:pt idx="64">
                  <c:v>192000</c:v>
                </c:pt>
                <c:pt idx="65">
                  <c:v>191000</c:v>
                </c:pt>
                <c:pt idx="66">
                  <c:v>171000</c:v>
                </c:pt>
                <c:pt idx="67">
                  <c:v>183000</c:v>
                </c:pt>
                <c:pt idx="68">
                  <c:v>251000</c:v>
                </c:pt>
                <c:pt idx="69">
                  <c:v>209000</c:v>
                </c:pt>
                <c:pt idx="70">
                  <c:v>194000</c:v>
                </c:pt>
                <c:pt idx="71">
                  <c:v>199000</c:v>
                </c:pt>
                <c:pt idx="72">
                  <c:v>194000</c:v>
                </c:pt>
                <c:pt idx="73">
                  <c:v>199000</c:v>
                </c:pt>
                <c:pt idx="74">
                  <c:v>192000</c:v>
                </c:pt>
                <c:pt idx="75">
                  <c:v>194000</c:v>
                </c:pt>
                <c:pt idx="76">
                  <c:v>189000</c:v>
                </c:pt>
                <c:pt idx="77">
                  <c:v>194000</c:v>
                </c:pt>
                <c:pt idx="78">
                  <c:v>214000</c:v>
                </c:pt>
                <c:pt idx="79">
                  <c:v>186000</c:v>
                </c:pt>
                <c:pt idx="80">
                  <c:v>180000</c:v>
                </c:pt>
                <c:pt idx="81">
                  <c:v>205000</c:v>
                </c:pt>
                <c:pt idx="82">
                  <c:v>206000</c:v>
                </c:pt>
                <c:pt idx="83">
                  <c:v>218000</c:v>
                </c:pt>
                <c:pt idx="84">
                  <c:v>192000</c:v>
                </c:pt>
                <c:pt idx="85">
                  <c:v>193000</c:v>
                </c:pt>
                <c:pt idx="86">
                  <c:v>188000</c:v>
                </c:pt>
                <c:pt idx="87">
                  <c:v>189000</c:v>
                </c:pt>
                <c:pt idx="88">
                  <c:v>195000</c:v>
                </c:pt>
                <c:pt idx="89">
                  <c:v>191000</c:v>
                </c:pt>
                <c:pt idx="90">
                  <c:v>189000</c:v>
                </c:pt>
                <c:pt idx="91">
                  <c:v>185000</c:v>
                </c:pt>
                <c:pt idx="92">
                  <c:v>186000</c:v>
                </c:pt>
                <c:pt idx="93">
                  <c:v>191000</c:v>
                </c:pt>
                <c:pt idx="94">
                  <c:v>182000</c:v>
                </c:pt>
                <c:pt idx="95">
                  <c:v>181000</c:v>
                </c:pt>
                <c:pt idx="96">
                  <c:v>183000</c:v>
                </c:pt>
                <c:pt idx="97">
                  <c:v>192000</c:v>
                </c:pt>
                <c:pt idx="98">
                  <c:v>199000</c:v>
                </c:pt>
                <c:pt idx="99">
                  <c:v>162000</c:v>
                </c:pt>
                <c:pt idx="100">
                  <c:v>188000</c:v>
                </c:pt>
                <c:pt idx="101">
                  <c:v>195000</c:v>
                </c:pt>
                <c:pt idx="102">
                  <c:v>192000</c:v>
                </c:pt>
                <c:pt idx="103">
                  <c:v>223000</c:v>
                </c:pt>
                <c:pt idx="104">
                  <c:v>190000</c:v>
                </c:pt>
                <c:pt idx="105">
                  <c:v>191000</c:v>
                </c:pt>
                <c:pt idx="106">
                  <c:v>192000</c:v>
                </c:pt>
                <c:pt idx="107">
                  <c:v>193000</c:v>
                </c:pt>
                <c:pt idx="108">
                  <c:v>203000</c:v>
                </c:pt>
                <c:pt idx="109">
                  <c:v>197000</c:v>
                </c:pt>
                <c:pt idx="110">
                  <c:v>192000</c:v>
                </c:pt>
                <c:pt idx="111">
                  <c:v>192000</c:v>
                </c:pt>
                <c:pt idx="112">
                  <c:v>201000</c:v>
                </c:pt>
                <c:pt idx="113">
                  <c:v>191000</c:v>
                </c:pt>
                <c:pt idx="114">
                  <c:v>189000</c:v>
                </c:pt>
                <c:pt idx="115">
                  <c:v>181000</c:v>
                </c:pt>
                <c:pt idx="116">
                  <c:v>183000</c:v>
                </c:pt>
                <c:pt idx="117">
                  <c:v>182000</c:v>
                </c:pt>
                <c:pt idx="118">
                  <c:v>190000</c:v>
                </c:pt>
                <c:pt idx="119">
                  <c:v>187000</c:v>
                </c:pt>
                <c:pt idx="120">
                  <c:v>177000</c:v>
                </c:pt>
                <c:pt idx="121">
                  <c:v>177000</c:v>
                </c:pt>
                <c:pt idx="122">
                  <c:v>183000</c:v>
                </c:pt>
                <c:pt idx="123">
                  <c:v>179000</c:v>
                </c:pt>
                <c:pt idx="124">
                  <c:v>180000</c:v>
                </c:pt>
                <c:pt idx="125">
                  <c:v>187000</c:v>
                </c:pt>
                <c:pt idx="126">
                  <c:v>192000</c:v>
                </c:pt>
                <c:pt idx="127">
                  <c:v>182000</c:v>
                </c:pt>
                <c:pt idx="128">
                  <c:v>191000</c:v>
                </c:pt>
                <c:pt idx="129">
                  <c:v>203000</c:v>
                </c:pt>
                <c:pt idx="130">
                  <c:v>227000</c:v>
                </c:pt>
                <c:pt idx="131">
                  <c:v>210000</c:v>
                </c:pt>
                <c:pt idx="132">
                  <c:v>206000</c:v>
                </c:pt>
                <c:pt idx="133">
                  <c:v>192000</c:v>
                </c:pt>
                <c:pt idx="134">
                  <c:v>196000</c:v>
                </c:pt>
                <c:pt idx="135">
                  <c:v>203000</c:v>
                </c:pt>
                <c:pt idx="136">
                  <c:v>199000</c:v>
                </c:pt>
                <c:pt idx="137">
                  <c:v>199000</c:v>
                </c:pt>
                <c:pt idx="138">
                  <c:v>195000</c:v>
                </c:pt>
                <c:pt idx="139">
                  <c:v>182000</c:v>
                </c:pt>
                <c:pt idx="140">
                  <c:v>209000</c:v>
                </c:pt>
                <c:pt idx="141">
                  <c:v>195000</c:v>
                </c:pt>
                <c:pt idx="142">
                  <c:v>193000</c:v>
                </c:pt>
                <c:pt idx="143">
                  <c:v>193000</c:v>
                </c:pt>
                <c:pt idx="144">
                  <c:v>200000</c:v>
                </c:pt>
                <c:pt idx="145">
                  <c:v>199000</c:v>
                </c:pt>
                <c:pt idx="146">
                  <c:v>205000</c:v>
                </c:pt>
                <c:pt idx="147">
                  <c:v>198000</c:v>
                </c:pt>
                <c:pt idx="148">
                  <c:v>211000</c:v>
                </c:pt>
                <c:pt idx="149">
                  <c:v>197000</c:v>
                </c:pt>
                <c:pt idx="150">
                  <c:v>217000</c:v>
                </c:pt>
                <c:pt idx="151">
                  <c:v>202000</c:v>
                </c:pt>
                <c:pt idx="152">
                  <c:v>202000</c:v>
                </c:pt>
                <c:pt idx="153">
                  <c:v>222000</c:v>
                </c:pt>
                <c:pt idx="154">
                  <c:v>232000</c:v>
                </c:pt>
                <c:pt idx="155">
                  <c:v>223000</c:v>
                </c:pt>
                <c:pt idx="156">
                  <c:v>230000</c:v>
                </c:pt>
                <c:pt idx="157">
                  <c:v>242000</c:v>
                </c:pt>
                <c:pt idx="158">
                  <c:v>268000</c:v>
                </c:pt>
                <c:pt idx="159">
                  <c:v>256000</c:v>
                </c:pt>
                <c:pt idx="160">
                  <c:v>239000</c:v>
                </c:pt>
                <c:pt idx="161">
                  <c:v>256000</c:v>
                </c:pt>
                <c:pt idx="162">
                  <c:v>265000</c:v>
                </c:pt>
                <c:pt idx="163">
                  <c:v>271000</c:v>
                </c:pt>
                <c:pt idx="164">
                  <c:v>242000</c:v>
                </c:pt>
                <c:pt idx="165">
                  <c:v>262000</c:v>
                </c:pt>
                <c:pt idx="166">
                  <c:v>271000</c:v>
                </c:pt>
                <c:pt idx="167">
                  <c:v>264000</c:v>
                </c:pt>
                <c:pt idx="168">
                  <c:v>276000</c:v>
                </c:pt>
                <c:pt idx="169">
                  <c:v>273000</c:v>
                </c:pt>
                <c:pt idx="170">
                  <c:v>305000</c:v>
                </c:pt>
                <c:pt idx="171">
                  <c:v>374000</c:v>
                </c:pt>
                <c:pt idx="172">
                  <c:v>349000</c:v>
                </c:pt>
                <c:pt idx="173">
                  <c:v>334000</c:v>
                </c:pt>
                <c:pt idx="174">
                  <c:v>318000</c:v>
                </c:pt>
                <c:pt idx="175">
                  <c:v>303000</c:v>
                </c:pt>
                <c:pt idx="176">
                  <c:v>296000</c:v>
                </c:pt>
                <c:pt idx="177">
                  <c:v>301000</c:v>
                </c:pt>
                <c:pt idx="178">
                  <c:v>301000</c:v>
                </c:pt>
                <c:pt idx="179">
                  <c:v>298000</c:v>
                </c:pt>
                <c:pt idx="180">
                  <c:v>296000</c:v>
                </c:pt>
                <c:pt idx="181">
                  <c:v>291000</c:v>
                </c:pt>
                <c:pt idx="182">
                  <c:v>277000</c:v>
                </c:pt>
                <c:pt idx="183">
                  <c:v>288000</c:v>
                </c:pt>
                <c:pt idx="184">
                  <c:v>294000</c:v>
                </c:pt>
                <c:pt idx="185">
                  <c:v>287000</c:v>
                </c:pt>
                <c:pt idx="186">
                  <c:v>261000</c:v>
                </c:pt>
                <c:pt idx="187">
                  <c:v>266000</c:v>
                </c:pt>
                <c:pt idx="188">
                  <c:v>300000</c:v>
                </c:pt>
                <c:pt idx="189">
                  <c:v>303000</c:v>
                </c:pt>
                <c:pt idx="190">
                  <c:v>297000</c:v>
                </c:pt>
                <c:pt idx="191">
                  <c:v>324000</c:v>
                </c:pt>
                <c:pt idx="192">
                  <c:v>292000</c:v>
                </c:pt>
                <c:pt idx="193">
                  <c:v>325000</c:v>
                </c:pt>
                <c:pt idx="194">
                  <c:v>333000</c:v>
                </c:pt>
                <c:pt idx="195">
                  <c:v>350000</c:v>
                </c:pt>
                <c:pt idx="196">
                  <c:v>327000</c:v>
                </c:pt>
                <c:pt idx="197">
                  <c:v>334000</c:v>
                </c:pt>
                <c:pt idx="198">
                  <c:v>330000</c:v>
                </c:pt>
                <c:pt idx="199">
                  <c:v>327000</c:v>
                </c:pt>
                <c:pt idx="200">
                  <c:v>336000</c:v>
                </c:pt>
                <c:pt idx="201">
                  <c:v>314000</c:v>
                </c:pt>
                <c:pt idx="202">
                  <c:v>314000</c:v>
                </c:pt>
                <c:pt idx="203">
                  <c:v>337000</c:v>
                </c:pt>
                <c:pt idx="204">
                  <c:v>308000</c:v>
                </c:pt>
                <c:pt idx="205">
                  <c:v>306000</c:v>
                </c:pt>
                <c:pt idx="206">
                  <c:v>289000</c:v>
                </c:pt>
                <c:pt idx="207">
                  <c:v>321000</c:v>
                </c:pt>
                <c:pt idx="208">
                  <c:v>303000</c:v>
                </c:pt>
                <c:pt idx="209">
                  <c:v>288000</c:v>
                </c:pt>
                <c:pt idx="210">
                  <c:v>299000</c:v>
                </c:pt>
                <c:pt idx="211">
                  <c:v>312000</c:v>
                </c:pt>
                <c:pt idx="212">
                  <c:v>292000</c:v>
                </c:pt>
                <c:pt idx="213">
                  <c:v>296000</c:v>
                </c:pt>
                <c:pt idx="214">
                  <c:v>282000</c:v>
                </c:pt>
                <c:pt idx="215">
                  <c:v>268000</c:v>
                </c:pt>
                <c:pt idx="216">
                  <c:v>290000</c:v>
                </c:pt>
                <c:pt idx="217">
                  <c:v>297000</c:v>
                </c:pt>
                <c:pt idx="218">
                  <c:v>287000</c:v>
                </c:pt>
                <c:pt idx="219">
                  <c:v>291000</c:v>
                </c:pt>
                <c:pt idx="220">
                  <c:v>300000</c:v>
                </c:pt>
                <c:pt idx="221">
                  <c:v>299000</c:v>
                </c:pt>
                <c:pt idx="222">
                  <c:v>279000</c:v>
                </c:pt>
                <c:pt idx="223">
                  <c:v>284000</c:v>
                </c:pt>
                <c:pt idx="224">
                  <c:v>288000</c:v>
                </c:pt>
                <c:pt idx="225">
                  <c:v>290000</c:v>
                </c:pt>
                <c:pt idx="226">
                  <c:v>293000</c:v>
                </c:pt>
                <c:pt idx="227">
                  <c:v>284000</c:v>
                </c:pt>
                <c:pt idx="228">
                  <c:v>295000</c:v>
                </c:pt>
                <c:pt idx="229">
                  <c:v>299000</c:v>
                </c:pt>
                <c:pt idx="230">
                  <c:v>301000</c:v>
                </c:pt>
                <c:pt idx="231">
                  <c:v>295000</c:v>
                </c:pt>
                <c:pt idx="232">
                  <c:v>299000</c:v>
                </c:pt>
                <c:pt idx="233">
                  <c:v>291000</c:v>
                </c:pt>
                <c:pt idx="234">
                  <c:v>277000</c:v>
                </c:pt>
                <c:pt idx="235">
                  <c:v>264000</c:v>
                </c:pt>
                <c:pt idx="236">
                  <c:v>313000</c:v>
                </c:pt>
                <c:pt idx="237">
                  <c:v>304000</c:v>
                </c:pt>
                <c:pt idx="238">
                  <c:v>308000</c:v>
                </c:pt>
                <c:pt idx="239">
                  <c:v>349000</c:v>
                </c:pt>
                <c:pt idx="240">
                  <c:v>325000</c:v>
                </c:pt>
                <c:pt idx="241">
                  <c:v>320000</c:v>
                </c:pt>
                <c:pt idx="242">
                  <c:v>307000</c:v>
                </c:pt>
                <c:pt idx="243">
                  <c:v>359000</c:v>
                </c:pt>
                <c:pt idx="244">
                  <c:v>312000</c:v>
                </c:pt>
                <c:pt idx="245">
                  <c:v>302000</c:v>
                </c:pt>
                <c:pt idx="246">
                  <c:v>308000</c:v>
                </c:pt>
                <c:pt idx="247">
                  <c:v>299000</c:v>
                </c:pt>
                <c:pt idx="248">
                  <c:v>313000</c:v>
                </c:pt>
                <c:pt idx="249">
                  <c:v>299000</c:v>
                </c:pt>
                <c:pt idx="250">
                  <c:v>294000</c:v>
                </c:pt>
                <c:pt idx="251">
                  <c:v>283000</c:v>
                </c:pt>
                <c:pt idx="252">
                  <c:v>301000</c:v>
                </c:pt>
                <c:pt idx="253">
                  <c:v>295000</c:v>
                </c:pt>
                <c:pt idx="254">
                  <c:v>274000</c:v>
                </c:pt>
                <c:pt idx="255">
                  <c:v>278000</c:v>
                </c:pt>
                <c:pt idx="256">
                  <c:v>299000</c:v>
                </c:pt>
                <c:pt idx="257">
                  <c:v>280000</c:v>
                </c:pt>
                <c:pt idx="258">
                  <c:v>269000</c:v>
                </c:pt>
                <c:pt idx="259">
                  <c:v>244000</c:v>
                </c:pt>
                <c:pt idx="260">
                  <c:v>279000</c:v>
                </c:pt>
                <c:pt idx="261">
                  <c:v>295000</c:v>
                </c:pt>
                <c:pt idx="262">
                  <c:v>250000</c:v>
                </c:pt>
                <c:pt idx="263">
                  <c:v>263000</c:v>
                </c:pt>
                <c:pt idx="264">
                  <c:v>269000</c:v>
                </c:pt>
                <c:pt idx="265">
                  <c:v>276000</c:v>
                </c:pt>
                <c:pt idx="266">
                  <c:v>266000</c:v>
                </c:pt>
                <c:pt idx="267">
                  <c:v>258000</c:v>
                </c:pt>
                <c:pt idx="268">
                  <c:v>254000</c:v>
                </c:pt>
                <c:pt idx="269">
                  <c:v>257000</c:v>
                </c:pt>
                <c:pt idx="270">
                  <c:v>264000</c:v>
                </c:pt>
                <c:pt idx="271">
                  <c:v>266000</c:v>
                </c:pt>
                <c:pt idx="272">
                  <c:v>264000</c:v>
                </c:pt>
                <c:pt idx="273">
                  <c:v>258000</c:v>
                </c:pt>
                <c:pt idx="274">
                  <c:v>274000</c:v>
                </c:pt>
                <c:pt idx="275">
                  <c:v>259000</c:v>
                </c:pt>
                <c:pt idx="276">
                  <c:v>259000</c:v>
                </c:pt>
                <c:pt idx="277">
                  <c:v>265000</c:v>
                </c:pt>
                <c:pt idx="278">
                  <c:v>271000</c:v>
                </c:pt>
                <c:pt idx="279">
                  <c:v>266000</c:v>
                </c:pt>
                <c:pt idx="280">
                  <c:v>267000</c:v>
                </c:pt>
                <c:pt idx="281">
                  <c:v>267000</c:v>
                </c:pt>
                <c:pt idx="282">
                  <c:v>264000</c:v>
                </c:pt>
                <c:pt idx="283">
                  <c:v>268000</c:v>
                </c:pt>
                <c:pt idx="284">
                  <c:v>275000</c:v>
                </c:pt>
                <c:pt idx="285">
                  <c:v>286000</c:v>
                </c:pt>
                <c:pt idx="286">
                  <c:v>350000</c:v>
                </c:pt>
                <c:pt idx="287">
                  <c:v>297000</c:v>
                </c:pt>
                <c:pt idx="288">
                  <c:v>318000</c:v>
                </c:pt>
                <c:pt idx="289">
                  <c:v>276000</c:v>
                </c:pt>
                <c:pt idx="290">
                  <c:v>247000</c:v>
                </c:pt>
                <c:pt idx="291">
                  <c:v>250000</c:v>
                </c:pt>
                <c:pt idx="292">
                  <c:v>246000</c:v>
                </c:pt>
                <c:pt idx="293">
                  <c:v>256000</c:v>
                </c:pt>
                <c:pt idx="294">
                  <c:v>262000</c:v>
                </c:pt>
                <c:pt idx="295">
                  <c:v>258000</c:v>
                </c:pt>
                <c:pt idx="296">
                  <c:v>259000</c:v>
                </c:pt>
                <c:pt idx="297">
                  <c:v>258000</c:v>
                </c:pt>
                <c:pt idx="298">
                  <c:v>255000</c:v>
                </c:pt>
                <c:pt idx="299">
                  <c:v>251000</c:v>
                </c:pt>
                <c:pt idx="300">
                  <c:v>263000</c:v>
                </c:pt>
                <c:pt idx="301">
                  <c:v>250000</c:v>
                </c:pt>
                <c:pt idx="302">
                  <c:v>257000</c:v>
                </c:pt>
                <c:pt idx="303">
                  <c:v>234000</c:v>
                </c:pt>
                <c:pt idx="304">
                  <c:v>255000</c:v>
                </c:pt>
                <c:pt idx="305">
                  <c:v>242000</c:v>
                </c:pt>
                <c:pt idx="306">
                  <c:v>271000</c:v>
                </c:pt>
                <c:pt idx="307">
                  <c:v>235000</c:v>
                </c:pt>
                <c:pt idx="308">
                  <c:v>226000</c:v>
                </c:pt>
                <c:pt idx="309">
                  <c:v>252000</c:v>
                </c:pt>
                <c:pt idx="310">
                  <c:v>263000</c:v>
                </c:pt>
                <c:pt idx="311">
                  <c:v>246000</c:v>
                </c:pt>
                <c:pt idx="312">
                  <c:v>225000</c:v>
                </c:pt>
                <c:pt idx="313">
                  <c:v>226000</c:v>
                </c:pt>
                <c:pt idx="314">
                  <c:v>245000</c:v>
                </c:pt>
                <c:pt idx="315">
                  <c:v>229000</c:v>
                </c:pt>
                <c:pt idx="316">
                  <c:v>214000</c:v>
                </c:pt>
                <c:pt idx="317">
                  <c:v>228000</c:v>
                </c:pt>
                <c:pt idx="318">
                  <c:v>226000</c:v>
                </c:pt>
                <c:pt idx="319">
                  <c:v>216000</c:v>
                </c:pt>
                <c:pt idx="320">
                  <c:v>218000</c:v>
                </c:pt>
                <c:pt idx="321">
                  <c:v>225000</c:v>
                </c:pt>
                <c:pt idx="322">
                  <c:v>229000</c:v>
                </c:pt>
                <c:pt idx="323">
                  <c:v>228000</c:v>
                </c:pt>
                <c:pt idx="324">
                  <c:v>232000</c:v>
                </c:pt>
                <c:pt idx="325">
                  <c:v>222000</c:v>
                </c:pt>
                <c:pt idx="326">
                  <c:v>247000</c:v>
                </c:pt>
                <c:pt idx="327">
                  <c:v>230000</c:v>
                </c:pt>
                <c:pt idx="328">
                  <c:v>243000</c:v>
                </c:pt>
                <c:pt idx="329">
                  <c:v>236000</c:v>
                </c:pt>
                <c:pt idx="330">
                  <c:v>248000</c:v>
                </c:pt>
                <c:pt idx="331">
                  <c:v>238000</c:v>
                </c:pt>
                <c:pt idx="332">
                  <c:v>237000</c:v>
                </c:pt>
                <c:pt idx="333">
                  <c:v>238000</c:v>
                </c:pt>
                <c:pt idx="334">
                  <c:v>232000</c:v>
                </c:pt>
                <c:pt idx="335">
                  <c:v>246000</c:v>
                </c:pt>
                <c:pt idx="336">
                  <c:v>237000</c:v>
                </c:pt>
                <c:pt idx="337">
                  <c:v>242000</c:v>
                </c:pt>
                <c:pt idx="338">
                  <c:v>237000</c:v>
                </c:pt>
                <c:pt idx="339">
                  <c:v>248000</c:v>
                </c:pt>
                <c:pt idx="340">
                  <c:v>232000</c:v>
                </c:pt>
                <c:pt idx="341">
                  <c:v>241000</c:v>
                </c:pt>
                <c:pt idx="342">
                  <c:v>250000</c:v>
                </c:pt>
                <c:pt idx="343">
                  <c:v>256000</c:v>
                </c:pt>
                <c:pt idx="344">
                  <c:v>265000</c:v>
                </c:pt>
                <c:pt idx="345">
                  <c:v>258000</c:v>
                </c:pt>
                <c:pt idx="346">
                  <c:v>254000</c:v>
                </c:pt>
                <c:pt idx="347">
                  <c:v>242000</c:v>
                </c:pt>
                <c:pt idx="348">
                  <c:v>252000</c:v>
                </c:pt>
                <c:pt idx="349">
                  <c:v>245000</c:v>
                </c:pt>
                <c:pt idx="350">
                  <c:v>246000</c:v>
                </c:pt>
                <c:pt idx="351">
                  <c:v>249000</c:v>
                </c:pt>
                <c:pt idx="352">
                  <c:v>236000</c:v>
                </c:pt>
                <c:pt idx="353">
                  <c:v>246000</c:v>
                </c:pt>
                <c:pt idx="354">
                  <c:v>249000</c:v>
                </c:pt>
                <c:pt idx="355">
                  <c:v>235000</c:v>
                </c:pt>
                <c:pt idx="356">
                  <c:v>246000</c:v>
                </c:pt>
                <c:pt idx="357">
                  <c:v>282000</c:v>
                </c:pt>
                <c:pt idx="358">
                  <c:v>254000</c:v>
                </c:pt>
                <c:pt idx="359">
                  <c:v>233000</c:v>
                </c:pt>
                <c:pt idx="360">
                  <c:v>256000</c:v>
                </c:pt>
                <c:pt idx="361">
                  <c:v>266000</c:v>
                </c:pt>
                <c:pt idx="362">
                  <c:v>272000</c:v>
                </c:pt>
                <c:pt idx="363">
                  <c:v>326000</c:v>
                </c:pt>
                <c:pt idx="364">
                  <c:v>300000</c:v>
                </c:pt>
                <c:pt idx="365">
                  <c:v>269000</c:v>
                </c:pt>
                <c:pt idx="366">
                  <c:v>340000</c:v>
                </c:pt>
                <c:pt idx="367">
                  <c:v>321000</c:v>
                </c:pt>
                <c:pt idx="368">
                  <c:v>291000</c:v>
                </c:pt>
                <c:pt idx="369">
                  <c:v>302000</c:v>
                </c:pt>
                <c:pt idx="370">
                  <c:v>369000</c:v>
                </c:pt>
                <c:pt idx="371">
                  <c:v>311000</c:v>
                </c:pt>
                <c:pt idx="372">
                  <c:v>292000</c:v>
                </c:pt>
                <c:pt idx="373">
                  <c:v>301000</c:v>
                </c:pt>
                <c:pt idx="374">
                  <c:v>305000</c:v>
                </c:pt>
                <c:pt idx="375">
                  <c:v>315000</c:v>
                </c:pt>
                <c:pt idx="376">
                  <c:v>314000</c:v>
                </c:pt>
                <c:pt idx="377">
                  <c:v>323000</c:v>
                </c:pt>
                <c:pt idx="378">
                  <c:v>296000</c:v>
                </c:pt>
                <c:pt idx="379">
                  <c:v>297000</c:v>
                </c:pt>
                <c:pt idx="380">
                  <c:v>296000</c:v>
                </c:pt>
                <c:pt idx="381">
                  <c:v>283000</c:v>
                </c:pt>
                <c:pt idx="382">
                  <c:v>287000</c:v>
                </c:pt>
                <c:pt idx="383">
                  <c:v>296000</c:v>
                </c:pt>
                <c:pt idx="384">
                  <c:v>298000</c:v>
                </c:pt>
                <c:pt idx="385">
                  <c:v>309000</c:v>
                </c:pt>
                <c:pt idx="386">
                  <c:v>278000</c:v>
                </c:pt>
                <c:pt idx="387">
                  <c:v>314000</c:v>
                </c:pt>
                <c:pt idx="388">
                  <c:v>303000</c:v>
                </c:pt>
                <c:pt idx="389">
                  <c:v>308000</c:v>
                </c:pt>
                <c:pt idx="390">
                  <c:v>325000</c:v>
                </c:pt>
                <c:pt idx="391">
                  <c:v>311000</c:v>
                </c:pt>
                <c:pt idx="392">
                  <c:v>304000</c:v>
                </c:pt>
                <c:pt idx="393">
                  <c:v>303000</c:v>
                </c:pt>
                <c:pt idx="394">
                  <c:v>320000</c:v>
                </c:pt>
                <c:pt idx="395">
                  <c:v>335000</c:v>
                </c:pt>
                <c:pt idx="396">
                  <c:v>347000</c:v>
                </c:pt>
                <c:pt idx="397">
                  <c:v>332000</c:v>
                </c:pt>
                <c:pt idx="398">
                  <c:v>343000</c:v>
                </c:pt>
                <c:pt idx="399">
                  <c:v>350000</c:v>
                </c:pt>
                <c:pt idx="400">
                  <c:v>350000</c:v>
                </c:pt>
                <c:pt idx="401">
                  <c:v>357000</c:v>
                </c:pt>
                <c:pt idx="402">
                  <c:v>370000</c:v>
                </c:pt>
                <c:pt idx="403">
                  <c:v>366000</c:v>
                </c:pt>
                <c:pt idx="404">
                  <c:v>371000</c:v>
                </c:pt>
                <c:pt idx="405">
                  <c:v>413000</c:v>
                </c:pt>
                <c:pt idx="406">
                  <c:v>389000</c:v>
                </c:pt>
                <c:pt idx="407">
                  <c:v>414000</c:v>
                </c:pt>
                <c:pt idx="408">
                  <c:v>406000</c:v>
                </c:pt>
                <c:pt idx="409">
                  <c:v>441000</c:v>
                </c:pt>
                <c:pt idx="410">
                  <c:v>449000</c:v>
                </c:pt>
                <c:pt idx="411">
                  <c:v>518000</c:v>
                </c:pt>
                <c:pt idx="412">
                  <c:v>474000</c:v>
                </c:pt>
                <c:pt idx="413">
                  <c:v>528000</c:v>
                </c:pt>
                <c:pt idx="414">
                  <c:v>510000</c:v>
                </c:pt>
                <c:pt idx="415">
                  <c:v>521000</c:v>
                </c:pt>
                <c:pt idx="416">
                  <c:v>537000</c:v>
                </c:pt>
                <c:pt idx="417">
                  <c:v>456000</c:v>
                </c:pt>
                <c:pt idx="418">
                  <c:v>554000</c:v>
                </c:pt>
                <c:pt idx="419">
                  <c:v>575000</c:v>
                </c:pt>
                <c:pt idx="420">
                  <c:v>555000</c:v>
                </c:pt>
                <c:pt idx="421">
                  <c:v>559000</c:v>
                </c:pt>
                <c:pt idx="422">
                  <c:v>545000</c:v>
                </c:pt>
                <c:pt idx="423">
                  <c:v>530000</c:v>
                </c:pt>
                <c:pt idx="424">
                  <c:v>544000</c:v>
                </c:pt>
                <c:pt idx="425">
                  <c:v>546000</c:v>
                </c:pt>
                <c:pt idx="426">
                  <c:v>551000</c:v>
                </c:pt>
                <c:pt idx="427">
                  <c:v>531000</c:v>
                </c:pt>
                <c:pt idx="428">
                  <c:v>550000</c:v>
                </c:pt>
                <c:pt idx="429">
                  <c:v>555000</c:v>
                </c:pt>
                <c:pt idx="430">
                  <c:v>537000</c:v>
                </c:pt>
                <c:pt idx="431">
                  <c:v>520000</c:v>
                </c:pt>
                <c:pt idx="432">
                  <c:v>531000</c:v>
                </c:pt>
                <c:pt idx="433">
                  <c:v>513000</c:v>
                </c:pt>
                <c:pt idx="434">
                  <c:v>505000</c:v>
                </c:pt>
                <c:pt idx="435">
                  <c:v>507000</c:v>
                </c:pt>
                <c:pt idx="436">
                  <c:v>514000</c:v>
                </c:pt>
                <c:pt idx="437">
                  <c:v>493000</c:v>
                </c:pt>
                <c:pt idx="438">
                  <c:v>475000</c:v>
                </c:pt>
                <c:pt idx="439">
                  <c:v>529000</c:v>
                </c:pt>
                <c:pt idx="440">
                  <c:v>497000</c:v>
                </c:pt>
                <c:pt idx="441">
                  <c:v>497000</c:v>
                </c:pt>
                <c:pt idx="442">
                  <c:v>459000</c:v>
                </c:pt>
                <c:pt idx="443">
                  <c:v>423000</c:v>
                </c:pt>
                <c:pt idx="444">
                  <c:v>446000</c:v>
                </c:pt>
                <c:pt idx="445">
                  <c:v>445000</c:v>
                </c:pt>
                <c:pt idx="446">
                  <c:v>454000</c:v>
                </c:pt>
                <c:pt idx="447">
                  <c:v>454000</c:v>
                </c:pt>
                <c:pt idx="448">
                  <c:v>459000</c:v>
                </c:pt>
                <c:pt idx="449">
                  <c:v>444000</c:v>
                </c:pt>
                <c:pt idx="450">
                  <c:v>457000</c:v>
                </c:pt>
                <c:pt idx="451">
                  <c:v>446000</c:v>
                </c:pt>
                <c:pt idx="452">
                  <c:v>447000</c:v>
                </c:pt>
                <c:pt idx="453">
                  <c:v>456000</c:v>
                </c:pt>
                <c:pt idx="454">
                  <c:v>433000</c:v>
                </c:pt>
                <c:pt idx="455">
                  <c:v>445000</c:v>
                </c:pt>
                <c:pt idx="456">
                  <c:v>426000</c:v>
                </c:pt>
                <c:pt idx="457">
                  <c:v>429000</c:v>
                </c:pt>
                <c:pt idx="458">
                  <c:v>404000</c:v>
                </c:pt>
                <c:pt idx="459">
                  <c:v>426000</c:v>
                </c:pt>
                <c:pt idx="460">
                  <c:v>414000</c:v>
                </c:pt>
                <c:pt idx="461">
                  <c:v>415000</c:v>
                </c:pt>
                <c:pt idx="462">
                  <c:v>386000</c:v>
                </c:pt>
                <c:pt idx="463">
                  <c:v>401000</c:v>
                </c:pt>
                <c:pt idx="464">
                  <c:v>387000</c:v>
                </c:pt>
                <c:pt idx="465">
                  <c:v>373000</c:v>
                </c:pt>
                <c:pt idx="466">
                  <c:v>368000</c:v>
                </c:pt>
                <c:pt idx="467">
                  <c:v>365000</c:v>
                </c:pt>
                <c:pt idx="468">
                  <c:v>391000</c:v>
                </c:pt>
                <c:pt idx="469">
                  <c:v>362000</c:v>
                </c:pt>
                <c:pt idx="470">
                  <c:v>402000</c:v>
                </c:pt>
                <c:pt idx="471">
                  <c:v>370000</c:v>
                </c:pt>
                <c:pt idx="472">
                  <c:v>363000</c:v>
                </c:pt>
                <c:pt idx="473">
                  <c:v>359000</c:v>
                </c:pt>
                <c:pt idx="474">
                  <c:v>353000</c:v>
                </c:pt>
                <c:pt idx="475">
                  <c:v>344000</c:v>
                </c:pt>
                <c:pt idx="476">
                  <c:v>347000</c:v>
                </c:pt>
                <c:pt idx="477">
                  <c:v>349000</c:v>
                </c:pt>
                <c:pt idx="478">
                  <c:v>348000</c:v>
                </c:pt>
                <c:pt idx="479">
                  <c:v>360000</c:v>
                </c:pt>
                <c:pt idx="480">
                  <c:v>368000</c:v>
                </c:pt>
                <c:pt idx="481">
                  <c:v>366000</c:v>
                </c:pt>
                <c:pt idx="482">
                  <c:v>380000</c:v>
                </c:pt>
                <c:pt idx="483">
                  <c:v>373000</c:v>
                </c:pt>
                <c:pt idx="484">
                  <c:v>361000</c:v>
                </c:pt>
                <c:pt idx="485">
                  <c:v>367000</c:v>
                </c:pt>
                <c:pt idx="486">
                  <c:v>385000</c:v>
                </c:pt>
                <c:pt idx="487">
                  <c:v>395000</c:v>
                </c:pt>
                <c:pt idx="488">
                  <c:v>382000</c:v>
                </c:pt>
                <c:pt idx="489">
                  <c:v>394000</c:v>
                </c:pt>
                <c:pt idx="490">
                  <c:v>402000</c:v>
                </c:pt>
                <c:pt idx="491">
                  <c:v>382000</c:v>
                </c:pt>
                <c:pt idx="492">
                  <c:v>407000</c:v>
                </c:pt>
                <c:pt idx="493">
                  <c:v>399000</c:v>
                </c:pt>
                <c:pt idx="494">
                  <c:v>387000</c:v>
                </c:pt>
                <c:pt idx="495">
                  <c:v>394000</c:v>
                </c:pt>
                <c:pt idx="496">
                  <c:v>372000</c:v>
                </c:pt>
                <c:pt idx="497">
                  <c:v>406000</c:v>
                </c:pt>
                <c:pt idx="498">
                  <c:v>394000</c:v>
                </c:pt>
                <c:pt idx="499">
                  <c:v>388000</c:v>
                </c:pt>
                <c:pt idx="500">
                  <c:v>378000</c:v>
                </c:pt>
                <c:pt idx="501">
                  <c:v>382000</c:v>
                </c:pt>
                <c:pt idx="502">
                  <c:v>400000</c:v>
                </c:pt>
                <c:pt idx="503">
                  <c:v>394000</c:v>
                </c:pt>
                <c:pt idx="504">
                  <c:v>421000</c:v>
                </c:pt>
                <c:pt idx="505">
                  <c:v>383000</c:v>
                </c:pt>
                <c:pt idx="506">
                  <c:v>403000</c:v>
                </c:pt>
                <c:pt idx="507">
                  <c:v>423000</c:v>
                </c:pt>
                <c:pt idx="508">
                  <c:v>408000</c:v>
                </c:pt>
                <c:pt idx="509">
                  <c:v>411000</c:v>
                </c:pt>
                <c:pt idx="510">
                  <c:v>403000</c:v>
                </c:pt>
                <c:pt idx="511">
                  <c:v>409000</c:v>
                </c:pt>
                <c:pt idx="512">
                  <c:v>414000</c:v>
                </c:pt>
                <c:pt idx="513">
                  <c:v>390000</c:v>
                </c:pt>
                <c:pt idx="514">
                  <c:v>383000</c:v>
                </c:pt>
                <c:pt idx="515">
                  <c:v>408000</c:v>
                </c:pt>
                <c:pt idx="516">
                  <c:v>377000</c:v>
                </c:pt>
                <c:pt idx="517">
                  <c:v>402000</c:v>
                </c:pt>
                <c:pt idx="518">
                  <c:v>395000</c:v>
                </c:pt>
                <c:pt idx="519">
                  <c:v>365000</c:v>
                </c:pt>
                <c:pt idx="520">
                  <c:v>333000</c:v>
                </c:pt>
                <c:pt idx="521">
                  <c:v>380000</c:v>
                </c:pt>
                <c:pt idx="522">
                  <c:v>416000</c:v>
                </c:pt>
                <c:pt idx="523">
                  <c:v>368000</c:v>
                </c:pt>
                <c:pt idx="524">
                  <c:v>423000</c:v>
                </c:pt>
                <c:pt idx="525">
                  <c:v>422000</c:v>
                </c:pt>
                <c:pt idx="526">
                  <c:v>565000</c:v>
                </c:pt>
                <c:pt idx="527">
                  <c:v>477000</c:v>
                </c:pt>
                <c:pt idx="528">
                  <c:v>399000</c:v>
                </c:pt>
                <c:pt idx="529">
                  <c:v>362000</c:v>
                </c:pt>
                <c:pt idx="530">
                  <c:v>361000</c:v>
                </c:pt>
                <c:pt idx="531">
                  <c:v>355000</c:v>
                </c:pt>
                <c:pt idx="532">
                  <c:v>369000</c:v>
                </c:pt>
                <c:pt idx="533">
                  <c:v>356000</c:v>
                </c:pt>
                <c:pt idx="534">
                  <c:v>350000</c:v>
                </c:pt>
                <c:pt idx="535">
                  <c:v>376000</c:v>
                </c:pt>
                <c:pt idx="536">
                  <c:v>361000</c:v>
                </c:pt>
                <c:pt idx="537">
                  <c:v>375000</c:v>
                </c:pt>
                <c:pt idx="538">
                  <c:v>375000</c:v>
                </c:pt>
                <c:pt idx="539">
                  <c:v>384000</c:v>
                </c:pt>
                <c:pt idx="540">
                  <c:v>381000</c:v>
                </c:pt>
                <c:pt idx="541">
                  <c:v>375000</c:v>
                </c:pt>
                <c:pt idx="542">
                  <c:v>381000</c:v>
                </c:pt>
                <c:pt idx="543">
                  <c:v>363000</c:v>
                </c:pt>
                <c:pt idx="544">
                  <c:v>358000</c:v>
                </c:pt>
                <c:pt idx="545">
                  <c:v>359000</c:v>
                </c:pt>
                <c:pt idx="546">
                  <c:v>365000</c:v>
                </c:pt>
                <c:pt idx="547">
                  <c:v>350000</c:v>
                </c:pt>
                <c:pt idx="548">
                  <c:v>361000</c:v>
                </c:pt>
                <c:pt idx="549">
                  <c:v>366000</c:v>
                </c:pt>
                <c:pt idx="550">
                  <c:v>365000</c:v>
                </c:pt>
                <c:pt idx="551">
                  <c:v>365000</c:v>
                </c:pt>
                <c:pt idx="552">
                  <c:v>378000</c:v>
                </c:pt>
                <c:pt idx="553">
                  <c:v>359000</c:v>
                </c:pt>
                <c:pt idx="554">
                  <c:v>367000</c:v>
                </c:pt>
                <c:pt idx="555">
                  <c:v>365000</c:v>
                </c:pt>
                <c:pt idx="556">
                  <c:v>374000</c:v>
                </c:pt>
                <c:pt idx="557">
                  <c:v>359000</c:v>
                </c:pt>
                <c:pt idx="558">
                  <c:v>362000</c:v>
                </c:pt>
                <c:pt idx="559">
                  <c:v>380000</c:v>
                </c:pt>
                <c:pt idx="560">
                  <c:v>348000</c:v>
                </c:pt>
                <c:pt idx="561">
                  <c:v>365000</c:v>
                </c:pt>
                <c:pt idx="562">
                  <c:v>358000</c:v>
                </c:pt>
                <c:pt idx="563">
                  <c:v>375000</c:v>
                </c:pt>
                <c:pt idx="564">
                  <c:v>349000</c:v>
                </c:pt>
                <c:pt idx="565">
                  <c:v>366000</c:v>
                </c:pt>
                <c:pt idx="566">
                  <c:v>334000</c:v>
                </c:pt>
                <c:pt idx="567">
                  <c:v>360000</c:v>
                </c:pt>
                <c:pt idx="568">
                  <c:v>354000</c:v>
                </c:pt>
                <c:pt idx="569">
                  <c:v>367000</c:v>
                </c:pt>
                <c:pt idx="570">
                  <c:v>364000</c:v>
                </c:pt>
                <c:pt idx="571">
                  <c:v>359000</c:v>
                </c:pt>
                <c:pt idx="572">
                  <c:v>344000</c:v>
                </c:pt>
                <c:pt idx="573">
                  <c:v>364000</c:v>
                </c:pt>
                <c:pt idx="574">
                  <c:v>346000</c:v>
                </c:pt>
                <c:pt idx="575">
                  <c:v>343000</c:v>
                </c:pt>
                <c:pt idx="576">
                  <c:v>352000</c:v>
                </c:pt>
                <c:pt idx="577">
                  <c:v>363000</c:v>
                </c:pt>
                <c:pt idx="578">
                  <c:v>360000</c:v>
                </c:pt>
                <c:pt idx="579">
                  <c:v>373000</c:v>
                </c:pt>
                <c:pt idx="580">
                  <c:v>429000</c:v>
                </c:pt>
                <c:pt idx="581">
                  <c:v>371000</c:v>
                </c:pt>
                <c:pt idx="582">
                  <c:v>355000</c:v>
                </c:pt>
                <c:pt idx="583">
                  <c:v>359000</c:v>
                </c:pt>
                <c:pt idx="584">
                  <c:v>347000</c:v>
                </c:pt>
                <c:pt idx="585">
                  <c:v>335000</c:v>
                </c:pt>
                <c:pt idx="586">
                  <c:v>333000</c:v>
                </c:pt>
                <c:pt idx="587">
                  <c:v>345000</c:v>
                </c:pt>
                <c:pt idx="588">
                  <c:v>309000</c:v>
                </c:pt>
                <c:pt idx="589">
                  <c:v>319000</c:v>
                </c:pt>
                <c:pt idx="590">
                  <c:v>324000</c:v>
                </c:pt>
                <c:pt idx="591">
                  <c:v>334000</c:v>
                </c:pt>
                <c:pt idx="592">
                  <c:v>322000</c:v>
                </c:pt>
                <c:pt idx="593">
                  <c:v>334000</c:v>
                </c:pt>
                <c:pt idx="594">
                  <c:v>318000</c:v>
                </c:pt>
                <c:pt idx="595">
                  <c:v>310000</c:v>
                </c:pt>
                <c:pt idx="596">
                  <c:v>331000</c:v>
                </c:pt>
                <c:pt idx="597">
                  <c:v>326000</c:v>
                </c:pt>
                <c:pt idx="598">
                  <c:v>330000</c:v>
                </c:pt>
                <c:pt idx="599">
                  <c:v>348000</c:v>
                </c:pt>
                <c:pt idx="600">
                  <c:v>356000</c:v>
                </c:pt>
                <c:pt idx="601">
                  <c:v>352000</c:v>
                </c:pt>
                <c:pt idx="602">
                  <c:v>349000</c:v>
                </c:pt>
                <c:pt idx="603">
                  <c:v>346000</c:v>
                </c:pt>
                <c:pt idx="604">
                  <c:v>365000</c:v>
                </c:pt>
                <c:pt idx="605">
                  <c:v>354000</c:v>
                </c:pt>
                <c:pt idx="606">
                  <c:v>343000</c:v>
                </c:pt>
                <c:pt idx="607">
                  <c:v>333000</c:v>
                </c:pt>
                <c:pt idx="608">
                  <c:v>313000</c:v>
                </c:pt>
                <c:pt idx="609">
                  <c:v>337000</c:v>
                </c:pt>
                <c:pt idx="610">
                  <c:v>322000</c:v>
                </c:pt>
                <c:pt idx="611">
                  <c:v>323000</c:v>
                </c:pt>
                <c:pt idx="612">
                  <c:v>318000</c:v>
                </c:pt>
                <c:pt idx="613">
                  <c:v>343000</c:v>
                </c:pt>
                <c:pt idx="614">
                  <c:v>316000</c:v>
                </c:pt>
                <c:pt idx="615">
                  <c:v>338000</c:v>
                </c:pt>
                <c:pt idx="616">
                  <c:v>316000</c:v>
                </c:pt>
                <c:pt idx="617">
                  <c:v>317000</c:v>
                </c:pt>
                <c:pt idx="618">
                  <c:v>304000</c:v>
                </c:pt>
                <c:pt idx="619">
                  <c:v>342000</c:v>
                </c:pt>
                <c:pt idx="620">
                  <c:v>359000</c:v>
                </c:pt>
                <c:pt idx="621">
                  <c:v>377000</c:v>
                </c:pt>
                <c:pt idx="622">
                  <c:v>344000</c:v>
                </c:pt>
                <c:pt idx="623">
                  <c:v>347000</c:v>
                </c:pt>
                <c:pt idx="624">
                  <c:v>352000</c:v>
                </c:pt>
                <c:pt idx="625">
                  <c:v>358000</c:v>
                </c:pt>
                <c:pt idx="626">
                  <c:v>359000</c:v>
                </c:pt>
                <c:pt idx="627">
                  <c:v>392000</c:v>
                </c:pt>
                <c:pt idx="628">
                  <c:v>337000</c:v>
                </c:pt>
                <c:pt idx="629">
                  <c:v>342000</c:v>
                </c:pt>
                <c:pt idx="630">
                  <c:v>348000</c:v>
                </c:pt>
                <c:pt idx="631">
                  <c:v>359000</c:v>
                </c:pt>
                <c:pt idx="632">
                  <c:v>367000</c:v>
                </c:pt>
                <c:pt idx="633">
                  <c:v>360000</c:v>
                </c:pt>
                <c:pt idx="634">
                  <c:v>355000</c:v>
                </c:pt>
                <c:pt idx="635">
                  <c:v>363000</c:v>
                </c:pt>
                <c:pt idx="636">
                  <c:v>359000</c:v>
                </c:pt>
                <c:pt idx="637">
                  <c:v>353000</c:v>
                </c:pt>
                <c:pt idx="638">
                  <c:v>360000</c:v>
                </c:pt>
                <c:pt idx="639">
                  <c:v>465000</c:v>
                </c:pt>
                <c:pt idx="640">
                  <c:v>457000</c:v>
                </c:pt>
                <c:pt idx="641">
                  <c:v>383000</c:v>
                </c:pt>
                <c:pt idx="642">
                  <c:v>357000</c:v>
                </c:pt>
                <c:pt idx="643">
                  <c:v>353000</c:v>
                </c:pt>
                <c:pt idx="644">
                  <c:v>344000</c:v>
                </c:pt>
                <c:pt idx="645">
                  <c:v>346000</c:v>
                </c:pt>
                <c:pt idx="646">
                  <c:v>349000</c:v>
                </c:pt>
                <c:pt idx="647">
                  <c:v>336000</c:v>
                </c:pt>
                <c:pt idx="648">
                  <c:v>365000</c:v>
                </c:pt>
                <c:pt idx="649">
                  <c:v>351000</c:v>
                </c:pt>
                <c:pt idx="650">
                  <c:v>379000</c:v>
                </c:pt>
                <c:pt idx="651">
                  <c:v>369000</c:v>
                </c:pt>
                <c:pt idx="652">
                  <c:v>368000</c:v>
                </c:pt>
                <c:pt idx="653">
                  <c:v>368000</c:v>
                </c:pt>
                <c:pt idx="654">
                  <c:v>395000</c:v>
                </c:pt>
                <c:pt idx="655">
                  <c:v>386000</c:v>
                </c:pt>
                <c:pt idx="656">
                  <c:v>412000</c:v>
                </c:pt>
                <c:pt idx="657">
                  <c:v>386000</c:v>
                </c:pt>
                <c:pt idx="658">
                  <c:v>387000</c:v>
                </c:pt>
                <c:pt idx="659">
                  <c:v>390000</c:v>
                </c:pt>
                <c:pt idx="660">
                  <c:v>389000</c:v>
                </c:pt>
                <c:pt idx="661">
                  <c:v>378000</c:v>
                </c:pt>
                <c:pt idx="662">
                  <c:v>384000</c:v>
                </c:pt>
                <c:pt idx="663">
                  <c:v>388000</c:v>
                </c:pt>
                <c:pt idx="664">
                  <c:v>390000</c:v>
                </c:pt>
                <c:pt idx="665">
                  <c:v>412000</c:v>
                </c:pt>
                <c:pt idx="666">
                  <c:v>393000</c:v>
                </c:pt>
                <c:pt idx="667">
                  <c:v>406000</c:v>
                </c:pt>
                <c:pt idx="668">
                  <c:v>398000</c:v>
                </c:pt>
                <c:pt idx="669">
                  <c:v>395000</c:v>
                </c:pt>
                <c:pt idx="670">
                  <c:v>414000</c:v>
                </c:pt>
                <c:pt idx="671">
                  <c:v>430000</c:v>
                </c:pt>
                <c:pt idx="672">
                  <c:v>414000</c:v>
                </c:pt>
                <c:pt idx="673">
                  <c:v>416000</c:v>
                </c:pt>
                <c:pt idx="674">
                  <c:v>415000</c:v>
                </c:pt>
                <c:pt idx="675">
                  <c:v>411000</c:v>
                </c:pt>
                <c:pt idx="676">
                  <c:v>471000</c:v>
                </c:pt>
                <c:pt idx="677">
                  <c:v>428000</c:v>
                </c:pt>
                <c:pt idx="678">
                  <c:v>394000</c:v>
                </c:pt>
                <c:pt idx="679">
                  <c:v>405000</c:v>
                </c:pt>
                <c:pt idx="680">
                  <c:v>446000</c:v>
                </c:pt>
                <c:pt idx="681">
                  <c:v>412000</c:v>
                </c:pt>
                <c:pt idx="682">
                  <c:v>404000</c:v>
                </c:pt>
                <c:pt idx="683">
                  <c:v>425000</c:v>
                </c:pt>
                <c:pt idx="684">
                  <c:v>415000</c:v>
                </c:pt>
                <c:pt idx="685">
                  <c:v>428000</c:v>
                </c:pt>
                <c:pt idx="686">
                  <c:v>409000</c:v>
                </c:pt>
                <c:pt idx="687">
                  <c:v>418000</c:v>
                </c:pt>
                <c:pt idx="688">
                  <c:v>432000</c:v>
                </c:pt>
                <c:pt idx="689">
                  <c:v>435000</c:v>
                </c:pt>
                <c:pt idx="690">
                  <c:v>475000</c:v>
                </c:pt>
                <c:pt idx="691">
                  <c:v>464000</c:v>
                </c:pt>
                <c:pt idx="692">
                  <c:v>544000</c:v>
                </c:pt>
                <c:pt idx="693">
                  <c:v>548000</c:v>
                </c:pt>
                <c:pt idx="694">
                  <c:v>563000</c:v>
                </c:pt>
                <c:pt idx="695">
                  <c:v>572000</c:v>
                </c:pt>
                <c:pt idx="696">
                  <c:v>601000</c:v>
                </c:pt>
                <c:pt idx="697">
                  <c:v>642000</c:v>
                </c:pt>
                <c:pt idx="698">
                  <c:v>627000</c:v>
                </c:pt>
                <c:pt idx="699">
                  <c:v>637000</c:v>
                </c:pt>
                <c:pt idx="700">
                  <c:v>610000</c:v>
                </c:pt>
                <c:pt idx="701">
                  <c:v>592000</c:v>
                </c:pt>
                <c:pt idx="702">
                  <c:v>599000</c:v>
                </c:pt>
                <c:pt idx="703">
                  <c:v>627000</c:v>
                </c:pt>
                <c:pt idx="704">
                  <c:v>579000</c:v>
                </c:pt>
                <c:pt idx="705">
                  <c:v>533000</c:v>
                </c:pt>
                <c:pt idx="706">
                  <c:v>567000</c:v>
                </c:pt>
                <c:pt idx="707">
                  <c:v>558000</c:v>
                </c:pt>
                <c:pt idx="708">
                  <c:v>569000</c:v>
                </c:pt>
                <c:pt idx="709">
                  <c:v>533000</c:v>
                </c:pt>
                <c:pt idx="710">
                  <c:v>525000</c:v>
                </c:pt>
                <c:pt idx="711">
                  <c:v>512000</c:v>
                </c:pt>
                <c:pt idx="712">
                  <c:v>502000</c:v>
                </c:pt>
                <c:pt idx="713">
                  <c:v>511000</c:v>
                </c:pt>
                <c:pt idx="714">
                  <c:v>492000</c:v>
                </c:pt>
                <c:pt idx="715">
                  <c:v>465000</c:v>
                </c:pt>
                <c:pt idx="716">
                  <c:v>463000</c:v>
                </c:pt>
                <c:pt idx="717">
                  <c:v>462000</c:v>
                </c:pt>
                <c:pt idx="718">
                  <c:v>447000</c:v>
                </c:pt>
                <c:pt idx="719">
                  <c:v>425000</c:v>
                </c:pt>
                <c:pt idx="720">
                  <c:v>418000</c:v>
                </c:pt>
                <c:pt idx="721">
                  <c:v>419000</c:v>
                </c:pt>
                <c:pt idx="722">
                  <c:v>407000</c:v>
                </c:pt>
                <c:pt idx="723">
                  <c:v>427000</c:v>
                </c:pt>
                <c:pt idx="724">
                  <c:v>398000</c:v>
                </c:pt>
                <c:pt idx="725">
                  <c:v>412000</c:v>
                </c:pt>
                <c:pt idx="726">
                  <c:v>416000</c:v>
                </c:pt>
                <c:pt idx="727">
                  <c:v>413000</c:v>
                </c:pt>
                <c:pt idx="728">
                  <c:v>412000</c:v>
                </c:pt>
                <c:pt idx="729">
                  <c:v>399000</c:v>
                </c:pt>
                <c:pt idx="730">
                  <c:v>410000</c:v>
                </c:pt>
                <c:pt idx="731">
                  <c:v>419000</c:v>
                </c:pt>
                <c:pt idx="732">
                  <c:v>421000</c:v>
                </c:pt>
                <c:pt idx="733">
                  <c:v>396000</c:v>
                </c:pt>
                <c:pt idx="734">
                  <c:v>419000</c:v>
                </c:pt>
                <c:pt idx="735">
                  <c:v>420000</c:v>
                </c:pt>
                <c:pt idx="736">
                  <c:v>423000</c:v>
                </c:pt>
                <c:pt idx="737">
                  <c:v>438000</c:v>
                </c:pt>
                <c:pt idx="738">
                  <c:v>434000</c:v>
                </c:pt>
                <c:pt idx="739">
                  <c:v>409000</c:v>
                </c:pt>
                <c:pt idx="740">
                  <c:v>408000</c:v>
                </c:pt>
                <c:pt idx="741">
                  <c:v>401000</c:v>
                </c:pt>
                <c:pt idx="742">
                  <c:v>412000</c:v>
                </c:pt>
                <c:pt idx="743">
                  <c:v>417000</c:v>
                </c:pt>
                <c:pt idx="744">
                  <c:v>396000</c:v>
                </c:pt>
                <c:pt idx="745">
                  <c:v>392000</c:v>
                </c:pt>
                <c:pt idx="746">
                  <c:v>436000</c:v>
                </c:pt>
                <c:pt idx="747">
                  <c:v>413000</c:v>
                </c:pt>
                <c:pt idx="748">
                  <c:v>423000</c:v>
                </c:pt>
                <c:pt idx="749">
                  <c:v>414000</c:v>
                </c:pt>
                <c:pt idx="750">
                  <c:v>415000</c:v>
                </c:pt>
                <c:pt idx="751">
                  <c:v>417000</c:v>
                </c:pt>
                <c:pt idx="752">
                  <c:v>428000</c:v>
                </c:pt>
                <c:pt idx="753">
                  <c:v>425000</c:v>
                </c:pt>
                <c:pt idx="754">
                  <c:v>435000</c:v>
                </c:pt>
                <c:pt idx="755">
                  <c:v>444000</c:v>
                </c:pt>
                <c:pt idx="756">
                  <c:v>460000</c:v>
                </c:pt>
                <c:pt idx="757">
                  <c:v>426000</c:v>
                </c:pt>
                <c:pt idx="758">
                  <c:v>430000</c:v>
                </c:pt>
                <c:pt idx="759">
                  <c:v>407000</c:v>
                </c:pt>
                <c:pt idx="760">
                  <c:v>476000</c:v>
                </c:pt>
                <c:pt idx="761">
                  <c:v>448000</c:v>
                </c:pt>
                <c:pt idx="762">
                  <c:v>442000</c:v>
                </c:pt>
                <c:pt idx="763">
                  <c:v>434000</c:v>
                </c:pt>
                <c:pt idx="764">
                  <c:v>451000</c:v>
                </c:pt>
                <c:pt idx="765">
                  <c:v>473000</c:v>
                </c:pt>
                <c:pt idx="766">
                  <c:v>454000</c:v>
                </c:pt>
                <c:pt idx="767">
                  <c:v>475000</c:v>
                </c:pt>
                <c:pt idx="768">
                  <c:v>491000</c:v>
                </c:pt>
                <c:pt idx="769">
                  <c:v>489000</c:v>
                </c:pt>
                <c:pt idx="770">
                  <c:v>491000</c:v>
                </c:pt>
                <c:pt idx="771">
                  <c:v>487000</c:v>
                </c:pt>
                <c:pt idx="772">
                  <c:v>483000</c:v>
                </c:pt>
                <c:pt idx="773">
                  <c:v>514000</c:v>
                </c:pt>
                <c:pt idx="774">
                  <c:v>514000</c:v>
                </c:pt>
                <c:pt idx="775">
                  <c:v>517000</c:v>
                </c:pt>
                <c:pt idx="776">
                  <c:v>464000</c:v>
                </c:pt>
                <c:pt idx="777">
                  <c:v>552000</c:v>
                </c:pt>
                <c:pt idx="778">
                  <c:v>558000</c:v>
                </c:pt>
                <c:pt idx="779">
                  <c:v>551000</c:v>
                </c:pt>
                <c:pt idx="780">
                  <c:v>539000</c:v>
                </c:pt>
                <c:pt idx="781">
                  <c:v>556000</c:v>
                </c:pt>
                <c:pt idx="782">
                  <c:v>495000</c:v>
                </c:pt>
                <c:pt idx="783">
                  <c:v>545000</c:v>
                </c:pt>
                <c:pt idx="784">
                  <c:v>489000</c:v>
                </c:pt>
                <c:pt idx="785">
                  <c:v>564000</c:v>
                </c:pt>
                <c:pt idx="786">
                  <c:v>583000</c:v>
                </c:pt>
                <c:pt idx="787">
                  <c:v>556000</c:v>
                </c:pt>
                <c:pt idx="788">
                  <c:v>507000</c:v>
                </c:pt>
                <c:pt idx="789">
                  <c:v>544000</c:v>
                </c:pt>
                <c:pt idx="790">
                  <c:v>528000</c:v>
                </c:pt>
                <c:pt idx="791">
                  <c:v>556000</c:v>
                </c:pt>
                <c:pt idx="792">
                  <c:v>539000</c:v>
                </c:pt>
                <c:pt idx="793">
                  <c:v>557000</c:v>
                </c:pt>
                <c:pt idx="794">
                  <c:v>574000</c:v>
                </c:pt>
                <c:pt idx="795">
                  <c:v>578000</c:v>
                </c:pt>
                <c:pt idx="796">
                  <c:v>585000</c:v>
                </c:pt>
                <c:pt idx="797">
                  <c:v>597000</c:v>
                </c:pt>
                <c:pt idx="798">
                  <c:v>588000</c:v>
                </c:pt>
                <c:pt idx="799">
                  <c:v>576000</c:v>
                </c:pt>
                <c:pt idx="800">
                  <c:v>584000</c:v>
                </c:pt>
                <c:pt idx="801">
                  <c:v>585000</c:v>
                </c:pt>
                <c:pt idx="802">
                  <c:v>586000</c:v>
                </c:pt>
                <c:pt idx="803">
                  <c:v>588000</c:v>
                </c:pt>
                <c:pt idx="804">
                  <c:v>611000</c:v>
                </c:pt>
                <c:pt idx="805">
                  <c:v>614000</c:v>
                </c:pt>
                <c:pt idx="806">
                  <c:v>591000</c:v>
                </c:pt>
                <c:pt idx="807">
                  <c:v>582000</c:v>
                </c:pt>
                <c:pt idx="808">
                  <c:v>600000</c:v>
                </c:pt>
                <c:pt idx="809">
                  <c:v>572000</c:v>
                </c:pt>
                <c:pt idx="810">
                  <c:v>567000</c:v>
                </c:pt>
                <c:pt idx="811">
                  <c:v>536000</c:v>
                </c:pt>
                <c:pt idx="812">
                  <c:v>605000</c:v>
                </c:pt>
                <c:pt idx="813">
                  <c:v>606000</c:v>
                </c:pt>
                <c:pt idx="814">
                  <c:v>637000</c:v>
                </c:pt>
                <c:pt idx="815">
                  <c:v>628000</c:v>
                </c:pt>
                <c:pt idx="816">
                  <c:v>647000</c:v>
                </c:pt>
                <c:pt idx="817">
                  <c:v>651000</c:v>
                </c:pt>
                <c:pt idx="818">
                  <c:v>641000</c:v>
                </c:pt>
                <c:pt idx="819">
                  <c:v>680000</c:v>
                </c:pt>
                <c:pt idx="820">
                  <c:v>671000</c:v>
                </c:pt>
                <c:pt idx="821">
                  <c:v>695000</c:v>
                </c:pt>
                <c:pt idx="822">
                  <c:v>651000</c:v>
                </c:pt>
                <c:pt idx="823">
                  <c:v>656000</c:v>
                </c:pt>
                <c:pt idx="824">
                  <c:v>623000</c:v>
                </c:pt>
                <c:pt idx="825">
                  <c:v>637000</c:v>
                </c:pt>
                <c:pt idx="826">
                  <c:v>589000</c:v>
                </c:pt>
                <c:pt idx="827">
                  <c:v>599000</c:v>
                </c:pt>
                <c:pt idx="828">
                  <c:v>577000</c:v>
                </c:pt>
                <c:pt idx="829">
                  <c:v>612000</c:v>
                </c:pt>
                <c:pt idx="830">
                  <c:v>557000</c:v>
                </c:pt>
                <c:pt idx="831">
                  <c:v>533000</c:v>
                </c:pt>
                <c:pt idx="832">
                  <c:v>516000</c:v>
                </c:pt>
                <c:pt idx="833">
                  <c:v>489000</c:v>
                </c:pt>
                <c:pt idx="834">
                  <c:v>534000</c:v>
                </c:pt>
                <c:pt idx="835">
                  <c:v>510000</c:v>
                </c:pt>
                <c:pt idx="836">
                  <c:v>479000</c:v>
                </c:pt>
                <c:pt idx="837">
                  <c:v>479000</c:v>
                </c:pt>
                <c:pt idx="838">
                  <c:v>503000</c:v>
                </c:pt>
                <c:pt idx="839">
                  <c:v>501000</c:v>
                </c:pt>
                <c:pt idx="840">
                  <c:v>486000</c:v>
                </c:pt>
                <c:pt idx="841">
                  <c:v>487000</c:v>
                </c:pt>
                <c:pt idx="842">
                  <c:v>481000</c:v>
                </c:pt>
                <c:pt idx="843">
                  <c:v>495000</c:v>
                </c:pt>
                <c:pt idx="844">
                  <c:v>475000</c:v>
                </c:pt>
                <c:pt idx="845">
                  <c:v>470000</c:v>
                </c:pt>
                <c:pt idx="846">
                  <c:v>481000</c:v>
                </c:pt>
                <c:pt idx="847">
                  <c:v>491000</c:v>
                </c:pt>
                <c:pt idx="848">
                  <c:v>496000</c:v>
                </c:pt>
                <c:pt idx="849">
                  <c:v>515000</c:v>
                </c:pt>
                <c:pt idx="850">
                  <c:v>488000</c:v>
                </c:pt>
                <c:pt idx="851">
                  <c:v>490000</c:v>
                </c:pt>
                <c:pt idx="852">
                  <c:v>494000</c:v>
                </c:pt>
                <c:pt idx="853">
                  <c:v>464000</c:v>
                </c:pt>
                <c:pt idx="854">
                  <c:v>460000</c:v>
                </c:pt>
                <c:pt idx="855">
                  <c:v>454000</c:v>
                </c:pt>
                <c:pt idx="856">
                  <c:v>459000</c:v>
                </c:pt>
                <c:pt idx="857">
                  <c:v>442000</c:v>
                </c:pt>
                <c:pt idx="858">
                  <c:v>434000</c:v>
                </c:pt>
                <c:pt idx="859">
                  <c:v>442000</c:v>
                </c:pt>
                <c:pt idx="860">
                  <c:v>422000</c:v>
                </c:pt>
                <c:pt idx="861">
                  <c:v>412000</c:v>
                </c:pt>
                <c:pt idx="862">
                  <c:v>396000</c:v>
                </c:pt>
                <c:pt idx="863">
                  <c:v>395000</c:v>
                </c:pt>
                <c:pt idx="864">
                  <c:v>415000</c:v>
                </c:pt>
                <c:pt idx="865">
                  <c:v>415000</c:v>
                </c:pt>
                <c:pt idx="866">
                  <c:v>457000</c:v>
                </c:pt>
                <c:pt idx="867">
                  <c:v>445000</c:v>
                </c:pt>
                <c:pt idx="868">
                  <c:v>426000</c:v>
                </c:pt>
                <c:pt idx="869">
                  <c:v>411000</c:v>
                </c:pt>
                <c:pt idx="870">
                  <c:v>403000</c:v>
                </c:pt>
                <c:pt idx="871">
                  <c:v>405000</c:v>
                </c:pt>
                <c:pt idx="872">
                  <c:v>416000</c:v>
                </c:pt>
                <c:pt idx="873">
                  <c:v>413000</c:v>
                </c:pt>
                <c:pt idx="874">
                  <c:v>406000</c:v>
                </c:pt>
                <c:pt idx="875">
                  <c:v>394000</c:v>
                </c:pt>
                <c:pt idx="876">
                  <c:v>394000</c:v>
                </c:pt>
                <c:pt idx="877">
                  <c:v>404000</c:v>
                </c:pt>
                <c:pt idx="878">
                  <c:v>395000</c:v>
                </c:pt>
                <c:pt idx="879">
                  <c:v>390000</c:v>
                </c:pt>
                <c:pt idx="880">
                  <c:v>387000</c:v>
                </c:pt>
                <c:pt idx="881">
                  <c:v>398000</c:v>
                </c:pt>
                <c:pt idx="882">
                  <c:v>365000</c:v>
                </c:pt>
                <c:pt idx="883">
                  <c:v>368000</c:v>
                </c:pt>
                <c:pt idx="884">
                  <c:v>362000</c:v>
                </c:pt>
                <c:pt idx="885">
                  <c:v>377000</c:v>
                </c:pt>
                <c:pt idx="886">
                  <c:v>372000</c:v>
                </c:pt>
                <c:pt idx="887">
                  <c:v>356000</c:v>
                </c:pt>
                <c:pt idx="888">
                  <c:v>351000</c:v>
                </c:pt>
                <c:pt idx="889">
                  <c:v>333000</c:v>
                </c:pt>
                <c:pt idx="890">
                  <c:v>364000</c:v>
                </c:pt>
                <c:pt idx="891">
                  <c:v>342000</c:v>
                </c:pt>
                <c:pt idx="892">
                  <c:v>338000</c:v>
                </c:pt>
                <c:pt idx="893">
                  <c:v>334000</c:v>
                </c:pt>
                <c:pt idx="894">
                  <c:v>343000</c:v>
                </c:pt>
                <c:pt idx="895">
                  <c:v>347000</c:v>
                </c:pt>
                <c:pt idx="896">
                  <c:v>346000</c:v>
                </c:pt>
                <c:pt idx="897">
                  <c:v>349000</c:v>
                </c:pt>
                <c:pt idx="898">
                  <c:v>346000</c:v>
                </c:pt>
                <c:pt idx="899">
                  <c:v>341000</c:v>
                </c:pt>
                <c:pt idx="900">
                  <c:v>381000</c:v>
                </c:pt>
                <c:pt idx="901">
                  <c:v>357000</c:v>
                </c:pt>
                <c:pt idx="902">
                  <c:v>364000</c:v>
                </c:pt>
                <c:pt idx="903">
                  <c:v>375000</c:v>
                </c:pt>
                <c:pt idx="904">
                  <c:v>365000</c:v>
                </c:pt>
                <c:pt idx="905">
                  <c:v>368000</c:v>
                </c:pt>
                <c:pt idx="906">
                  <c:v>354000</c:v>
                </c:pt>
                <c:pt idx="907">
                  <c:v>354000</c:v>
                </c:pt>
                <c:pt idx="908">
                  <c:v>355000</c:v>
                </c:pt>
                <c:pt idx="909">
                  <c:v>369000</c:v>
                </c:pt>
                <c:pt idx="910">
                  <c:v>361000</c:v>
                </c:pt>
                <c:pt idx="911">
                  <c:v>362000</c:v>
                </c:pt>
                <c:pt idx="912">
                  <c:v>360000</c:v>
                </c:pt>
                <c:pt idx="913">
                  <c:v>366000</c:v>
                </c:pt>
                <c:pt idx="914">
                  <c:v>360000</c:v>
                </c:pt>
                <c:pt idx="915">
                  <c:v>357000</c:v>
                </c:pt>
                <c:pt idx="916">
                  <c:v>359000</c:v>
                </c:pt>
                <c:pt idx="917">
                  <c:v>382000</c:v>
                </c:pt>
                <c:pt idx="918">
                  <c:v>380000</c:v>
                </c:pt>
                <c:pt idx="919">
                  <c:v>401000</c:v>
                </c:pt>
                <c:pt idx="920">
                  <c:v>395000</c:v>
                </c:pt>
                <c:pt idx="921">
                  <c:v>385000</c:v>
                </c:pt>
                <c:pt idx="922">
                  <c:v>402000</c:v>
                </c:pt>
                <c:pt idx="923">
                  <c:v>393000</c:v>
                </c:pt>
                <c:pt idx="924">
                  <c:v>395000</c:v>
                </c:pt>
                <c:pt idx="925">
                  <c:v>402000</c:v>
                </c:pt>
                <c:pt idx="926">
                  <c:v>403000</c:v>
                </c:pt>
                <c:pt idx="927">
                  <c:v>410000</c:v>
                </c:pt>
                <c:pt idx="928">
                  <c:v>439000</c:v>
                </c:pt>
                <c:pt idx="929">
                  <c:v>425000</c:v>
                </c:pt>
                <c:pt idx="930">
                  <c:v>423000</c:v>
                </c:pt>
                <c:pt idx="931">
                  <c:v>393000</c:v>
                </c:pt>
                <c:pt idx="932">
                  <c:v>383000</c:v>
                </c:pt>
                <c:pt idx="933">
                  <c:v>429000</c:v>
                </c:pt>
                <c:pt idx="934">
                  <c:v>401000</c:v>
                </c:pt>
                <c:pt idx="935">
                  <c:v>383000</c:v>
                </c:pt>
                <c:pt idx="936">
                  <c:v>386000</c:v>
                </c:pt>
                <c:pt idx="937">
                  <c:v>379000</c:v>
                </c:pt>
                <c:pt idx="938">
                  <c:v>379000</c:v>
                </c:pt>
                <c:pt idx="939">
                  <c:v>369000</c:v>
                </c:pt>
                <c:pt idx="940">
                  <c:v>387000</c:v>
                </c:pt>
                <c:pt idx="941">
                  <c:v>359000</c:v>
                </c:pt>
                <c:pt idx="942">
                  <c:v>368000</c:v>
                </c:pt>
                <c:pt idx="943">
                  <c:v>386000</c:v>
                </c:pt>
                <c:pt idx="944">
                  <c:v>401000</c:v>
                </c:pt>
                <c:pt idx="945">
                  <c:v>390000</c:v>
                </c:pt>
                <c:pt idx="946">
                  <c:v>390000</c:v>
                </c:pt>
                <c:pt idx="947">
                  <c:v>374000</c:v>
                </c:pt>
                <c:pt idx="948">
                  <c:v>385000</c:v>
                </c:pt>
                <c:pt idx="949">
                  <c:v>386000</c:v>
                </c:pt>
                <c:pt idx="950">
                  <c:v>373000</c:v>
                </c:pt>
                <c:pt idx="951">
                  <c:v>386000</c:v>
                </c:pt>
                <c:pt idx="952">
                  <c:v>405000</c:v>
                </c:pt>
                <c:pt idx="953">
                  <c:v>411000</c:v>
                </c:pt>
                <c:pt idx="954">
                  <c:v>391000</c:v>
                </c:pt>
                <c:pt idx="955">
                  <c:v>386000</c:v>
                </c:pt>
                <c:pt idx="956">
                  <c:v>390000</c:v>
                </c:pt>
                <c:pt idx="957">
                  <c:v>394000</c:v>
                </c:pt>
                <c:pt idx="958">
                  <c:v>391000</c:v>
                </c:pt>
                <c:pt idx="959">
                  <c:v>396000</c:v>
                </c:pt>
                <c:pt idx="960">
                  <c:v>393000</c:v>
                </c:pt>
                <c:pt idx="961">
                  <c:v>403000</c:v>
                </c:pt>
                <c:pt idx="962">
                  <c:v>390000</c:v>
                </c:pt>
                <c:pt idx="963">
                  <c:v>386000</c:v>
                </c:pt>
                <c:pt idx="964">
                  <c:v>390000</c:v>
                </c:pt>
                <c:pt idx="965">
                  <c:v>395000</c:v>
                </c:pt>
                <c:pt idx="966">
                  <c:v>386000</c:v>
                </c:pt>
                <c:pt idx="967">
                  <c:v>370000</c:v>
                </c:pt>
                <c:pt idx="968">
                  <c:v>362000</c:v>
                </c:pt>
                <c:pt idx="969">
                  <c:v>407000</c:v>
                </c:pt>
                <c:pt idx="970">
                  <c:v>402000</c:v>
                </c:pt>
                <c:pt idx="971">
                  <c:v>399000</c:v>
                </c:pt>
                <c:pt idx="972">
                  <c:v>405000</c:v>
                </c:pt>
                <c:pt idx="973">
                  <c:v>409000</c:v>
                </c:pt>
                <c:pt idx="974">
                  <c:v>426000</c:v>
                </c:pt>
                <c:pt idx="975">
                  <c:v>408000</c:v>
                </c:pt>
                <c:pt idx="976">
                  <c:v>401000</c:v>
                </c:pt>
                <c:pt idx="977">
                  <c:v>399000</c:v>
                </c:pt>
                <c:pt idx="978">
                  <c:v>405000</c:v>
                </c:pt>
                <c:pt idx="979">
                  <c:v>400000</c:v>
                </c:pt>
                <c:pt idx="980">
                  <c:v>400000</c:v>
                </c:pt>
                <c:pt idx="981">
                  <c:v>418000</c:v>
                </c:pt>
                <c:pt idx="982">
                  <c:v>398000</c:v>
                </c:pt>
                <c:pt idx="983">
                  <c:v>397000</c:v>
                </c:pt>
                <c:pt idx="984">
                  <c:v>397000</c:v>
                </c:pt>
                <c:pt idx="985">
                  <c:v>382000</c:v>
                </c:pt>
                <c:pt idx="986">
                  <c:v>393000</c:v>
                </c:pt>
                <c:pt idx="987">
                  <c:v>399000</c:v>
                </c:pt>
                <c:pt idx="988">
                  <c:v>382000</c:v>
                </c:pt>
                <c:pt idx="989">
                  <c:v>370000</c:v>
                </c:pt>
                <c:pt idx="990">
                  <c:v>390000</c:v>
                </c:pt>
                <c:pt idx="991">
                  <c:v>362000</c:v>
                </c:pt>
                <c:pt idx="992">
                  <c:v>397000</c:v>
                </c:pt>
                <c:pt idx="993">
                  <c:v>364000</c:v>
                </c:pt>
                <c:pt idx="994">
                  <c:v>344000</c:v>
                </c:pt>
                <c:pt idx="995">
                  <c:v>364000</c:v>
                </c:pt>
                <c:pt idx="996">
                  <c:v>366000</c:v>
                </c:pt>
                <c:pt idx="997">
                  <c:v>358000</c:v>
                </c:pt>
                <c:pt idx="998">
                  <c:v>390000</c:v>
                </c:pt>
                <c:pt idx="999">
                  <c:v>375000</c:v>
                </c:pt>
                <c:pt idx="1000">
                  <c:v>366000</c:v>
                </c:pt>
                <c:pt idx="1001">
                  <c:v>382000</c:v>
                </c:pt>
                <c:pt idx="1002">
                  <c:v>387000</c:v>
                </c:pt>
                <c:pt idx="1003">
                  <c:v>396000</c:v>
                </c:pt>
                <c:pt idx="1004">
                  <c:v>381000</c:v>
                </c:pt>
                <c:pt idx="1005">
                  <c:v>388000</c:v>
                </c:pt>
                <c:pt idx="1006">
                  <c:v>383000</c:v>
                </c:pt>
                <c:pt idx="1007">
                  <c:v>391000</c:v>
                </c:pt>
                <c:pt idx="1008">
                  <c:v>392000</c:v>
                </c:pt>
                <c:pt idx="1009">
                  <c:v>395000</c:v>
                </c:pt>
                <c:pt idx="1010">
                  <c:v>384000</c:v>
                </c:pt>
                <c:pt idx="1011">
                  <c:v>386000</c:v>
                </c:pt>
                <c:pt idx="1012">
                  <c:v>373000</c:v>
                </c:pt>
                <c:pt idx="1013">
                  <c:v>375000</c:v>
                </c:pt>
                <c:pt idx="1014">
                  <c:v>369000</c:v>
                </c:pt>
                <c:pt idx="1015">
                  <c:v>367000</c:v>
                </c:pt>
                <c:pt idx="1016">
                  <c:v>371000</c:v>
                </c:pt>
                <c:pt idx="1017">
                  <c:v>371000</c:v>
                </c:pt>
                <c:pt idx="1018">
                  <c:v>361000</c:v>
                </c:pt>
                <c:pt idx="1019">
                  <c:v>354000</c:v>
                </c:pt>
                <c:pt idx="1020">
                  <c:v>362000</c:v>
                </c:pt>
                <c:pt idx="1021">
                  <c:v>416000</c:v>
                </c:pt>
                <c:pt idx="1022">
                  <c:v>416000</c:v>
                </c:pt>
                <c:pt idx="1023">
                  <c:v>407000</c:v>
                </c:pt>
                <c:pt idx="1024">
                  <c:v>397000</c:v>
                </c:pt>
                <c:pt idx="1025">
                  <c:v>401000</c:v>
                </c:pt>
                <c:pt idx="1026">
                  <c:v>400000</c:v>
                </c:pt>
                <c:pt idx="1027">
                  <c:v>394000</c:v>
                </c:pt>
                <c:pt idx="1028">
                  <c:v>399000</c:v>
                </c:pt>
                <c:pt idx="1029">
                  <c:v>389000</c:v>
                </c:pt>
                <c:pt idx="1030">
                  <c:v>391000</c:v>
                </c:pt>
                <c:pt idx="1031">
                  <c:v>387000</c:v>
                </c:pt>
                <c:pt idx="1032">
                  <c:v>385000</c:v>
                </c:pt>
                <c:pt idx="1033">
                  <c:v>370000</c:v>
                </c:pt>
                <c:pt idx="1034">
                  <c:v>364000</c:v>
                </c:pt>
                <c:pt idx="1035">
                  <c:v>349000</c:v>
                </c:pt>
                <c:pt idx="1036">
                  <c:v>368000</c:v>
                </c:pt>
                <c:pt idx="1037">
                  <c:v>369000</c:v>
                </c:pt>
                <c:pt idx="1038">
                  <c:v>366000</c:v>
                </c:pt>
                <c:pt idx="1039">
                  <c:v>363000</c:v>
                </c:pt>
                <c:pt idx="1040">
                  <c:v>375000</c:v>
                </c:pt>
                <c:pt idx="1041">
                  <c:v>350000</c:v>
                </c:pt>
                <c:pt idx="1042">
                  <c:v>345000</c:v>
                </c:pt>
                <c:pt idx="1043">
                  <c:v>323000</c:v>
                </c:pt>
                <c:pt idx="1044">
                  <c:v>348000</c:v>
                </c:pt>
                <c:pt idx="1045">
                  <c:v>341000</c:v>
                </c:pt>
                <c:pt idx="1046">
                  <c:v>346000</c:v>
                </c:pt>
                <c:pt idx="1047">
                  <c:v>370000</c:v>
                </c:pt>
                <c:pt idx="1048">
                  <c:v>368000</c:v>
                </c:pt>
                <c:pt idx="1049">
                  <c:v>338000</c:v>
                </c:pt>
                <c:pt idx="1050">
                  <c:v>341000</c:v>
                </c:pt>
                <c:pt idx="1051">
                  <c:v>348000</c:v>
                </c:pt>
                <c:pt idx="1052">
                  <c:v>337000</c:v>
                </c:pt>
                <c:pt idx="1053">
                  <c:v>335000</c:v>
                </c:pt>
                <c:pt idx="1054">
                  <c:v>335000</c:v>
                </c:pt>
                <c:pt idx="1055">
                  <c:v>326000</c:v>
                </c:pt>
                <c:pt idx="1056">
                  <c:v>330000</c:v>
                </c:pt>
                <c:pt idx="1057">
                  <c:v>338000</c:v>
                </c:pt>
                <c:pt idx="1058">
                  <c:v>349000</c:v>
                </c:pt>
                <c:pt idx="1059">
                  <c:v>328000</c:v>
                </c:pt>
                <c:pt idx="1060">
                  <c:v>330000</c:v>
                </c:pt>
                <c:pt idx="1061">
                  <c:v>315000</c:v>
                </c:pt>
                <c:pt idx="1062">
                  <c:v>341000</c:v>
                </c:pt>
                <c:pt idx="1063">
                  <c:v>343000</c:v>
                </c:pt>
                <c:pt idx="1064">
                  <c:v>326000</c:v>
                </c:pt>
                <c:pt idx="1065">
                  <c:v>328000</c:v>
                </c:pt>
                <c:pt idx="1066">
                  <c:v>316000</c:v>
                </c:pt>
                <c:pt idx="1067">
                  <c:v>319000</c:v>
                </c:pt>
                <c:pt idx="1068">
                  <c:v>326000</c:v>
                </c:pt>
                <c:pt idx="1069">
                  <c:v>326000</c:v>
                </c:pt>
                <c:pt idx="1070">
                  <c:v>317000</c:v>
                </c:pt>
                <c:pt idx="1071">
                  <c:v>310000</c:v>
                </c:pt>
                <c:pt idx="1072">
                  <c:v>324000</c:v>
                </c:pt>
                <c:pt idx="1073">
                  <c:v>348000</c:v>
                </c:pt>
                <c:pt idx="1074">
                  <c:v>327000</c:v>
                </c:pt>
                <c:pt idx="1075">
                  <c:v>319000</c:v>
                </c:pt>
                <c:pt idx="1076">
                  <c:v>312000</c:v>
                </c:pt>
                <c:pt idx="1077">
                  <c:v>322000</c:v>
                </c:pt>
                <c:pt idx="1078">
                  <c:v>316000</c:v>
                </c:pt>
                <c:pt idx="1079">
                  <c:v>297000</c:v>
                </c:pt>
                <c:pt idx="1080">
                  <c:v>309000</c:v>
                </c:pt>
                <c:pt idx="1081">
                  <c:v>317000</c:v>
                </c:pt>
                <c:pt idx="1082">
                  <c:v>301000</c:v>
                </c:pt>
                <c:pt idx="1083">
                  <c:v>308000</c:v>
                </c:pt>
                <c:pt idx="1084">
                  <c:v>301000</c:v>
                </c:pt>
                <c:pt idx="1085">
                  <c:v>301000</c:v>
                </c:pt>
                <c:pt idx="1086">
                  <c:v>289000</c:v>
                </c:pt>
                <c:pt idx="1087">
                  <c:v>297000</c:v>
                </c:pt>
                <c:pt idx="1088">
                  <c:v>307000</c:v>
                </c:pt>
                <c:pt idx="1089">
                  <c:v>317000</c:v>
                </c:pt>
                <c:pt idx="1090">
                  <c:v>306000</c:v>
                </c:pt>
                <c:pt idx="1091">
                  <c:v>319000</c:v>
                </c:pt>
                <c:pt idx="1092">
                  <c:v>317000</c:v>
                </c:pt>
                <c:pt idx="1093">
                  <c:v>323000</c:v>
                </c:pt>
                <c:pt idx="1094">
                  <c:v>316000</c:v>
                </c:pt>
                <c:pt idx="1095">
                  <c:v>315000</c:v>
                </c:pt>
                <c:pt idx="1096">
                  <c:v>325000</c:v>
                </c:pt>
                <c:pt idx="1097">
                  <c:v>361000</c:v>
                </c:pt>
                <c:pt idx="1098">
                  <c:v>335000</c:v>
                </c:pt>
                <c:pt idx="1099">
                  <c:v>342000</c:v>
                </c:pt>
                <c:pt idx="1100">
                  <c:v>318000</c:v>
                </c:pt>
                <c:pt idx="1101">
                  <c:v>311000</c:v>
                </c:pt>
                <c:pt idx="1102">
                  <c:v>327000</c:v>
                </c:pt>
                <c:pt idx="1103">
                  <c:v>319000</c:v>
                </c:pt>
                <c:pt idx="1104">
                  <c:v>307000</c:v>
                </c:pt>
                <c:pt idx="1105">
                  <c:v>304000</c:v>
                </c:pt>
                <c:pt idx="1106">
                  <c:v>307000</c:v>
                </c:pt>
                <c:pt idx="1107">
                  <c:v>304000</c:v>
                </c:pt>
                <c:pt idx="1108">
                  <c:v>309000</c:v>
                </c:pt>
                <c:pt idx="1109">
                  <c:v>313000</c:v>
                </c:pt>
                <c:pt idx="1110">
                  <c:v>314000</c:v>
                </c:pt>
                <c:pt idx="1111">
                  <c:v>312000</c:v>
                </c:pt>
                <c:pt idx="1112">
                  <c:v>313000</c:v>
                </c:pt>
                <c:pt idx="1113">
                  <c:v>309000</c:v>
                </c:pt>
                <c:pt idx="1114">
                  <c:v>314000</c:v>
                </c:pt>
                <c:pt idx="1115">
                  <c:v>319000</c:v>
                </c:pt>
                <c:pt idx="1116">
                  <c:v>313000</c:v>
                </c:pt>
                <c:pt idx="1117">
                  <c:v>310000</c:v>
                </c:pt>
                <c:pt idx="1118">
                  <c:v>305000</c:v>
                </c:pt>
                <c:pt idx="1119">
                  <c:v>311000</c:v>
                </c:pt>
                <c:pt idx="1120">
                  <c:v>307000</c:v>
                </c:pt>
                <c:pt idx="1121">
                  <c:v>305000</c:v>
                </c:pt>
                <c:pt idx="1122">
                  <c:v>303000</c:v>
                </c:pt>
                <c:pt idx="1123">
                  <c:v>315000</c:v>
                </c:pt>
                <c:pt idx="1124">
                  <c:v>354000</c:v>
                </c:pt>
                <c:pt idx="1125">
                  <c:v>331000</c:v>
                </c:pt>
                <c:pt idx="1126">
                  <c:v>316000</c:v>
                </c:pt>
                <c:pt idx="1127">
                  <c:v>312000</c:v>
                </c:pt>
                <c:pt idx="1128">
                  <c:v>316000</c:v>
                </c:pt>
                <c:pt idx="1129">
                  <c:v>315000</c:v>
                </c:pt>
                <c:pt idx="1130">
                  <c:v>306000</c:v>
                </c:pt>
                <c:pt idx="1131">
                  <c:v>305000</c:v>
                </c:pt>
                <c:pt idx="1132">
                  <c:v>306000</c:v>
                </c:pt>
                <c:pt idx="1133">
                  <c:v>301000</c:v>
                </c:pt>
                <c:pt idx="1134">
                  <c:v>292000</c:v>
                </c:pt>
                <c:pt idx="1135">
                  <c:v>292000</c:v>
                </c:pt>
                <c:pt idx="1136">
                  <c:v>293000</c:v>
                </c:pt>
                <c:pt idx="1137">
                  <c:v>286000</c:v>
                </c:pt>
                <c:pt idx="1138">
                  <c:v>294000</c:v>
                </c:pt>
                <c:pt idx="1139">
                  <c:v>285000</c:v>
                </c:pt>
                <c:pt idx="1140">
                  <c:v>284000</c:v>
                </c:pt>
                <c:pt idx="1141">
                  <c:v>294000</c:v>
                </c:pt>
                <c:pt idx="1142">
                  <c:v>299000</c:v>
                </c:pt>
                <c:pt idx="1143">
                  <c:v>298000</c:v>
                </c:pt>
                <c:pt idx="1144">
                  <c:v>285000</c:v>
                </c:pt>
                <c:pt idx="1145">
                  <c:v>293000</c:v>
                </c:pt>
                <c:pt idx="1146">
                  <c:v>286000</c:v>
                </c:pt>
                <c:pt idx="1147">
                  <c:v>304000</c:v>
                </c:pt>
                <c:pt idx="1148">
                  <c:v>299000</c:v>
                </c:pt>
                <c:pt idx="1149">
                  <c:v>283000</c:v>
                </c:pt>
                <c:pt idx="1150">
                  <c:v>282000</c:v>
                </c:pt>
                <c:pt idx="1151">
                  <c:v>295000</c:v>
                </c:pt>
                <c:pt idx="1152">
                  <c:v>288000</c:v>
                </c:pt>
                <c:pt idx="1153">
                  <c:v>322000</c:v>
                </c:pt>
                <c:pt idx="1154">
                  <c:v>305000</c:v>
                </c:pt>
                <c:pt idx="1155">
                  <c:v>300000</c:v>
                </c:pt>
                <c:pt idx="1156">
                  <c:v>325000</c:v>
                </c:pt>
                <c:pt idx="1157">
                  <c:v>325000</c:v>
                </c:pt>
                <c:pt idx="1158">
                  <c:v>319000</c:v>
                </c:pt>
                <c:pt idx="1159">
                  <c:v>319000</c:v>
                </c:pt>
                <c:pt idx="1160">
                  <c:v>323000</c:v>
                </c:pt>
                <c:pt idx="1161">
                  <c:v>314000</c:v>
                </c:pt>
                <c:pt idx="1162">
                  <c:v>307000</c:v>
                </c:pt>
                <c:pt idx="1163">
                  <c:v>304000</c:v>
                </c:pt>
                <c:pt idx="1164">
                  <c:v>311000</c:v>
                </c:pt>
                <c:pt idx="1165">
                  <c:v>320000</c:v>
                </c:pt>
                <c:pt idx="1166">
                  <c:v>332000</c:v>
                </c:pt>
                <c:pt idx="1167">
                  <c:v>321000</c:v>
                </c:pt>
                <c:pt idx="1168">
                  <c:v>325000</c:v>
                </c:pt>
                <c:pt idx="1169">
                  <c:v>325000</c:v>
                </c:pt>
                <c:pt idx="1170">
                  <c:v>332000</c:v>
                </c:pt>
                <c:pt idx="1171">
                  <c:v>337000</c:v>
                </c:pt>
                <c:pt idx="1172">
                  <c:v>338000</c:v>
                </c:pt>
                <c:pt idx="1173">
                  <c:v>349000</c:v>
                </c:pt>
                <c:pt idx="1174">
                  <c:v>341000</c:v>
                </c:pt>
                <c:pt idx="1175">
                  <c:v>349000</c:v>
                </c:pt>
                <c:pt idx="1176">
                  <c:v>332000</c:v>
                </c:pt>
                <c:pt idx="1177">
                  <c:v>337000</c:v>
                </c:pt>
                <c:pt idx="1178">
                  <c:v>338000</c:v>
                </c:pt>
                <c:pt idx="1179">
                  <c:v>341000</c:v>
                </c:pt>
                <c:pt idx="1180">
                  <c:v>327000</c:v>
                </c:pt>
                <c:pt idx="1181">
                  <c:v>332000</c:v>
                </c:pt>
                <c:pt idx="1182">
                  <c:v>329000</c:v>
                </c:pt>
                <c:pt idx="1183">
                  <c:v>336000</c:v>
                </c:pt>
                <c:pt idx="1184">
                  <c:v>334000</c:v>
                </c:pt>
                <c:pt idx="1185">
                  <c:v>334000</c:v>
                </c:pt>
                <c:pt idx="1186">
                  <c:v>347000</c:v>
                </c:pt>
                <c:pt idx="1187">
                  <c:v>407000</c:v>
                </c:pt>
                <c:pt idx="1188">
                  <c:v>345000</c:v>
                </c:pt>
                <c:pt idx="1189">
                  <c:v>347000</c:v>
                </c:pt>
                <c:pt idx="1190">
                  <c:v>354000</c:v>
                </c:pt>
                <c:pt idx="1191">
                  <c:v>333000</c:v>
                </c:pt>
                <c:pt idx="1192">
                  <c:v>336000</c:v>
                </c:pt>
                <c:pt idx="1193">
                  <c:v>336000</c:v>
                </c:pt>
                <c:pt idx="1194">
                  <c:v>342000</c:v>
                </c:pt>
                <c:pt idx="1195">
                  <c:v>344000</c:v>
                </c:pt>
                <c:pt idx="1196">
                  <c:v>338000</c:v>
                </c:pt>
                <c:pt idx="1197">
                  <c:v>355000</c:v>
                </c:pt>
                <c:pt idx="1198">
                  <c:v>381000</c:v>
                </c:pt>
                <c:pt idx="1199">
                  <c:v>358000</c:v>
                </c:pt>
                <c:pt idx="1200">
                  <c:v>355000</c:v>
                </c:pt>
                <c:pt idx="1201">
                  <c:v>369000</c:v>
                </c:pt>
                <c:pt idx="1202">
                  <c:v>375000</c:v>
                </c:pt>
                <c:pt idx="1203">
                  <c:v>345000</c:v>
                </c:pt>
                <c:pt idx="1204">
                  <c:v>368000</c:v>
                </c:pt>
                <c:pt idx="1205">
                  <c:v>367000</c:v>
                </c:pt>
                <c:pt idx="1206">
                  <c:v>348000</c:v>
                </c:pt>
                <c:pt idx="1207">
                  <c:v>350000</c:v>
                </c:pt>
                <c:pt idx="1208">
                  <c:v>351000</c:v>
                </c:pt>
                <c:pt idx="1209">
                  <c:v>349000</c:v>
                </c:pt>
                <c:pt idx="1210">
                  <c:v>349000</c:v>
                </c:pt>
                <c:pt idx="1211">
                  <c:v>331000</c:v>
                </c:pt>
                <c:pt idx="1212">
                  <c:v>346000</c:v>
                </c:pt>
                <c:pt idx="1213">
                  <c:v>367000</c:v>
                </c:pt>
                <c:pt idx="1214">
                  <c:v>357000</c:v>
                </c:pt>
                <c:pt idx="1215">
                  <c:v>360000</c:v>
                </c:pt>
                <c:pt idx="1216">
                  <c:v>363000</c:v>
                </c:pt>
                <c:pt idx="1217">
                  <c:v>354000</c:v>
                </c:pt>
                <c:pt idx="1218">
                  <c:v>355000</c:v>
                </c:pt>
                <c:pt idx="1219">
                  <c:v>353000</c:v>
                </c:pt>
                <c:pt idx="1220">
                  <c:v>359000</c:v>
                </c:pt>
                <c:pt idx="1221">
                  <c:v>368000</c:v>
                </c:pt>
                <c:pt idx="1222">
                  <c:v>359000</c:v>
                </c:pt>
                <c:pt idx="1223">
                  <c:v>359000</c:v>
                </c:pt>
                <c:pt idx="1224">
                  <c:v>362000</c:v>
                </c:pt>
                <c:pt idx="1225">
                  <c:v>364000</c:v>
                </c:pt>
                <c:pt idx="1226">
                  <c:v>362000</c:v>
                </c:pt>
                <c:pt idx="1227">
                  <c:v>367000</c:v>
                </c:pt>
                <c:pt idx="1228">
                  <c:v>370000</c:v>
                </c:pt>
                <c:pt idx="1229">
                  <c:v>369000</c:v>
                </c:pt>
                <c:pt idx="1230">
                  <c:v>369000</c:v>
                </c:pt>
                <c:pt idx="1231">
                  <c:v>381000</c:v>
                </c:pt>
                <c:pt idx="1232">
                  <c:v>393000</c:v>
                </c:pt>
                <c:pt idx="1233">
                  <c:v>394000</c:v>
                </c:pt>
                <c:pt idx="1234">
                  <c:v>392000</c:v>
                </c:pt>
                <c:pt idx="1235">
                  <c:v>390000</c:v>
                </c:pt>
                <c:pt idx="1236">
                  <c:v>395000</c:v>
                </c:pt>
                <c:pt idx="1237">
                  <c:v>389000</c:v>
                </c:pt>
                <c:pt idx="1238">
                  <c:v>404000</c:v>
                </c:pt>
                <c:pt idx="1239">
                  <c:v>404000</c:v>
                </c:pt>
                <c:pt idx="1240">
                  <c:v>422000</c:v>
                </c:pt>
                <c:pt idx="1241">
                  <c:v>435000</c:v>
                </c:pt>
                <c:pt idx="1242">
                  <c:v>440000</c:v>
                </c:pt>
                <c:pt idx="1243">
                  <c:v>430000</c:v>
                </c:pt>
                <c:pt idx="1244">
                  <c:v>448000</c:v>
                </c:pt>
                <c:pt idx="1245">
                  <c:v>447000</c:v>
                </c:pt>
                <c:pt idx="1246">
                  <c:v>462000</c:v>
                </c:pt>
                <c:pt idx="1247">
                  <c:v>451000</c:v>
                </c:pt>
                <c:pt idx="1248">
                  <c:v>449000</c:v>
                </c:pt>
                <c:pt idx="1249">
                  <c:v>447000</c:v>
                </c:pt>
                <c:pt idx="1250">
                  <c:v>474000</c:v>
                </c:pt>
                <c:pt idx="1251">
                  <c:v>454000</c:v>
                </c:pt>
                <c:pt idx="1252">
                  <c:v>415000</c:v>
                </c:pt>
                <c:pt idx="1253">
                  <c:v>437000</c:v>
                </c:pt>
                <c:pt idx="1254">
                  <c:v>445000</c:v>
                </c:pt>
                <c:pt idx="1255">
                  <c:v>462000</c:v>
                </c:pt>
                <c:pt idx="1256">
                  <c:v>483000</c:v>
                </c:pt>
                <c:pt idx="1257">
                  <c:v>480000</c:v>
                </c:pt>
                <c:pt idx="1258">
                  <c:v>474000</c:v>
                </c:pt>
                <c:pt idx="1259">
                  <c:v>499000</c:v>
                </c:pt>
                <c:pt idx="1260">
                  <c:v>488000</c:v>
                </c:pt>
                <c:pt idx="1261">
                  <c:v>499000</c:v>
                </c:pt>
                <c:pt idx="1262">
                  <c:v>498000</c:v>
                </c:pt>
                <c:pt idx="1263">
                  <c:v>509000</c:v>
                </c:pt>
                <c:pt idx="1264">
                  <c:v>499000</c:v>
                </c:pt>
                <c:pt idx="1265">
                  <c:v>452000</c:v>
                </c:pt>
                <c:pt idx="1266">
                  <c:v>477000</c:v>
                </c:pt>
                <c:pt idx="1267">
                  <c:v>478000</c:v>
                </c:pt>
                <c:pt idx="1268">
                  <c:v>462000</c:v>
                </c:pt>
                <c:pt idx="1269">
                  <c:v>451000</c:v>
                </c:pt>
                <c:pt idx="1270">
                  <c:v>446000</c:v>
                </c:pt>
                <c:pt idx="1271">
                  <c:v>448000</c:v>
                </c:pt>
                <c:pt idx="1272">
                  <c:v>443000</c:v>
                </c:pt>
                <c:pt idx="1273">
                  <c:v>432000</c:v>
                </c:pt>
                <c:pt idx="1274">
                  <c:v>441000</c:v>
                </c:pt>
                <c:pt idx="1275">
                  <c:v>429000</c:v>
                </c:pt>
                <c:pt idx="1276">
                  <c:v>423000</c:v>
                </c:pt>
                <c:pt idx="1277">
                  <c:v>418000</c:v>
                </c:pt>
                <c:pt idx="1278">
                  <c:v>422000</c:v>
                </c:pt>
                <c:pt idx="1279">
                  <c:v>420000</c:v>
                </c:pt>
                <c:pt idx="1280">
                  <c:v>408000</c:v>
                </c:pt>
                <c:pt idx="1281">
                  <c:v>423000</c:v>
                </c:pt>
                <c:pt idx="1282">
                  <c:v>438000</c:v>
                </c:pt>
                <c:pt idx="1283">
                  <c:v>437000</c:v>
                </c:pt>
                <c:pt idx="1284">
                  <c:v>433000</c:v>
                </c:pt>
                <c:pt idx="1285">
                  <c:v>425000</c:v>
                </c:pt>
                <c:pt idx="1286">
                  <c:v>425000</c:v>
                </c:pt>
                <c:pt idx="1287">
                  <c:v>424000</c:v>
                </c:pt>
                <c:pt idx="1288">
                  <c:v>418000</c:v>
                </c:pt>
                <c:pt idx="1289">
                  <c:v>419000</c:v>
                </c:pt>
                <c:pt idx="1290">
                  <c:v>437000</c:v>
                </c:pt>
                <c:pt idx="1291">
                  <c:v>424000</c:v>
                </c:pt>
                <c:pt idx="1292">
                  <c:v>425000</c:v>
                </c:pt>
                <c:pt idx="1293">
                  <c:v>419000</c:v>
                </c:pt>
                <c:pt idx="1294">
                  <c:v>423000</c:v>
                </c:pt>
                <c:pt idx="1295">
                  <c:v>447000</c:v>
                </c:pt>
                <c:pt idx="1296">
                  <c:v>453000</c:v>
                </c:pt>
                <c:pt idx="1297">
                  <c:v>439000</c:v>
                </c:pt>
                <c:pt idx="1298">
                  <c:v>444000</c:v>
                </c:pt>
                <c:pt idx="1299">
                  <c:v>444000</c:v>
                </c:pt>
                <c:pt idx="1300">
                  <c:v>475000</c:v>
                </c:pt>
                <c:pt idx="1301">
                  <c:v>475000</c:v>
                </c:pt>
                <c:pt idx="1302">
                  <c:v>436000</c:v>
                </c:pt>
                <c:pt idx="1303">
                  <c:v>441000</c:v>
                </c:pt>
                <c:pt idx="1304">
                  <c:v>432000</c:v>
                </c:pt>
                <c:pt idx="1305">
                  <c:v>440000</c:v>
                </c:pt>
                <c:pt idx="1306">
                  <c:v>443000</c:v>
                </c:pt>
                <c:pt idx="1307">
                  <c:v>441000</c:v>
                </c:pt>
                <c:pt idx="1308">
                  <c:v>440000</c:v>
                </c:pt>
                <c:pt idx="1309">
                  <c:v>445000</c:v>
                </c:pt>
                <c:pt idx="1310">
                  <c:v>446000</c:v>
                </c:pt>
                <c:pt idx="1311">
                  <c:v>436000</c:v>
                </c:pt>
                <c:pt idx="1312">
                  <c:v>444000</c:v>
                </c:pt>
                <c:pt idx="1313">
                  <c:v>421000</c:v>
                </c:pt>
                <c:pt idx="1314">
                  <c:v>437000</c:v>
                </c:pt>
                <c:pt idx="1315">
                  <c:v>440000</c:v>
                </c:pt>
                <c:pt idx="1316">
                  <c:v>420000</c:v>
                </c:pt>
                <c:pt idx="1317">
                  <c:v>412000</c:v>
                </c:pt>
                <c:pt idx="1318">
                  <c:v>413000</c:v>
                </c:pt>
                <c:pt idx="1319">
                  <c:v>424000</c:v>
                </c:pt>
                <c:pt idx="1320">
                  <c:v>424000</c:v>
                </c:pt>
                <c:pt idx="1321">
                  <c:v>431000</c:v>
                </c:pt>
                <c:pt idx="1322">
                  <c:v>417000</c:v>
                </c:pt>
                <c:pt idx="1323">
                  <c:v>414000</c:v>
                </c:pt>
                <c:pt idx="1324">
                  <c:v>414000</c:v>
                </c:pt>
                <c:pt idx="1325">
                  <c:v>411000</c:v>
                </c:pt>
                <c:pt idx="1326">
                  <c:v>416000</c:v>
                </c:pt>
                <c:pt idx="1327">
                  <c:v>420000</c:v>
                </c:pt>
                <c:pt idx="1328">
                  <c:v>419000</c:v>
                </c:pt>
                <c:pt idx="1329">
                  <c:v>420000</c:v>
                </c:pt>
                <c:pt idx="1330">
                  <c:v>407000</c:v>
                </c:pt>
                <c:pt idx="1331">
                  <c:v>408000</c:v>
                </c:pt>
                <c:pt idx="1332">
                  <c:v>392000</c:v>
                </c:pt>
                <c:pt idx="1333">
                  <c:v>564000</c:v>
                </c:pt>
                <c:pt idx="1334">
                  <c:v>423000</c:v>
                </c:pt>
                <c:pt idx="1335">
                  <c:v>406000</c:v>
                </c:pt>
                <c:pt idx="1336">
                  <c:v>401000</c:v>
                </c:pt>
                <c:pt idx="1337">
                  <c:v>398000</c:v>
                </c:pt>
                <c:pt idx="1338">
                  <c:v>408000</c:v>
                </c:pt>
                <c:pt idx="1339">
                  <c:v>416000</c:v>
                </c:pt>
                <c:pt idx="1340">
                  <c:v>416000</c:v>
                </c:pt>
                <c:pt idx="1341">
                  <c:v>427000</c:v>
                </c:pt>
                <c:pt idx="1342">
                  <c:v>409000</c:v>
                </c:pt>
                <c:pt idx="1343">
                  <c:v>398000</c:v>
                </c:pt>
                <c:pt idx="1344">
                  <c:v>374000</c:v>
                </c:pt>
                <c:pt idx="1345">
                  <c:v>385000</c:v>
                </c:pt>
                <c:pt idx="1346">
                  <c:v>367000</c:v>
                </c:pt>
                <c:pt idx="1347">
                  <c:v>365000</c:v>
                </c:pt>
                <c:pt idx="1348">
                  <c:v>374000</c:v>
                </c:pt>
                <c:pt idx="1349">
                  <c:v>377000</c:v>
                </c:pt>
                <c:pt idx="1350">
                  <c:v>357000</c:v>
                </c:pt>
                <c:pt idx="1351">
                  <c:v>341000</c:v>
                </c:pt>
                <c:pt idx="1352">
                  <c:v>350000</c:v>
                </c:pt>
                <c:pt idx="1353">
                  <c:v>359000</c:v>
                </c:pt>
                <c:pt idx="1354">
                  <c:v>334000</c:v>
                </c:pt>
                <c:pt idx="1355">
                  <c:v>313000</c:v>
                </c:pt>
                <c:pt idx="1356">
                  <c:v>341000</c:v>
                </c:pt>
                <c:pt idx="1357">
                  <c:v>354000</c:v>
                </c:pt>
                <c:pt idx="1358">
                  <c:v>352000</c:v>
                </c:pt>
                <c:pt idx="1359">
                  <c:v>341000</c:v>
                </c:pt>
                <c:pt idx="1360">
                  <c:v>340000</c:v>
                </c:pt>
                <c:pt idx="1361">
                  <c:v>319000</c:v>
                </c:pt>
                <c:pt idx="1362">
                  <c:v>321000</c:v>
                </c:pt>
                <c:pt idx="1363">
                  <c:v>351000</c:v>
                </c:pt>
                <c:pt idx="1364">
                  <c:v>362000</c:v>
                </c:pt>
                <c:pt idx="1365">
                  <c:v>354000</c:v>
                </c:pt>
                <c:pt idx="1366">
                  <c:v>346000</c:v>
                </c:pt>
                <c:pt idx="1367">
                  <c:v>338000</c:v>
                </c:pt>
                <c:pt idx="1368">
                  <c:v>366000</c:v>
                </c:pt>
                <c:pt idx="1369">
                  <c:v>365000</c:v>
                </c:pt>
                <c:pt idx="1370">
                  <c:v>353000</c:v>
                </c:pt>
                <c:pt idx="1371">
                  <c:v>351000</c:v>
                </c:pt>
                <c:pt idx="1372">
                  <c:v>350000</c:v>
                </c:pt>
                <c:pt idx="1373">
                  <c:v>343000</c:v>
                </c:pt>
                <c:pt idx="1374">
                  <c:v>339000</c:v>
                </c:pt>
                <c:pt idx="1375">
                  <c:v>345000</c:v>
                </c:pt>
                <c:pt idx="1376">
                  <c:v>342000</c:v>
                </c:pt>
                <c:pt idx="1377">
                  <c:v>349000</c:v>
                </c:pt>
                <c:pt idx="1378">
                  <c:v>343000</c:v>
                </c:pt>
                <c:pt idx="1379">
                  <c:v>343000</c:v>
                </c:pt>
                <c:pt idx="1380">
                  <c:v>345000</c:v>
                </c:pt>
                <c:pt idx="1381">
                  <c:v>340000</c:v>
                </c:pt>
                <c:pt idx="1382">
                  <c:v>334000</c:v>
                </c:pt>
                <c:pt idx="1383">
                  <c:v>314000</c:v>
                </c:pt>
                <c:pt idx="1384">
                  <c:v>335000</c:v>
                </c:pt>
                <c:pt idx="1385">
                  <c:v>415000</c:v>
                </c:pt>
                <c:pt idx="1386">
                  <c:v>356000</c:v>
                </c:pt>
                <c:pt idx="1387">
                  <c:v>346000</c:v>
                </c:pt>
                <c:pt idx="1388">
                  <c:v>339000</c:v>
                </c:pt>
                <c:pt idx="1389">
                  <c:v>342000</c:v>
                </c:pt>
                <c:pt idx="1390">
                  <c:v>337000</c:v>
                </c:pt>
                <c:pt idx="1391">
                  <c:v>334000</c:v>
                </c:pt>
                <c:pt idx="1392">
                  <c:v>333000</c:v>
                </c:pt>
                <c:pt idx="1393">
                  <c:v>346000</c:v>
                </c:pt>
                <c:pt idx="1394">
                  <c:v>343000</c:v>
                </c:pt>
                <c:pt idx="1395">
                  <c:v>333000</c:v>
                </c:pt>
                <c:pt idx="1396">
                  <c:v>355000</c:v>
                </c:pt>
                <c:pt idx="1397">
                  <c:v>359000</c:v>
                </c:pt>
                <c:pt idx="1398">
                  <c:v>354000</c:v>
                </c:pt>
                <c:pt idx="1399">
                  <c:v>348000</c:v>
                </c:pt>
                <c:pt idx="1400">
                  <c:v>350000</c:v>
                </c:pt>
                <c:pt idx="1401">
                  <c:v>341000</c:v>
                </c:pt>
                <c:pt idx="1402">
                  <c:v>336000</c:v>
                </c:pt>
                <c:pt idx="1403">
                  <c:v>337000</c:v>
                </c:pt>
                <c:pt idx="1404">
                  <c:v>337000</c:v>
                </c:pt>
                <c:pt idx="1405">
                  <c:v>334000</c:v>
                </c:pt>
                <c:pt idx="1406">
                  <c:v>331000</c:v>
                </c:pt>
                <c:pt idx="1407">
                  <c:v>290000</c:v>
                </c:pt>
                <c:pt idx="1408">
                  <c:v>341000</c:v>
                </c:pt>
                <c:pt idx="1409">
                  <c:v>343000</c:v>
                </c:pt>
                <c:pt idx="1410">
                  <c:v>355000</c:v>
                </c:pt>
                <c:pt idx="1411">
                  <c:v>351000</c:v>
                </c:pt>
                <c:pt idx="1412">
                  <c:v>406000</c:v>
                </c:pt>
                <c:pt idx="1413">
                  <c:v>361000</c:v>
                </c:pt>
                <c:pt idx="1414">
                  <c:v>354000</c:v>
                </c:pt>
                <c:pt idx="1415">
                  <c:v>352000</c:v>
                </c:pt>
                <c:pt idx="1416">
                  <c:v>327000</c:v>
                </c:pt>
                <c:pt idx="1417">
                  <c:v>348000</c:v>
                </c:pt>
                <c:pt idx="1418">
                  <c:v>341000</c:v>
                </c:pt>
                <c:pt idx="1419">
                  <c:v>332000</c:v>
                </c:pt>
                <c:pt idx="1420">
                  <c:v>322000</c:v>
                </c:pt>
                <c:pt idx="1421">
                  <c:v>342000</c:v>
                </c:pt>
                <c:pt idx="1422">
                  <c:v>349000</c:v>
                </c:pt>
                <c:pt idx="1423">
                  <c:v>354000</c:v>
                </c:pt>
                <c:pt idx="1424">
                  <c:v>331000</c:v>
                </c:pt>
                <c:pt idx="1425">
                  <c:v>344000</c:v>
                </c:pt>
                <c:pt idx="1426">
                  <c:v>371000</c:v>
                </c:pt>
                <c:pt idx="1427">
                  <c:v>360000</c:v>
                </c:pt>
                <c:pt idx="1428">
                  <c:v>357000</c:v>
                </c:pt>
                <c:pt idx="1429">
                  <c:v>348000</c:v>
                </c:pt>
                <c:pt idx="1430">
                  <c:v>345000</c:v>
                </c:pt>
                <c:pt idx="1431">
                  <c:v>338000</c:v>
                </c:pt>
                <c:pt idx="1432">
                  <c:v>336000</c:v>
                </c:pt>
                <c:pt idx="1433">
                  <c:v>341000</c:v>
                </c:pt>
                <c:pt idx="1434">
                  <c:v>334000</c:v>
                </c:pt>
                <c:pt idx="1435">
                  <c:v>341000</c:v>
                </c:pt>
                <c:pt idx="1436">
                  <c:v>359000</c:v>
                </c:pt>
                <c:pt idx="1437">
                  <c:v>345000</c:v>
                </c:pt>
                <c:pt idx="1438">
                  <c:v>332000</c:v>
                </c:pt>
                <c:pt idx="1439">
                  <c:v>338000</c:v>
                </c:pt>
                <c:pt idx="1440">
                  <c:v>335000</c:v>
                </c:pt>
                <c:pt idx="1441">
                  <c:v>331000</c:v>
                </c:pt>
                <c:pt idx="1442">
                  <c:v>341000</c:v>
                </c:pt>
                <c:pt idx="1443">
                  <c:v>339000</c:v>
                </c:pt>
                <c:pt idx="1444">
                  <c:v>331000</c:v>
                </c:pt>
                <c:pt idx="1445">
                  <c:v>326000</c:v>
                </c:pt>
                <c:pt idx="1446">
                  <c:v>325000</c:v>
                </c:pt>
                <c:pt idx="1447">
                  <c:v>330000</c:v>
                </c:pt>
                <c:pt idx="1448">
                  <c:v>341000</c:v>
                </c:pt>
                <c:pt idx="1449">
                  <c:v>335000</c:v>
                </c:pt>
                <c:pt idx="1450">
                  <c:v>330000</c:v>
                </c:pt>
                <c:pt idx="1451">
                  <c:v>331000</c:v>
                </c:pt>
                <c:pt idx="1452">
                  <c:v>328000</c:v>
                </c:pt>
                <c:pt idx="1453">
                  <c:v>329000</c:v>
                </c:pt>
                <c:pt idx="1454">
                  <c:v>326000</c:v>
                </c:pt>
                <c:pt idx="1455">
                  <c:v>329000</c:v>
                </c:pt>
                <c:pt idx="1456">
                  <c:v>324000</c:v>
                </c:pt>
                <c:pt idx="1457">
                  <c:v>329000</c:v>
                </c:pt>
                <c:pt idx="1458">
                  <c:v>330000</c:v>
                </c:pt>
                <c:pt idx="1459">
                  <c:v>314000</c:v>
                </c:pt>
                <c:pt idx="1460">
                  <c:v>319000</c:v>
                </c:pt>
                <c:pt idx="1461">
                  <c:v>338000</c:v>
                </c:pt>
                <c:pt idx="1462">
                  <c:v>347000</c:v>
                </c:pt>
                <c:pt idx="1463">
                  <c:v>325000</c:v>
                </c:pt>
                <c:pt idx="1464">
                  <c:v>324000</c:v>
                </c:pt>
                <c:pt idx="1465">
                  <c:v>324000</c:v>
                </c:pt>
                <c:pt idx="1466">
                  <c:v>348000</c:v>
                </c:pt>
                <c:pt idx="1467">
                  <c:v>343000</c:v>
                </c:pt>
                <c:pt idx="1468">
                  <c:v>336000</c:v>
                </c:pt>
                <c:pt idx="1469">
                  <c:v>339000</c:v>
                </c:pt>
                <c:pt idx="1470">
                  <c:v>347000</c:v>
                </c:pt>
                <c:pt idx="1471">
                  <c:v>343000</c:v>
                </c:pt>
                <c:pt idx="1472">
                  <c:v>332000</c:v>
                </c:pt>
                <c:pt idx="1473">
                  <c:v>335000</c:v>
                </c:pt>
                <c:pt idx="1474">
                  <c:v>347000</c:v>
                </c:pt>
                <c:pt idx="1475">
                  <c:v>355000</c:v>
                </c:pt>
                <c:pt idx="1476">
                  <c:v>349000</c:v>
                </c:pt>
                <c:pt idx="1477">
                  <c:v>365000</c:v>
                </c:pt>
                <c:pt idx="1478">
                  <c:v>364000</c:v>
                </c:pt>
                <c:pt idx="1479">
                  <c:v>366000</c:v>
                </c:pt>
                <c:pt idx="1480">
                  <c:v>377000</c:v>
                </c:pt>
                <c:pt idx="1481">
                  <c:v>374000</c:v>
                </c:pt>
                <c:pt idx="1482">
                  <c:v>362000</c:v>
                </c:pt>
                <c:pt idx="1483">
                  <c:v>367000</c:v>
                </c:pt>
                <c:pt idx="1484">
                  <c:v>378000</c:v>
                </c:pt>
                <c:pt idx="1485">
                  <c:v>358000</c:v>
                </c:pt>
                <c:pt idx="1486">
                  <c:v>355000</c:v>
                </c:pt>
                <c:pt idx="1487">
                  <c:v>372000</c:v>
                </c:pt>
                <c:pt idx="1488">
                  <c:v>389000</c:v>
                </c:pt>
                <c:pt idx="1489">
                  <c:v>390000</c:v>
                </c:pt>
                <c:pt idx="1490">
                  <c:v>351000</c:v>
                </c:pt>
                <c:pt idx="1491">
                  <c:v>351000</c:v>
                </c:pt>
                <c:pt idx="1492">
                  <c:v>353000</c:v>
                </c:pt>
                <c:pt idx="1493">
                  <c:v>362000</c:v>
                </c:pt>
                <c:pt idx="1494">
                  <c:v>359000</c:v>
                </c:pt>
                <c:pt idx="1495">
                  <c:v>355000</c:v>
                </c:pt>
                <c:pt idx="1496">
                  <c:v>371000</c:v>
                </c:pt>
                <c:pt idx="1497">
                  <c:v>376000</c:v>
                </c:pt>
                <c:pt idx="1498">
                  <c:v>353000</c:v>
                </c:pt>
                <c:pt idx="1499">
                  <c:v>355000</c:v>
                </c:pt>
                <c:pt idx="1500">
                  <c:v>374000</c:v>
                </c:pt>
                <c:pt idx="1501">
                  <c:v>369000</c:v>
                </c:pt>
                <c:pt idx="1502">
                  <c:v>366000</c:v>
                </c:pt>
                <c:pt idx="1503">
                  <c:v>377000</c:v>
                </c:pt>
                <c:pt idx="1504">
                  <c:v>380000</c:v>
                </c:pt>
                <c:pt idx="1505">
                  <c:v>370000</c:v>
                </c:pt>
                <c:pt idx="1506">
                  <c:v>379000</c:v>
                </c:pt>
                <c:pt idx="1507">
                  <c:v>379000</c:v>
                </c:pt>
                <c:pt idx="1508">
                  <c:v>373000</c:v>
                </c:pt>
                <c:pt idx="1509">
                  <c:v>346000</c:v>
                </c:pt>
                <c:pt idx="1510">
                  <c:v>373000</c:v>
                </c:pt>
                <c:pt idx="1511">
                  <c:v>374000</c:v>
                </c:pt>
                <c:pt idx="1512">
                  <c:v>359000</c:v>
                </c:pt>
                <c:pt idx="1513">
                  <c:v>361000</c:v>
                </c:pt>
                <c:pt idx="1514">
                  <c:v>333000</c:v>
                </c:pt>
                <c:pt idx="1515">
                  <c:v>415000</c:v>
                </c:pt>
                <c:pt idx="1516">
                  <c:v>387000</c:v>
                </c:pt>
                <c:pt idx="1517">
                  <c:v>374000</c:v>
                </c:pt>
                <c:pt idx="1518">
                  <c:v>387000</c:v>
                </c:pt>
                <c:pt idx="1519">
                  <c:v>383000</c:v>
                </c:pt>
                <c:pt idx="1520">
                  <c:v>365000</c:v>
                </c:pt>
                <c:pt idx="1521">
                  <c:v>368000</c:v>
                </c:pt>
                <c:pt idx="1522">
                  <c:v>361000</c:v>
                </c:pt>
                <c:pt idx="1523">
                  <c:v>384000</c:v>
                </c:pt>
                <c:pt idx="1524">
                  <c:v>426000</c:v>
                </c:pt>
                <c:pt idx="1525">
                  <c:v>393000</c:v>
                </c:pt>
                <c:pt idx="1526">
                  <c:v>369000</c:v>
                </c:pt>
                <c:pt idx="1527">
                  <c:v>357000</c:v>
                </c:pt>
                <c:pt idx="1528">
                  <c:v>368000</c:v>
                </c:pt>
                <c:pt idx="1529">
                  <c:v>343000</c:v>
                </c:pt>
                <c:pt idx="1530">
                  <c:v>338000</c:v>
                </c:pt>
                <c:pt idx="1531">
                  <c:v>352000</c:v>
                </c:pt>
                <c:pt idx="1532">
                  <c:v>345000</c:v>
                </c:pt>
                <c:pt idx="1533">
                  <c:v>343000</c:v>
                </c:pt>
                <c:pt idx="1534">
                  <c:v>340000</c:v>
                </c:pt>
                <c:pt idx="1535">
                  <c:v>351000</c:v>
                </c:pt>
                <c:pt idx="1536">
                  <c:v>342000</c:v>
                </c:pt>
                <c:pt idx="1537">
                  <c:v>341000</c:v>
                </c:pt>
                <c:pt idx="1538">
                  <c:v>337000</c:v>
                </c:pt>
                <c:pt idx="1539">
                  <c:v>342000</c:v>
                </c:pt>
                <c:pt idx="1540">
                  <c:v>347000</c:v>
                </c:pt>
                <c:pt idx="1541">
                  <c:v>332000</c:v>
                </c:pt>
                <c:pt idx="1542">
                  <c:v>327000</c:v>
                </c:pt>
                <c:pt idx="1543">
                  <c:v>326000</c:v>
                </c:pt>
                <c:pt idx="1544">
                  <c:v>331000</c:v>
                </c:pt>
                <c:pt idx="1545">
                  <c:v>336000</c:v>
                </c:pt>
                <c:pt idx="1546">
                  <c:v>337000</c:v>
                </c:pt>
                <c:pt idx="1547">
                  <c:v>329000</c:v>
                </c:pt>
                <c:pt idx="1548">
                  <c:v>333000</c:v>
                </c:pt>
                <c:pt idx="1549">
                  <c:v>338000</c:v>
                </c:pt>
                <c:pt idx="1550">
                  <c:v>352000</c:v>
                </c:pt>
                <c:pt idx="1551">
                  <c:v>348000</c:v>
                </c:pt>
                <c:pt idx="1552">
                  <c:v>335000</c:v>
                </c:pt>
                <c:pt idx="1553">
                  <c:v>334000</c:v>
                </c:pt>
                <c:pt idx="1554">
                  <c:v>335000</c:v>
                </c:pt>
                <c:pt idx="1555">
                  <c:v>352000</c:v>
                </c:pt>
                <c:pt idx="1556">
                  <c:v>334000</c:v>
                </c:pt>
                <c:pt idx="1557">
                  <c:v>327000</c:v>
                </c:pt>
                <c:pt idx="1558">
                  <c:v>342000</c:v>
                </c:pt>
                <c:pt idx="1559">
                  <c:v>347000</c:v>
                </c:pt>
                <c:pt idx="1560">
                  <c:v>332000</c:v>
                </c:pt>
                <c:pt idx="1561">
                  <c:v>355000</c:v>
                </c:pt>
                <c:pt idx="1562">
                  <c:v>352000</c:v>
                </c:pt>
                <c:pt idx="1563">
                  <c:v>350000</c:v>
                </c:pt>
                <c:pt idx="1564">
                  <c:v>357000</c:v>
                </c:pt>
                <c:pt idx="1565">
                  <c:v>347000</c:v>
                </c:pt>
                <c:pt idx="1566">
                  <c:v>324000</c:v>
                </c:pt>
                <c:pt idx="1567">
                  <c:v>345000</c:v>
                </c:pt>
                <c:pt idx="1568">
                  <c:v>340000</c:v>
                </c:pt>
                <c:pt idx="1569">
                  <c:v>333000</c:v>
                </c:pt>
                <c:pt idx="1570">
                  <c:v>315000</c:v>
                </c:pt>
                <c:pt idx="1571">
                  <c:v>313000</c:v>
                </c:pt>
                <c:pt idx="1572">
                  <c:v>322000</c:v>
                </c:pt>
                <c:pt idx="1573">
                  <c:v>321000</c:v>
                </c:pt>
                <c:pt idx="1574">
                  <c:v>317000</c:v>
                </c:pt>
                <c:pt idx="1575">
                  <c:v>319000</c:v>
                </c:pt>
                <c:pt idx="1576">
                  <c:v>315000</c:v>
                </c:pt>
                <c:pt idx="1577">
                  <c:v>325000</c:v>
                </c:pt>
                <c:pt idx="1578">
                  <c:v>325000</c:v>
                </c:pt>
                <c:pt idx="1579">
                  <c:v>330000</c:v>
                </c:pt>
                <c:pt idx="1580">
                  <c:v>316000</c:v>
                </c:pt>
                <c:pt idx="1581">
                  <c:v>337000</c:v>
                </c:pt>
                <c:pt idx="1582">
                  <c:v>342000</c:v>
                </c:pt>
                <c:pt idx="1583">
                  <c:v>318000</c:v>
                </c:pt>
                <c:pt idx="1584">
                  <c:v>322000</c:v>
                </c:pt>
                <c:pt idx="1585">
                  <c:v>316000</c:v>
                </c:pt>
                <c:pt idx="1586">
                  <c:v>321000</c:v>
                </c:pt>
                <c:pt idx="1587">
                  <c:v>329000</c:v>
                </c:pt>
                <c:pt idx="1588">
                  <c:v>335000</c:v>
                </c:pt>
                <c:pt idx="1589">
                  <c:v>316000</c:v>
                </c:pt>
                <c:pt idx="1590">
                  <c:v>322000</c:v>
                </c:pt>
                <c:pt idx="1591">
                  <c:v>346000</c:v>
                </c:pt>
                <c:pt idx="1592">
                  <c:v>328000</c:v>
                </c:pt>
                <c:pt idx="1593">
                  <c:v>301000</c:v>
                </c:pt>
                <c:pt idx="1594">
                  <c:v>306000</c:v>
                </c:pt>
                <c:pt idx="1595">
                  <c:v>320000</c:v>
                </c:pt>
                <c:pt idx="1596">
                  <c:v>329000</c:v>
                </c:pt>
                <c:pt idx="1597">
                  <c:v>343000</c:v>
                </c:pt>
                <c:pt idx="1598">
                  <c:v>327000</c:v>
                </c:pt>
                <c:pt idx="1599">
                  <c:v>332000</c:v>
                </c:pt>
                <c:pt idx="1600">
                  <c:v>313000</c:v>
                </c:pt>
                <c:pt idx="1601">
                  <c:v>314000</c:v>
                </c:pt>
                <c:pt idx="1602">
                  <c:v>317000</c:v>
                </c:pt>
                <c:pt idx="1603">
                  <c:v>317000</c:v>
                </c:pt>
                <c:pt idx="1604">
                  <c:v>311000</c:v>
                </c:pt>
                <c:pt idx="1605">
                  <c:v>305000</c:v>
                </c:pt>
                <c:pt idx="1606">
                  <c:v>318000</c:v>
                </c:pt>
                <c:pt idx="1607">
                  <c:v>306000</c:v>
                </c:pt>
                <c:pt idx="1608">
                  <c:v>313000</c:v>
                </c:pt>
                <c:pt idx="1609">
                  <c:v>308000</c:v>
                </c:pt>
                <c:pt idx="1610">
                  <c:v>325000</c:v>
                </c:pt>
                <c:pt idx="1611">
                  <c:v>309000</c:v>
                </c:pt>
                <c:pt idx="1612">
                  <c:v>318000</c:v>
                </c:pt>
                <c:pt idx="1613">
                  <c:v>317000</c:v>
                </c:pt>
                <c:pt idx="1614">
                  <c:v>323000</c:v>
                </c:pt>
                <c:pt idx="1615">
                  <c:v>310000</c:v>
                </c:pt>
                <c:pt idx="1616">
                  <c:v>303000</c:v>
                </c:pt>
                <c:pt idx="1617">
                  <c:v>312000</c:v>
                </c:pt>
                <c:pt idx="1618">
                  <c:v>331000</c:v>
                </c:pt>
                <c:pt idx="1619">
                  <c:v>341000</c:v>
                </c:pt>
                <c:pt idx="1620">
                  <c:v>307000</c:v>
                </c:pt>
                <c:pt idx="1621">
                  <c:v>315000</c:v>
                </c:pt>
                <c:pt idx="1622">
                  <c:v>311000</c:v>
                </c:pt>
                <c:pt idx="1623">
                  <c:v>321000</c:v>
                </c:pt>
                <c:pt idx="1624">
                  <c:v>327000</c:v>
                </c:pt>
                <c:pt idx="1625">
                  <c:v>317000</c:v>
                </c:pt>
                <c:pt idx="1626">
                  <c:v>308000</c:v>
                </c:pt>
                <c:pt idx="1627">
                  <c:v>319000</c:v>
                </c:pt>
                <c:pt idx="1628">
                  <c:v>321000</c:v>
                </c:pt>
                <c:pt idx="1629">
                  <c:v>312000</c:v>
                </c:pt>
                <c:pt idx="1630">
                  <c:v>312000</c:v>
                </c:pt>
                <c:pt idx="1631">
                  <c:v>304000</c:v>
                </c:pt>
                <c:pt idx="1632">
                  <c:v>317000</c:v>
                </c:pt>
                <c:pt idx="1633">
                  <c:v>311000</c:v>
                </c:pt>
                <c:pt idx="1634">
                  <c:v>304000</c:v>
                </c:pt>
                <c:pt idx="1635">
                  <c:v>306000</c:v>
                </c:pt>
                <c:pt idx="1636">
                  <c:v>315000</c:v>
                </c:pt>
                <c:pt idx="1637">
                  <c:v>309000</c:v>
                </c:pt>
                <c:pt idx="1638">
                  <c:v>322000</c:v>
                </c:pt>
                <c:pt idx="1639">
                  <c:v>306000</c:v>
                </c:pt>
                <c:pt idx="1640">
                  <c:v>321000</c:v>
                </c:pt>
                <c:pt idx="1641">
                  <c:v>349000</c:v>
                </c:pt>
                <c:pt idx="1642">
                  <c:v>376000</c:v>
                </c:pt>
                <c:pt idx="1643">
                  <c:v>362000</c:v>
                </c:pt>
                <c:pt idx="1644">
                  <c:v>320000</c:v>
                </c:pt>
                <c:pt idx="1645">
                  <c:v>315000</c:v>
                </c:pt>
                <c:pt idx="1646">
                  <c:v>335000</c:v>
                </c:pt>
                <c:pt idx="1647">
                  <c:v>327000</c:v>
                </c:pt>
                <c:pt idx="1648">
                  <c:v>316000</c:v>
                </c:pt>
                <c:pt idx="1649">
                  <c:v>308000</c:v>
                </c:pt>
                <c:pt idx="1650">
                  <c:v>302000</c:v>
                </c:pt>
                <c:pt idx="1651">
                  <c:v>310000</c:v>
                </c:pt>
                <c:pt idx="1652">
                  <c:v>313000</c:v>
                </c:pt>
                <c:pt idx="1653">
                  <c:v>304000</c:v>
                </c:pt>
                <c:pt idx="1654">
                  <c:v>305000</c:v>
                </c:pt>
                <c:pt idx="1655">
                  <c:v>294000</c:v>
                </c:pt>
                <c:pt idx="1656">
                  <c:v>302000</c:v>
                </c:pt>
                <c:pt idx="1657">
                  <c:v>316000</c:v>
                </c:pt>
                <c:pt idx="1658">
                  <c:v>318000</c:v>
                </c:pt>
                <c:pt idx="1659">
                  <c:v>309000</c:v>
                </c:pt>
                <c:pt idx="1660">
                  <c:v>308000</c:v>
                </c:pt>
                <c:pt idx="1661">
                  <c:v>316000</c:v>
                </c:pt>
                <c:pt idx="1662">
                  <c:v>334000</c:v>
                </c:pt>
                <c:pt idx="1663">
                  <c:v>304000</c:v>
                </c:pt>
                <c:pt idx="1664">
                  <c:v>310000</c:v>
                </c:pt>
                <c:pt idx="1665">
                  <c:v>326000</c:v>
                </c:pt>
                <c:pt idx="1666">
                  <c:v>305000</c:v>
                </c:pt>
                <c:pt idx="1667">
                  <c:v>297000</c:v>
                </c:pt>
                <c:pt idx="1668">
                  <c:v>336000</c:v>
                </c:pt>
                <c:pt idx="1669">
                  <c:v>331000</c:v>
                </c:pt>
                <c:pt idx="1670">
                  <c:v>345000</c:v>
                </c:pt>
                <c:pt idx="1671">
                  <c:v>339000</c:v>
                </c:pt>
                <c:pt idx="1672">
                  <c:v>311000</c:v>
                </c:pt>
                <c:pt idx="1673">
                  <c:v>305000</c:v>
                </c:pt>
                <c:pt idx="1674">
                  <c:v>291000</c:v>
                </c:pt>
                <c:pt idx="1675">
                  <c:v>312000</c:v>
                </c:pt>
                <c:pt idx="1676">
                  <c:v>302000</c:v>
                </c:pt>
                <c:pt idx="1677">
                  <c:v>301000</c:v>
                </c:pt>
                <c:pt idx="1678">
                  <c:v>300000</c:v>
                </c:pt>
                <c:pt idx="1679">
                  <c:v>308000</c:v>
                </c:pt>
                <c:pt idx="1680">
                  <c:v>305000</c:v>
                </c:pt>
                <c:pt idx="1681">
                  <c:v>298000</c:v>
                </c:pt>
                <c:pt idx="1682">
                  <c:v>310000</c:v>
                </c:pt>
                <c:pt idx="1683">
                  <c:v>319000</c:v>
                </c:pt>
                <c:pt idx="1684">
                  <c:v>314000</c:v>
                </c:pt>
                <c:pt idx="1685">
                  <c:v>291000</c:v>
                </c:pt>
                <c:pt idx="1686">
                  <c:v>296000</c:v>
                </c:pt>
                <c:pt idx="1687">
                  <c:v>310000</c:v>
                </c:pt>
                <c:pt idx="1688">
                  <c:v>301000</c:v>
                </c:pt>
                <c:pt idx="1689">
                  <c:v>298000</c:v>
                </c:pt>
                <c:pt idx="1690">
                  <c:v>303000</c:v>
                </c:pt>
                <c:pt idx="1691">
                  <c:v>303000</c:v>
                </c:pt>
                <c:pt idx="1692">
                  <c:v>290000</c:v>
                </c:pt>
                <c:pt idx="1693">
                  <c:v>292000</c:v>
                </c:pt>
                <c:pt idx="1694">
                  <c:v>291000</c:v>
                </c:pt>
                <c:pt idx="1695">
                  <c:v>287000</c:v>
                </c:pt>
                <c:pt idx="1696">
                  <c:v>288000</c:v>
                </c:pt>
                <c:pt idx="1697">
                  <c:v>309000</c:v>
                </c:pt>
                <c:pt idx="1698">
                  <c:v>306000</c:v>
                </c:pt>
                <c:pt idx="1699">
                  <c:v>300000</c:v>
                </c:pt>
                <c:pt idx="1700">
                  <c:v>295000</c:v>
                </c:pt>
                <c:pt idx="1701">
                  <c:v>292000</c:v>
                </c:pt>
                <c:pt idx="1702">
                  <c:v>286000</c:v>
                </c:pt>
                <c:pt idx="1703">
                  <c:v>290000</c:v>
                </c:pt>
                <c:pt idx="1704">
                  <c:v>290000</c:v>
                </c:pt>
                <c:pt idx="1705">
                  <c:v>281000</c:v>
                </c:pt>
                <c:pt idx="1706">
                  <c:v>281000</c:v>
                </c:pt>
                <c:pt idx="1707">
                  <c:v>306000</c:v>
                </c:pt>
                <c:pt idx="1708">
                  <c:v>309000</c:v>
                </c:pt>
                <c:pt idx="1709">
                  <c:v>291000</c:v>
                </c:pt>
                <c:pt idx="1710">
                  <c:v>287000</c:v>
                </c:pt>
                <c:pt idx="1711">
                  <c:v>280000</c:v>
                </c:pt>
                <c:pt idx="1712">
                  <c:v>285000</c:v>
                </c:pt>
                <c:pt idx="1713">
                  <c:v>282000</c:v>
                </c:pt>
                <c:pt idx="1714">
                  <c:v>281000</c:v>
                </c:pt>
                <c:pt idx="1715">
                  <c:v>276000</c:v>
                </c:pt>
                <c:pt idx="1716">
                  <c:v>288000</c:v>
                </c:pt>
                <c:pt idx="1717">
                  <c:v>287000</c:v>
                </c:pt>
                <c:pt idx="1718">
                  <c:v>272000</c:v>
                </c:pt>
                <c:pt idx="1719">
                  <c:v>287000</c:v>
                </c:pt>
                <c:pt idx="1720">
                  <c:v>268000</c:v>
                </c:pt>
                <c:pt idx="1721">
                  <c:v>286000</c:v>
                </c:pt>
                <c:pt idx="1722">
                  <c:v>298000</c:v>
                </c:pt>
                <c:pt idx="1723">
                  <c:v>289000</c:v>
                </c:pt>
                <c:pt idx="1724">
                  <c:v>284000</c:v>
                </c:pt>
                <c:pt idx="1725">
                  <c:v>285000</c:v>
                </c:pt>
                <c:pt idx="1726">
                  <c:v>312000</c:v>
                </c:pt>
                <c:pt idx="1727">
                  <c:v>300000</c:v>
                </c:pt>
                <c:pt idx="1728">
                  <c:v>283000</c:v>
                </c:pt>
                <c:pt idx="1729">
                  <c:v>280000</c:v>
                </c:pt>
                <c:pt idx="1730">
                  <c:v>286000</c:v>
                </c:pt>
                <c:pt idx="1731">
                  <c:v>270000</c:v>
                </c:pt>
                <c:pt idx="1732">
                  <c:v>271000</c:v>
                </c:pt>
                <c:pt idx="1733">
                  <c:v>272000</c:v>
                </c:pt>
                <c:pt idx="1734">
                  <c:v>266000</c:v>
                </c:pt>
                <c:pt idx="1735">
                  <c:v>268000</c:v>
                </c:pt>
                <c:pt idx="1736">
                  <c:v>259000</c:v>
                </c:pt>
                <c:pt idx="1737">
                  <c:v>274000</c:v>
                </c:pt>
                <c:pt idx="1738">
                  <c:v>291000</c:v>
                </c:pt>
                <c:pt idx="1739">
                  <c:v>293000</c:v>
                </c:pt>
                <c:pt idx="1740">
                  <c:v>276000</c:v>
                </c:pt>
                <c:pt idx="1741">
                  <c:v>280000</c:v>
                </c:pt>
                <c:pt idx="1742">
                  <c:v>280000</c:v>
                </c:pt>
                <c:pt idx="1743">
                  <c:v>290000</c:v>
                </c:pt>
                <c:pt idx="1744">
                  <c:v>284000</c:v>
                </c:pt>
                <c:pt idx="1745">
                  <c:v>294000</c:v>
                </c:pt>
                <c:pt idx="1746">
                  <c:v>296000</c:v>
                </c:pt>
                <c:pt idx="1747">
                  <c:v>281000</c:v>
                </c:pt>
                <c:pt idx="1748">
                  <c:v>293000</c:v>
                </c:pt>
                <c:pt idx="1749">
                  <c:v>303000</c:v>
                </c:pt>
                <c:pt idx="1750">
                  <c:v>300000</c:v>
                </c:pt>
                <c:pt idx="1751">
                  <c:v>298000</c:v>
                </c:pt>
                <c:pt idx="1752">
                  <c:v>306000</c:v>
                </c:pt>
                <c:pt idx="1753">
                  <c:v>315000</c:v>
                </c:pt>
                <c:pt idx="1754">
                  <c:v>318000</c:v>
                </c:pt>
                <c:pt idx="1755">
                  <c:v>312000</c:v>
                </c:pt>
                <c:pt idx="1756">
                  <c:v>301000</c:v>
                </c:pt>
                <c:pt idx="1757">
                  <c:v>309000</c:v>
                </c:pt>
                <c:pt idx="1758">
                  <c:v>311000</c:v>
                </c:pt>
                <c:pt idx="1759">
                  <c:v>288000</c:v>
                </c:pt>
                <c:pt idx="1760">
                  <c:v>292000</c:v>
                </c:pt>
                <c:pt idx="1761">
                  <c:v>309000</c:v>
                </c:pt>
                <c:pt idx="1762">
                  <c:v>299000</c:v>
                </c:pt>
                <c:pt idx="1763">
                  <c:v>295000</c:v>
                </c:pt>
                <c:pt idx="1764">
                  <c:v>301000</c:v>
                </c:pt>
                <c:pt idx="1765">
                  <c:v>331000</c:v>
                </c:pt>
                <c:pt idx="1766">
                  <c:v>318000</c:v>
                </c:pt>
                <c:pt idx="1767">
                  <c:v>332000</c:v>
                </c:pt>
                <c:pt idx="1768">
                  <c:v>356000</c:v>
                </c:pt>
                <c:pt idx="1769">
                  <c:v>338000</c:v>
                </c:pt>
                <c:pt idx="1770">
                  <c:v>321000</c:v>
                </c:pt>
                <c:pt idx="1771">
                  <c:v>354000</c:v>
                </c:pt>
                <c:pt idx="1772">
                  <c:v>364000</c:v>
                </c:pt>
                <c:pt idx="1773">
                  <c:v>353000</c:v>
                </c:pt>
                <c:pt idx="1774">
                  <c:v>337000</c:v>
                </c:pt>
                <c:pt idx="1775">
                  <c:v>318000</c:v>
                </c:pt>
                <c:pt idx="1776">
                  <c:v>343000</c:v>
                </c:pt>
                <c:pt idx="1777">
                  <c:v>362000</c:v>
                </c:pt>
                <c:pt idx="1778">
                  <c:v>376000</c:v>
                </c:pt>
                <c:pt idx="1779">
                  <c:v>365000</c:v>
                </c:pt>
                <c:pt idx="1780">
                  <c:v>358000</c:v>
                </c:pt>
                <c:pt idx="1781">
                  <c:v>386000</c:v>
                </c:pt>
                <c:pt idx="1782">
                  <c:v>384000</c:v>
                </c:pt>
                <c:pt idx="1783">
                  <c:v>393000</c:v>
                </c:pt>
                <c:pt idx="1784">
                  <c:v>393000</c:v>
                </c:pt>
                <c:pt idx="1785">
                  <c:v>378000</c:v>
                </c:pt>
                <c:pt idx="1786">
                  <c:v>388000</c:v>
                </c:pt>
                <c:pt idx="1787">
                  <c:v>398000</c:v>
                </c:pt>
                <c:pt idx="1788">
                  <c:v>383000</c:v>
                </c:pt>
                <c:pt idx="1789">
                  <c:v>400000</c:v>
                </c:pt>
                <c:pt idx="1790">
                  <c:v>406000</c:v>
                </c:pt>
                <c:pt idx="1791">
                  <c:v>381000</c:v>
                </c:pt>
                <c:pt idx="1792">
                  <c:v>390000</c:v>
                </c:pt>
                <c:pt idx="1793">
                  <c:v>402000</c:v>
                </c:pt>
                <c:pt idx="1794">
                  <c:v>405000</c:v>
                </c:pt>
                <c:pt idx="1795">
                  <c:v>406000</c:v>
                </c:pt>
                <c:pt idx="1796">
                  <c:v>411000</c:v>
                </c:pt>
                <c:pt idx="1797">
                  <c:v>394000</c:v>
                </c:pt>
                <c:pt idx="1798">
                  <c:v>381000</c:v>
                </c:pt>
                <c:pt idx="1799">
                  <c:v>394000</c:v>
                </c:pt>
                <c:pt idx="1800">
                  <c:v>401000</c:v>
                </c:pt>
                <c:pt idx="1801">
                  <c:v>405000</c:v>
                </c:pt>
                <c:pt idx="1802">
                  <c:v>398000</c:v>
                </c:pt>
                <c:pt idx="1803">
                  <c:v>388000</c:v>
                </c:pt>
                <c:pt idx="1804">
                  <c:v>401000</c:v>
                </c:pt>
                <c:pt idx="1805">
                  <c:v>394000</c:v>
                </c:pt>
                <c:pt idx="1806">
                  <c:v>402000</c:v>
                </c:pt>
                <c:pt idx="1807">
                  <c:v>395000</c:v>
                </c:pt>
                <c:pt idx="1808">
                  <c:v>402000</c:v>
                </c:pt>
                <c:pt idx="1809">
                  <c:v>408000</c:v>
                </c:pt>
                <c:pt idx="1810">
                  <c:v>395000</c:v>
                </c:pt>
                <c:pt idx="1811">
                  <c:v>453000</c:v>
                </c:pt>
                <c:pt idx="1812">
                  <c:v>517000</c:v>
                </c:pt>
                <c:pt idx="1813">
                  <c:v>476000</c:v>
                </c:pt>
                <c:pt idx="1814">
                  <c:v>482000</c:v>
                </c:pt>
                <c:pt idx="1815">
                  <c:v>482000</c:v>
                </c:pt>
                <c:pt idx="1816">
                  <c:v>483000</c:v>
                </c:pt>
                <c:pt idx="1817">
                  <c:v>440000</c:v>
                </c:pt>
                <c:pt idx="1818">
                  <c:v>428000</c:v>
                </c:pt>
                <c:pt idx="1819">
                  <c:v>431000</c:v>
                </c:pt>
                <c:pt idx="1820">
                  <c:v>491000</c:v>
                </c:pt>
                <c:pt idx="1821">
                  <c:v>465000</c:v>
                </c:pt>
                <c:pt idx="1822">
                  <c:v>393000</c:v>
                </c:pt>
                <c:pt idx="1823">
                  <c:v>389000</c:v>
                </c:pt>
                <c:pt idx="1824">
                  <c:v>416000</c:v>
                </c:pt>
                <c:pt idx="1825">
                  <c:v>421000</c:v>
                </c:pt>
                <c:pt idx="1826">
                  <c:v>397000</c:v>
                </c:pt>
                <c:pt idx="1827">
                  <c:v>418000</c:v>
                </c:pt>
                <c:pt idx="1828">
                  <c:v>405000</c:v>
                </c:pt>
                <c:pt idx="1829">
                  <c:v>414000</c:v>
                </c:pt>
                <c:pt idx="1830">
                  <c:v>404000</c:v>
                </c:pt>
                <c:pt idx="1831">
                  <c:v>397000</c:v>
                </c:pt>
                <c:pt idx="1832">
                  <c:v>397000</c:v>
                </c:pt>
                <c:pt idx="1833">
                  <c:v>398000</c:v>
                </c:pt>
                <c:pt idx="1834">
                  <c:v>392000</c:v>
                </c:pt>
                <c:pt idx="1835">
                  <c:v>399000</c:v>
                </c:pt>
                <c:pt idx="1836">
                  <c:v>392000</c:v>
                </c:pt>
                <c:pt idx="1837">
                  <c:v>415000</c:v>
                </c:pt>
                <c:pt idx="1838">
                  <c:v>479000</c:v>
                </c:pt>
                <c:pt idx="1839">
                  <c:v>445000</c:v>
                </c:pt>
                <c:pt idx="1840">
                  <c:v>442000</c:v>
                </c:pt>
                <c:pt idx="1841">
                  <c:v>416000</c:v>
                </c:pt>
                <c:pt idx="1842">
                  <c:v>414000</c:v>
                </c:pt>
                <c:pt idx="1843">
                  <c:v>409000</c:v>
                </c:pt>
                <c:pt idx="1844">
                  <c:v>413000</c:v>
                </c:pt>
                <c:pt idx="1845">
                  <c:v>411000</c:v>
                </c:pt>
                <c:pt idx="1846">
                  <c:v>403000</c:v>
                </c:pt>
                <c:pt idx="1847">
                  <c:v>378000</c:v>
                </c:pt>
                <c:pt idx="1848">
                  <c:v>388000</c:v>
                </c:pt>
                <c:pt idx="1849">
                  <c:v>396000</c:v>
                </c:pt>
                <c:pt idx="1850">
                  <c:v>388000</c:v>
                </c:pt>
                <c:pt idx="1851">
                  <c:v>386000</c:v>
                </c:pt>
                <c:pt idx="1852">
                  <c:v>391000</c:v>
                </c:pt>
                <c:pt idx="1853">
                  <c:v>384000</c:v>
                </c:pt>
                <c:pt idx="1854">
                  <c:v>379000</c:v>
                </c:pt>
                <c:pt idx="1855">
                  <c:v>390000</c:v>
                </c:pt>
                <c:pt idx="1856">
                  <c:v>388000</c:v>
                </c:pt>
                <c:pt idx="1857">
                  <c:v>389000</c:v>
                </c:pt>
                <c:pt idx="1858">
                  <c:v>399000</c:v>
                </c:pt>
                <c:pt idx="1859">
                  <c:v>398000</c:v>
                </c:pt>
                <c:pt idx="1860">
                  <c:v>394000</c:v>
                </c:pt>
                <c:pt idx="1861">
                  <c:v>416000</c:v>
                </c:pt>
                <c:pt idx="1862">
                  <c:v>412000</c:v>
                </c:pt>
                <c:pt idx="1863">
                  <c:v>401000</c:v>
                </c:pt>
                <c:pt idx="1864">
                  <c:v>409000</c:v>
                </c:pt>
                <c:pt idx="1865">
                  <c:v>404000</c:v>
                </c:pt>
                <c:pt idx="1866">
                  <c:v>405000</c:v>
                </c:pt>
                <c:pt idx="1867">
                  <c:v>412000</c:v>
                </c:pt>
                <c:pt idx="1868">
                  <c:v>409000</c:v>
                </c:pt>
                <c:pt idx="1869">
                  <c:v>405000</c:v>
                </c:pt>
                <c:pt idx="1870">
                  <c:v>400000</c:v>
                </c:pt>
                <c:pt idx="1871">
                  <c:v>389000</c:v>
                </c:pt>
                <c:pt idx="1872">
                  <c:v>390000</c:v>
                </c:pt>
                <c:pt idx="1873">
                  <c:v>377000</c:v>
                </c:pt>
                <c:pt idx="1874">
                  <c:v>425000</c:v>
                </c:pt>
                <c:pt idx="1875">
                  <c:v>429000</c:v>
                </c:pt>
                <c:pt idx="1876">
                  <c:v>394000</c:v>
                </c:pt>
                <c:pt idx="1877">
                  <c:v>409000</c:v>
                </c:pt>
                <c:pt idx="1878">
                  <c:v>393000</c:v>
                </c:pt>
                <c:pt idx="1879">
                  <c:v>378000</c:v>
                </c:pt>
                <c:pt idx="1880">
                  <c:v>402000</c:v>
                </c:pt>
                <c:pt idx="1881">
                  <c:v>407000</c:v>
                </c:pt>
                <c:pt idx="1882">
                  <c:v>413000</c:v>
                </c:pt>
                <c:pt idx="1883">
                  <c:v>390000</c:v>
                </c:pt>
                <c:pt idx="1884">
                  <c:v>420000</c:v>
                </c:pt>
                <c:pt idx="1885">
                  <c:v>421000</c:v>
                </c:pt>
                <c:pt idx="1886">
                  <c:v>436000</c:v>
                </c:pt>
                <c:pt idx="1887">
                  <c:v>424000</c:v>
                </c:pt>
                <c:pt idx="1888">
                  <c:v>430000</c:v>
                </c:pt>
                <c:pt idx="1889">
                  <c:v>411000</c:v>
                </c:pt>
                <c:pt idx="1890">
                  <c:v>436000</c:v>
                </c:pt>
                <c:pt idx="1891">
                  <c:v>417000</c:v>
                </c:pt>
                <c:pt idx="1892">
                  <c:v>434000</c:v>
                </c:pt>
                <c:pt idx="1893">
                  <c:v>450000</c:v>
                </c:pt>
                <c:pt idx="1894">
                  <c:v>444000</c:v>
                </c:pt>
                <c:pt idx="1895">
                  <c:v>428000</c:v>
                </c:pt>
                <c:pt idx="1896">
                  <c:v>417000</c:v>
                </c:pt>
                <c:pt idx="1897">
                  <c:v>425000</c:v>
                </c:pt>
                <c:pt idx="1898">
                  <c:v>419000</c:v>
                </c:pt>
                <c:pt idx="1899">
                  <c:v>431000</c:v>
                </c:pt>
                <c:pt idx="1900">
                  <c:v>429000</c:v>
                </c:pt>
                <c:pt idx="1901">
                  <c:v>421000</c:v>
                </c:pt>
                <c:pt idx="1902">
                  <c:v>408000</c:v>
                </c:pt>
                <c:pt idx="1903">
                  <c:v>429000</c:v>
                </c:pt>
                <c:pt idx="1904">
                  <c:v>433000</c:v>
                </c:pt>
                <c:pt idx="1905">
                  <c:v>412000</c:v>
                </c:pt>
                <c:pt idx="1906">
                  <c:v>403000</c:v>
                </c:pt>
                <c:pt idx="1907">
                  <c:v>398000</c:v>
                </c:pt>
                <c:pt idx="1908">
                  <c:v>401000</c:v>
                </c:pt>
                <c:pt idx="1909">
                  <c:v>404000</c:v>
                </c:pt>
                <c:pt idx="1910">
                  <c:v>398000</c:v>
                </c:pt>
                <c:pt idx="1911">
                  <c:v>391000</c:v>
                </c:pt>
                <c:pt idx="1912">
                  <c:v>407000</c:v>
                </c:pt>
                <c:pt idx="1913">
                  <c:v>422000</c:v>
                </c:pt>
                <c:pt idx="1914">
                  <c:v>394000</c:v>
                </c:pt>
                <c:pt idx="1915">
                  <c:v>379000</c:v>
                </c:pt>
                <c:pt idx="1916">
                  <c:v>387000</c:v>
                </c:pt>
                <c:pt idx="1917">
                  <c:v>386000</c:v>
                </c:pt>
                <c:pt idx="1918">
                  <c:v>376000</c:v>
                </c:pt>
                <c:pt idx="1919">
                  <c:v>387000</c:v>
                </c:pt>
                <c:pt idx="1920">
                  <c:v>379000</c:v>
                </c:pt>
                <c:pt idx="1921">
                  <c:v>363000</c:v>
                </c:pt>
                <c:pt idx="1922">
                  <c:v>371000</c:v>
                </c:pt>
                <c:pt idx="1923">
                  <c:v>370000</c:v>
                </c:pt>
                <c:pt idx="1924">
                  <c:v>354000</c:v>
                </c:pt>
                <c:pt idx="1925">
                  <c:v>357000</c:v>
                </c:pt>
                <c:pt idx="1926">
                  <c:v>367000</c:v>
                </c:pt>
                <c:pt idx="1927">
                  <c:v>363000</c:v>
                </c:pt>
                <c:pt idx="1928">
                  <c:v>354000</c:v>
                </c:pt>
                <c:pt idx="1929">
                  <c:v>349000</c:v>
                </c:pt>
                <c:pt idx="1930">
                  <c:v>356000</c:v>
                </c:pt>
                <c:pt idx="1931">
                  <c:v>354000</c:v>
                </c:pt>
                <c:pt idx="1932">
                  <c:v>362000</c:v>
                </c:pt>
                <c:pt idx="1933">
                  <c:v>353000</c:v>
                </c:pt>
                <c:pt idx="1934">
                  <c:v>376000</c:v>
                </c:pt>
                <c:pt idx="1935">
                  <c:v>380000</c:v>
                </c:pt>
                <c:pt idx="1936">
                  <c:v>356000</c:v>
                </c:pt>
                <c:pt idx="1937">
                  <c:v>359000</c:v>
                </c:pt>
                <c:pt idx="1938">
                  <c:v>348000</c:v>
                </c:pt>
                <c:pt idx="1939">
                  <c:v>344000</c:v>
                </c:pt>
                <c:pt idx="1940">
                  <c:v>338000</c:v>
                </c:pt>
                <c:pt idx="1941">
                  <c:v>346000</c:v>
                </c:pt>
                <c:pt idx="1942">
                  <c:v>340000</c:v>
                </c:pt>
                <c:pt idx="1943">
                  <c:v>335000</c:v>
                </c:pt>
                <c:pt idx="1944">
                  <c:v>355000</c:v>
                </c:pt>
                <c:pt idx="1945">
                  <c:v>364000</c:v>
                </c:pt>
                <c:pt idx="1946">
                  <c:v>339000</c:v>
                </c:pt>
                <c:pt idx="1947">
                  <c:v>324000</c:v>
                </c:pt>
                <c:pt idx="1948">
                  <c:v>329000</c:v>
                </c:pt>
                <c:pt idx="1949">
                  <c:v>349000</c:v>
                </c:pt>
                <c:pt idx="1950">
                  <c:v>342000</c:v>
                </c:pt>
                <c:pt idx="1951">
                  <c:v>337000</c:v>
                </c:pt>
                <c:pt idx="1952">
                  <c:v>355000</c:v>
                </c:pt>
                <c:pt idx="1953">
                  <c:v>339000</c:v>
                </c:pt>
                <c:pt idx="1954">
                  <c:v>354000</c:v>
                </c:pt>
                <c:pt idx="1955">
                  <c:v>348000</c:v>
                </c:pt>
                <c:pt idx="1956">
                  <c:v>326000</c:v>
                </c:pt>
                <c:pt idx="1957">
                  <c:v>345000</c:v>
                </c:pt>
                <c:pt idx="1958">
                  <c:v>355000</c:v>
                </c:pt>
                <c:pt idx="1959">
                  <c:v>348000</c:v>
                </c:pt>
                <c:pt idx="1960">
                  <c:v>341000</c:v>
                </c:pt>
                <c:pt idx="1961">
                  <c:v>336000</c:v>
                </c:pt>
                <c:pt idx="1962">
                  <c:v>332000</c:v>
                </c:pt>
                <c:pt idx="1963">
                  <c:v>343000</c:v>
                </c:pt>
                <c:pt idx="1964">
                  <c:v>352000</c:v>
                </c:pt>
                <c:pt idx="1965">
                  <c:v>326000</c:v>
                </c:pt>
                <c:pt idx="1966">
                  <c:v>331000</c:v>
                </c:pt>
                <c:pt idx="1967">
                  <c:v>341000</c:v>
                </c:pt>
                <c:pt idx="1968">
                  <c:v>351000</c:v>
                </c:pt>
                <c:pt idx="1969">
                  <c:v>335000</c:v>
                </c:pt>
                <c:pt idx="1970">
                  <c:v>338000</c:v>
                </c:pt>
                <c:pt idx="1971">
                  <c:v>327000</c:v>
                </c:pt>
                <c:pt idx="1972">
                  <c:v>338000</c:v>
                </c:pt>
                <c:pt idx="1973">
                  <c:v>332000</c:v>
                </c:pt>
                <c:pt idx="1974">
                  <c:v>330000</c:v>
                </c:pt>
                <c:pt idx="1975">
                  <c:v>337000</c:v>
                </c:pt>
                <c:pt idx="1976">
                  <c:v>313000</c:v>
                </c:pt>
                <c:pt idx="1977">
                  <c:v>335000</c:v>
                </c:pt>
                <c:pt idx="1978">
                  <c:v>343000</c:v>
                </c:pt>
                <c:pt idx="1979">
                  <c:v>316000</c:v>
                </c:pt>
                <c:pt idx="1980">
                  <c:v>322000</c:v>
                </c:pt>
                <c:pt idx="1981">
                  <c:v>320000</c:v>
                </c:pt>
                <c:pt idx="1982">
                  <c:v>356000</c:v>
                </c:pt>
                <c:pt idx="1983">
                  <c:v>369000</c:v>
                </c:pt>
                <c:pt idx="1984">
                  <c:v>332000</c:v>
                </c:pt>
                <c:pt idx="1985">
                  <c:v>329000</c:v>
                </c:pt>
                <c:pt idx="1986">
                  <c:v>331000</c:v>
                </c:pt>
                <c:pt idx="1987">
                  <c:v>307000</c:v>
                </c:pt>
                <c:pt idx="1988">
                  <c:v>308000</c:v>
                </c:pt>
                <c:pt idx="1989">
                  <c:v>318000</c:v>
                </c:pt>
                <c:pt idx="1990">
                  <c:v>314000</c:v>
                </c:pt>
                <c:pt idx="1991">
                  <c:v>333000</c:v>
                </c:pt>
                <c:pt idx="1992">
                  <c:v>324000</c:v>
                </c:pt>
                <c:pt idx="1993">
                  <c:v>329000</c:v>
                </c:pt>
                <c:pt idx="1994">
                  <c:v>342000</c:v>
                </c:pt>
                <c:pt idx="1995">
                  <c:v>335000</c:v>
                </c:pt>
                <c:pt idx="1996">
                  <c:v>323000</c:v>
                </c:pt>
                <c:pt idx="1997">
                  <c:v>307000</c:v>
                </c:pt>
                <c:pt idx="1998">
                  <c:v>317000</c:v>
                </c:pt>
                <c:pt idx="1999">
                  <c:v>334000</c:v>
                </c:pt>
                <c:pt idx="2000">
                  <c:v>327000</c:v>
                </c:pt>
                <c:pt idx="2001">
                  <c:v>321000</c:v>
                </c:pt>
                <c:pt idx="2002">
                  <c:v>320000</c:v>
                </c:pt>
                <c:pt idx="2003">
                  <c:v>340000</c:v>
                </c:pt>
                <c:pt idx="2004">
                  <c:v>338000</c:v>
                </c:pt>
                <c:pt idx="2005">
                  <c:v>333000</c:v>
                </c:pt>
                <c:pt idx="2006">
                  <c:v>321000</c:v>
                </c:pt>
                <c:pt idx="2007">
                  <c:v>311000</c:v>
                </c:pt>
                <c:pt idx="2008">
                  <c:v>327000</c:v>
                </c:pt>
                <c:pt idx="2009">
                  <c:v>338000</c:v>
                </c:pt>
                <c:pt idx="2010">
                  <c:v>323000</c:v>
                </c:pt>
                <c:pt idx="2011">
                  <c:v>318000</c:v>
                </c:pt>
                <c:pt idx="2012">
                  <c:v>316000</c:v>
                </c:pt>
                <c:pt idx="2013">
                  <c:v>311000</c:v>
                </c:pt>
                <c:pt idx="2014">
                  <c:v>319000</c:v>
                </c:pt>
                <c:pt idx="2015">
                  <c:v>315000</c:v>
                </c:pt>
                <c:pt idx="2016">
                  <c:v>318000</c:v>
                </c:pt>
                <c:pt idx="2017">
                  <c:v>326000</c:v>
                </c:pt>
                <c:pt idx="2018">
                  <c:v>422000</c:v>
                </c:pt>
                <c:pt idx="2019">
                  <c:v>424000</c:v>
                </c:pt>
                <c:pt idx="2020">
                  <c:v>359000</c:v>
                </c:pt>
                <c:pt idx="2021">
                  <c:v>384000</c:v>
                </c:pt>
                <c:pt idx="2022">
                  <c:v>383000</c:v>
                </c:pt>
                <c:pt idx="2023">
                  <c:v>348000</c:v>
                </c:pt>
                <c:pt idx="2024">
                  <c:v>324000</c:v>
                </c:pt>
                <c:pt idx="2025">
                  <c:v>322000</c:v>
                </c:pt>
                <c:pt idx="2026">
                  <c:v>325000</c:v>
                </c:pt>
                <c:pt idx="2027">
                  <c:v>309000</c:v>
                </c:pt>
                <c:pt idx="2028">
                  <c:v>324000</c:v>
                </c:pt>
                <c:pt idx="2029">
                  <c:v>311000</c:v>
                </c:pt>
                <c:pt idx="2030">
                  <c:v>321000</c:v>
                </c:pt>
                <c:pt idx="2031">
                  <c:v>327000</c:v>
                </c:pt>
                <c:pt idx="2032">
                  <c:v>312000</c:v>
                </c:pt>
                <c:pt idx="2033">
                  <c:v>320000</c:v>
                </c:pt>
                <c:pt idx="2034">
                  <c:v>302000</c:v>
                </c:pt>
                <c:pt idx="2035">
                  <c:v>326000</c:v>
                </c:pt>
                <c:pt idx="2036">
                  <c:v>285000</c:v>
                </c:pt>
                <c:pt idx="2037">
                  <c:v>290000</c:v>
                </c:pt>
                <c:pt idx="2038">
                  <c:v>282000</c:v>
                </c:pt>
                <c:pt idx="2039">
                  <c:v>289000</c:v>
                </c:pt>
                <c:pt idx="2040">
                  <c:v>298000</c:v>
                </c:pt>
                <c:pt idx="2041">
                  <c:v>283000</c:v>
                </c:pt>
                <c:pt idx="2042">
                  <c:v>293000</c:v>
                </c:pt>
                <c:pt idx="2043">
                  <c:v>302000</c:v>
                </c:pt>
                <c:pt idx="2044">
                  <c:v>307000</c:v>
                </c:pt>
                <c:pt idx="2045">
                  <c:v>303000</c:v>
                </c:pt>
                <c:pt idx="2046">
                  <c:v>295000</c:v>
                </c:pt>
                <c:pt idx="2047">
                  <c:v>291000</c:v>
                </c:pt>
                <c:pt idx="2048">
                  <c:v>299000</c:v>
                </c:pt>
                <c:pt idx="2049">
                  <c:v>299000</c:v>
                </c:pt>
                <c:pt idx="2050">
                  <c:v>308000</c:v>
                </c:pt>
                <c:pt idx="2051">
                  <c:v>321000</c:v>
                </c:pt>
                <c:pt idx="2052">
                  <c:v>347000</c:v>
                </c:pt>
                <c:pt idx="2053">
                  <c:v>335000</c:v>
                </c:pt>
                <c:pt idx="2054">
                  <c:v>319000</c:v>
                </c:pt>
                <c:pt idx="2055">
                  <c:v>330000</c:v>
                </c:pt>
                <c:pt idx="2056">
                  <c:v>307000</c:v>
                </c:pt>
                <c:pt idx="2057">
                  <c:v>298000</c:v>
                </c:pt>
                <c:pt idx="2058">
                  <c:v>308000</c:v>
                </c:pt>
                <c:pt idx="2059">
                  <c:v>309000</c:v>
                </c:pt>
                <c:pt idx="2060">
                  <c:v>316000</c:v>
                </c:pt>
                <c:pt idx="2061">
                  <c:v>343000</c:v>
                </c:pt>
                <c:pt idx="2062">
                  <c:v>318000</c:v>
                </c:pt>
                <c:pt idx="2063">
                  <c:v>306000</c:v>
                </c:pt>
                <c:pt idx="2064">
                  <c:v>311000</c:v>
                </c:pt>
                <c:pt idx="2065">
                  <c:v>318000</c:v>
                </c:pt>
                <c:pt idx="2066">
                  <c:v>310000</c:v>
                </c:pt>
                <c:pt idx="2067">
                  <c:v>315000</c:v>
                </c:pt>
                <c:pt idx="2068">
                  <c:v>314000</c:v>
                </c:pt>
                <c:pt idx="2069">
                  <c:v>315000</c:v>
                </c:pt>
                <c:pt idx="2070">
                  <c:v>314000</c:v>
                </c:pt>
                <c:pt idx="2071">
                  <c:v>324000</c:v>
                </c:pt>
                <c:pt idx="2072">
                  <c:v>319000</c:v>
                </c:pt>
                <c:pt idx="2073">
                  <c:v>309000</c:v>
                </c:pt>
                <c:pt idx="2074">
                  <c:v>316000</c:v>
                </c:pt>
                <c:pt idx="2075">
                  <c:v>305000</c:v>
                </c:pt>
                <c:pt idx="2076">
                  <c:v>313000</c:v>
                </c:pt>
                <c:pt idx="2077">
                  <c:v>328000</c:v>
                </c:pt>
                <c:pt idx="2078">
                  <c:v>319000</c:v>
                </c:pt>
                <c:pt idx="2079">
                  <c:v>311000</c:v>
                </c:pt>
                <c:pt idx="2080">
                  <c:v>326000</c:v>
                </c:pt>
                <c:pt idx="2081">
                  <c:v>349000</c:v>
                </c:pt>
                <c:pt idx="2082">
                  <c:v>327000</c:v>
                </c:pt>
                <c:pt idx="2083">
                  <c:v>311000</c:v>
                </c:pt>
                <c:pt idx="2084">
                  <c:v>318000</c:v>
                </c:pt>
                <c:pt idx="2085">
                  <c:v>323000</c:v>
                </c:pt>
                <c:pt idx="2086">
                  <c:v>341000</c:v>
                </c:pt>
                <c:pt idx="2087">
                  <c:v>330000</c:v>
                </c:pt>
                <c:pt idx="2088">
                  <c:v>296000</c:v>
                </c:pt>
                <c:pt idx="2089">
                  <c:v>335000</c:v>
                </c:pt>
                <c:pt idx="2090">
                  <c:v>308000</c:v>
                </c:pt>
                <c:pt idx="2091">
                  <c:v>310000</c:v>
                </c:pt>
                <c:pt idx="2092">
                  <c:v>338000</c:v>
                </c:pt>
                <c:pt idx="2093">
                  <c:v>321000</c:v>
                </c:pt>
                <c:pt idx="2094">
                  <c:v>322000</c:v>
                </c:pt>
                <c:pt idx="2095">
                  <c:v>320000</c:v>
                </c:pt>
                <c:pt idx="2096">
                  <c:v>308000</c:v>
                </c:pt>
                <c:pt idx="2097">
                  <c:v>309000</c:v>
                </c:pt>
                <c:pt idx="2098">
                  <c:v>303000</c:v>
                </c:pt>
                <c:pt idx="2099">
                  <c:v>307000</c:v>
                </c:pt>
                <c:pt idx="2100">
                  <c:v>332000</c:v>
                </c:pt>
                <c:pt idx="2101">
                  <c:v>327000</c:v>
                </c:pt>
                <c:pt idx="2102">
                  <c:v>321000</c:v>
                </c:pt>
                <c:pt idx="2103">
                  <c:v>301000</c:v>
                </c:pt>
                <c:pt idx="2104">
                  <c:v>300000</c:v>
                </c:pt>
                <c:pt idx="2105">
                  <c:v>297000</c:v>
                </c:pt>
                <c:pt idx="2106">
                  <c:v>310000</c:v>
                </c:pt>
                <c:pt idx="2107">
                  <c:v>310000</c:v>
                </c:pt>
                <c:pt idx="2108">
                  <c:v>313000</c:v>
                </c:pt>
                <c:pt idx="2109">
                  <c:v>313000</c:v>
                </c:pt>
                <c:pt idx="2110">
                  <c:v>320000</c:v>
                </c:pt>
                <c:pt idx="2111">
                  <c:v>313000</c:v>
                </c:pt>
                <c:pt idx="2112">
                  <c:v>317000</c:v>
                </c:pt>
                <c:pt idx="2113">
                  <c:v>321000</c:v>
                </c:pt>
                <c:pt idx="2114">
                  <c:v>317000</c:v>
                </c:pt>
                <c:pt idx="2115">
                  <c:v>310000</c:v>
                </c:pt>
                <c:pt idx="2116">
                  <c:v>305000</c:v>
                </c:pt>
                <c:pt idx="2117">
                  <c:v>314000</c:v>
                </c:pt>
                <c:pt idx="2118">
                  <c:v>316000</c:v>
                </c:pt>
                <c:pt idx="2119">
                  <c:v>321000</c:v>
                </c:pt>
                <c:pt idx="2120">
                  <c:v>329000</c:v>
                </c:pt>
                <c:pt idx="2121">
                  <c:v>314000</c:v>
                </c:pt>
                <c:pt idx="2122">
                  <c:v>321000</c:v>
                </c:pt>
                <c:pt idx="2123">
                  <c:v>313000</c:v>
                </c:pt>
                <c:pt idx="2124">
                  <c:v>302000</c:v>
                </c:pt>
                <c:pt idx="2125">
                  <c:v>317000</c:v>
                </c:pt>
                <c:pt idx="2126">
                  <c:v>316000</c:v>
                </c:pt>
                <c:pt idx="2127">
                  <c:v>335000</c:v>
                </c:pt>
                <c:pt idx="2128">
                  <c:v>334000</c:v>
                </c:pt>
                <c:pt idx="2129">
                  <c:v>328000</c:v>
                </c:pt>
                <c:pt idx="2130">
                  <c:v>327000</c:v>
                </c:pt>
                <c:pt idx="2131">
                  <c:v>333000</c:v>
                </c:pt>
                <c:pt idx="2132">
                  <c:v>332000</c:v>
                </c:pt>
                <c:pt idx="2133">
                  <c:v>352000</c:v>
                </c:pt>
                <c:pt idx="2134">
                  <c:v>344000</c:v>
                </c:pt>
                <c:pt idx="2135">
                  <c:v>332000</c:v>
                </c:pt>
                <c:pt idx="2136">
                  <c:v>350000</c:v>
                </c:pt>
                <c:pt idx="2137">
                  <c:v>355000</c:v>
                </c:pt>
                <c:pt idx="2138">
                  <c:v>360000</c:v>
                </c:pt>
                <c:pt idx="2139">
                  <c:v>346000</c:v>
                </c:pt>
                <c:pt idx="2140">
                  <c:v>322000</c:v>
                </c:pt>
                <c:pt idx="2141">
                  <c:v>321000</c:v>
                </c:pt>
                <c:pt idx="2142">
                  <c:v>366000</c:v>
                </c:pt>
                <c:pt idx="2143">
                  <c:v>350000</c:v>
                </c:pt>
                <c:pt idx="2144">
                  <c:v>344000</c:v>
                </c:pt>
                <c:pt idx="2145">
                  <c:v>339000</c:v>
                </c:pt>
                <c:pt idx="2146">
                  <c:v>354000</c:v>
                </c:pt>
                <c:pt idx="2147">
                  <c:v>345000</c:v>
                </c:pt>
                <c:pt idx="2148">
                  <c:v>348000</c:v>
                </c:pt>
                <c:pt idx="2149">
                  <c:v>369000</c:v>
                </c:pt>
                <c:pt idx="2150">
                  <c:v>368000</c:v>
                </c:pt>
                <c:pt idx="2151">
                  <c:v>387000</c:v>
                </c:pt>
                <c:pt idx="2152">
                  <c:v>354000</c:v>
                </c:pt>
                <c:pt idx="2153">
                  <c:v>365000</c:v>
                </c:pt>
                <c:pt idx="2154">
                  <c:v>349000</c:v>
                </c:pt>
                <c:pt idx="2155">
                  <c:v>370000</c:v>
                </c:pt>
                <c:pt idx="2156">
                  <c:v>370000</c:v>
                </c:pt>
                <c:pt idx="2157">
                  <c:v>366000</c:v>
                </c:pt>
                <c:pt idx="2158">
                  <c:v>367000</c:v>
                </c:pt>
                <c:pt idx="2159">
                  <c:v>369000</c:v>
                </c:pt>
                <c:pt idx="2160">
                  <c:v>362000</c:v>
                </c:pt>
                <c:pt idx="2161">
                  <c:v>382000</c:v>
                </c:pt>
                <c:pt idx="2162">
                  <c:v>378000</c:v>
                </c:pt>
                <c:pt idx="2163">
                  <c:v>381000</c:v>
                </c:pt>
                <c:pt idx="2164">
                  <c:v>392000</c:v>
                </c:pt>
                <c:pt idx="2165">
                  <c:v>371000</c:v>
                </c:pt>
                <c:pt idx="2166">
                  <c:v>385000</c:v>
                </c:pt>
                <c:pt idx="2167">
                  <c:v>402000</c:v>
                </c:pt>
                <c:pt idx="2168">
                  <c:v>434000</c:v>
                </c:pt>
                <c:pt idx="2169">
                  <c:v>448000</c:v>
                </c:pt>
                <c:pt idx="2170">
                  <c:v>430000</c:v>
                </c:pt>
                <c:pt idx="2171">
                  <c:v>424000</c:v>
                </c:pt>
                <c:pt idx="2172">
                  <c:v>421000</c:v>
                </c:pt>
                <c:pt idx="2173">
                  <c:v>442000</c:v>
                </c:pt>
                <c:pt idx="2174">
                  <c:v>441000</c:v>
                </c:pt>
                <c:pt idx="2175">
                  <c:v>449000</c:v>
                </c:pt>
                <c:pt idx="2176">
                  <c:v>483000</c:v>
                </c:pt>
                <c:pt idx="2177">
                  <c:v>483000</c:v>
                </c:pt>
                <c:pt idx="2178">
                  <c:v>482000</c:v>
                </c:pt>
                <c:pt idx="2179">
                  <c:v>461000</c:v>
                </c:pt>
                <c:pt idx="2180">
                  <c:v>478000</c:v>
                </c:pt>
                <c:pt idx="2181">
                  <c:v>480000</c:v>
                </c:pt>
                <c:pt idx="2182">
                  <c:v>490000</c:v>
                </c:pt>
                <c:pt idx="2183">
                  <c:v>512000</c:v>
                </c:pt>
                <c:pt idx="2184">
                  <c:v>536000</c:v>
                </c:pt>
                <c:pt idx="2185">
                  <c:v>532000</c:v>
                </c:pt>
                <c:pt idx="2186">
                  <c:v>529000</c:v>
                </c:pt>
                <c:pt idx="2187">
                  <c:v>570000</c:v>
                </c:pt>
                <c:pt idx="2188">
                  <c:v>566000</c:v>
                </c:pt>
                <c:pt idx="2189">
                  <c:v>587000</c:v>
                </c:pt>
                <c:pt idx="2190">
                  <c:v>533000</c:v>
                </c:pt>
                <c:pt idx="2191">
                  <c:v>503000</c:v>
                </c:pt>
                <c:pt idx="2192">
                  <c:v>551000</c:v>
                </c:pt>
                <c:pt idx="2193">
                  <c:v>591000</c:v>
                </c:pt>
                <c:pt idx="2194">
                  <c:v>586000</c:v>
                </c:pt>
                <c:pt idx="2195">
                  <c:v>629000</c:v>
                </c:pt>
                <c:pt idx="2196">
                  <c:v>637000</c:v>
                </c:pt>
                <c:pt idx="2197">
                  <c:v>632000</c:v>
                </c:pt>
                <c:pt idx="2198">
                  <c:v>655000</c:v>
                </c:pt>
                <c:pt idx="2199">
                  <c:v>652000</c:v>
                </c:pt>
                <c:pt idx="2200">
                  <c:v>660000</c:v>
                </c:pt>
                <c:pt idx="2201">
                  <c:v>651000</c:v>
                </c:pt>
                <c:pt idx="2202">
                  <c:v>661000</c:v>
                </c:pt>
                <c:pt idx="2203">
                  <c:v>665000</c:v>
                </c:pt>
                <c:pt idx="2204">
                  <c:v>653000</c:v>
                </c:pt>
                <c:pt idx="2205">
                  <c:v>599000</c:v>
                </c:pt>
                <c:pt idx="2206">
                  <c:v>639000</c:v>
                </c:pt>
                <c:pt idx="2207">
                  <c:v>620000</c:v>
                </c:pt>
                <c:pt idx="2208">
                  <c:v>602000</c:v>
                </c:pt>
                <c:pt idx="2209">
                  <c:v>625000</c:v>
                </c:pt>
                <c:pt idx="2210">
                  <c:v>620000</c:v>
                </c:pt>
                <c:pt idx="2211">
                  <c:v>606000</c:v>
                </c:pt>
                <c:pt idx="2212">
                  <c:v>607000</c:v>
                </c:pt>
                <c:pt idx="2213">
                  <c:v>596000</c:v>
                </c:pt>
                <c:pt idx="2214">
                  <c:v>595000</c:v>
                </c:pt>
                <c:pt idx="2215">
                  <c:v>608000</c:v>
                </c:pt>
                <c:pt idx="2216">
                  <c:v>594000</c:v>
                </c:pt>
                <c:pt idx="2217">
                  <c:v>573000</c:v>
                </c:pt>
                <c:pt idx="2218">
                  <c:v>546000</c:v>
                </c:pt>
                <c:pt idx="2219">
                  <c:v>560000</c:v>
                </c:pt>
                <c:pt idx="2220">
                  <c:v>587000</c:v>
                </c:pt>
                <c:pt idx="2221">
                  <c:v>555000</c:v>
                </c:pt>
                <c:pt idx="2222">
                  <c:v>555000</c:v>
                </c:pt>
                <c:pt idx="2223">
                  <c:v>562000</c:v>
                </c:pt>
                <c:pt idx="2224">
                  <c:v>560000</c:v>
                </c:pt>
                <c:pt idx="2225">
                  <c:v>564000</c:v>
                </c:pt>
                <c:pt idx="2226">
                  <c:v>558000</c:v>
                </c:pt>
                <c:pt idx="2227">
                  <c:v>542000</c:v>
                </c:pt>
                <c:pt idx="2228">
                  <c:v>536000</c:v>
                </c:pt>
                <c:pt idx="2229">
                  <c:v>554000</c:v>
                </c:pt>
                <c:pt idx="2230">
                  <c:v>533000</c:v>
                </c:pt>
                <c:pt idx="2231">
                  <c:v>511000</c:v>
                </c:pt>
                <c:pt idx="2232">
                  <c:v>531000</c:v>
                </c:pt>
                <c:pt idx="2233">
                  <c:v>530000</c:v>
                </c:pt>
                <c:pt idx="2234">
                  <c:v>522000</c:v>
                </c:pt>
                <c:pt idx="2235">
                  <c:v>512000</c:v>
                </c:pt>
                <c:pt idx="2236">
                  <c:v>507000</c:v>
                </c:pt>
                <c:pt idx="2237">
                  <c:v>482000</c:v>
                </c:pt>
                <c:pt idx="2238">
                  <c:v>475000</c:v>
                </c:pt>
                <c:pt idx="2239">
                  <c:v>497000</c:v>
                </c:pt>
                <c:pt idx="2240">
                  <c:v>498000</c:v>
                </c:pt>
                <c:pt idx="2241">
                  <c:v>479000</c:v>
                </c:pt>
                <c:pt idx="2242">
                  <c:v>468000</c:v>
                </c:pt>
                <c:pt idx="2243">
                  <c:v>456000</c:v>
                </c:pt>
                <c:pt idx="2244">
                  <c:v>469000</c:v>
                </c:pt>
                <c:pt idx="2245">
                  <c:v>507000</c:v>
                </c:pt>
                <c:pt idx="2246">
                  <c:v>471000</c:v>
                </c:pt>
                <c:pt idx="2247">
                  <c:v>496000</c:v>
                </c:pt>
                <c:pt idx="2248">
                  <c:v>466000</c:v>
                </c:pt>
                <c:pt idx="2249">
                  <c:v>489000</c:v>
                </c:pt>
                <c:pt idx="2250">
                  <c:v>500000</c:v>
                </c:pt>
                <c:pt idx="2251">
                  <c:v>488000</c:v>
                </c:pt>
                <c:pt idx="2252">
                  <c:v>472000</c:v>
                </c:pt>
                <c:pt idx="2253">
                  <c:v>478000</c:v>
                </c:pt>
                <c:pt idx="2254">
                  <c:v>472000</c:v>
                </c:pt>
                <c:pt idx="2255">
                  <c:v>459000</c:v>
                </c:pt>
                <c:pt idx="2256">
                  <c:v>479000</c:v>
                </c:pt>
                <c:pt idx="2257">
                  <c:v>479000</c:v>
                </c:pt>
                <c:pt idx="2258">
                  <c:v>469000</c:v>
                </c:pt>
                <c:pt idx="2259">
                  <c:v>449000</c:v>
                </c:pt>
                <c:pt idx="2260">
                  <c:v>451000</c:v>
                </c:pt>
                <c:pt idx="2261">
                  <c:v>451000</c:v>
                </c:pt>
                <c:pt idx="2262">
                  <c:v>474000</c:v>
                </c:pt>
                <c:pt idx="2263">
                  <c:v>463000</c:v>
                </c:pt>
                <c:pt idx="2264">
                  <c:v>458000</c:v>
                </c:pt>
                <c:pt idx="2265">
                  <c:v>459000</c:v>
                </c:pt>
                <c:pt idx="2266">
                  <c:v>467000</c:v>
                </c:pt>
                <c:pt idx="2267">
                  <c:v>452000</c:v>
                </c:pt>
                <c:pt idx="2268">
                  <c:v>464000</c:v>
                </c:pt>
                <c:pt idx="2269">
                  <c:v>454000</c:v>
                </c:pt>
                <c:pt idx="2270">
                  <c:v>439000</c:v>
                </c:pt>
                <c:pt idx="2271">
                  <c:v>462000</c:v>
                </c:pt>
                <c:pt idx="2272">
                  <c:v>465000</c:v>
                </c:pt>
                <c:pt idx="2273">
                  <c:v>476000</c:v>
                </c:pt>
                <c:pt idx="2274">
                  <c:v>483000</c:v>
                </c:pt>
                <c:pt idx="2275">
                  <c:v>486000</c:v>
                </c:pt>
                <c:pt idx="2276">
                  <c:v>464000</c:v>
                </c:pt>
                <c:pt idx="2277">
                  <c:v>467000</c:v>
                </c:pt>
                <c:pt idx="2278">
                  <c:v>452000</c:v>
                </c:pt>
                <c:pt idx="2279">
                  <c:v>444000</c:v>
                </c:pt>
                <c:pt idx="2280">
                  <c:v>459000</c:v>
                </c:pt>
                <c:pt idx="2281">
                  <c:v>459000</c:v>
                </c:pt>
                <c:pt idx="2282">
                  <c:v>446000</c:v>
                </c:pt>
                <c:pt idx="2283">
                  <c:v>459000</c:v>
                </c:pt>
                <c:pt idx="2284">
                  <c:v>444000</c:v>
                </c:pt>
                <c:pt idx="2285">
                  <c:v>432000</c:v>
                </c:pt>
                <c:pt idx="2286">
                  <c:v>453000</c:v>
                </c:pt>
                <c:pt idx="2287">
                  <c:v>434000</c:v>
                </c:pt>
                <c:pt idx="2288">
                  <c:v>432000</c:v>
                </c:pt>
                <c:pt idx="2289">
                  <c:v>407000</c:v>
                </c:pt>
                <c:pt idx="2290">
                  <c:v>432000</c:v>
                </c:pt>
                <c:pt idx="2291">
                  <c:v>428000</c:v>
                </c:pt>
                <c:pt idx="2292">
                  <c:v>425000</c:v>
                </c:pt>
                <c:pt idx="2293">
                  <c:v>424000</c:v>
                </c:pt>
                <c:pt idx="2294">
                  <c:v>404000</c:v>
                </c:pt>
                <c:pt idx="2295">
                  <c:v>413000</c:v>
                </c:pt>
                <c:pt idx="2296">
                  <c:v>434000</c:v>
                </c:pt>
                <c:pt idx="2297">
                  <c:v>421000</c:v>
                </c:pt>
                <c:pt idx="2298">
                  <c:v>446000</c:v>
                </c:pt>
                <c:pt idx="2299">
                  <c:v>420000</c:v>
                </c:pt>
                <c:pt idx="2300">
                  <c:v>402000</c:v>
                </c:pt>
                <c:pt idx="2301">
                  <c:v>425000</c:v>
                </c:pt>
                <c:pt idx="2302">
                  <c:v>394000</c:v>
                </c:pt>
                <c:pt idx="2303">
                  <c:v>385000</c:v>
                </c:pt>
                <c:pt idx="2304">
                  <c:v>414000</c:v>
                </c:pt>
                <c:pt idx="2305">
                  <c:v>404000</c:v>
                </c:pt>
                <c:pt idx="2306">
                  <c:v>407000</c:v>
                </c:pt>
                <c:pt idx="2307">
                  <c:v>399000</c:v>
                </c:pt>
                <c:pt idx="2308">
                  <c:v>395000</c:v>
                </c:pt>
                <c:pt idx="2309">
                  <c:v>416000</c:v>
                </c:pt>
                <c:pt idx="2310">
                  <c:v>402000</c:v>
                </c:pt>
                <c:pt idx="2311">
                  <c:v>422000</c:v>
                </c:pt>
                <c:pt idx="2312">
                  <c:v>468000</c:v>
                </c:pt>
                <c:pt idx="2313">
                  <c:v>435000</c:v>
                </c:pt>
                <c:pt idx="2314">
                  <c:v>414000</c:v>
                </c:pt>
                <c:pt idx="2315">
                  <c:v>423000</c:v>
                </c:pt>
                <c:pt idx="2316">
                  <c:v>418000</c:v>
                </c:pt>
                <c:pt idx="2317">
                  <c:v>423000</c:v>
                </c:pt>
                <c:pt idx="2318">
                  <c:v>413000</c:v>
                </c:pt>
                <c:pt idx="2319">
                  <c:v>416000</c:v>
                </c:pt>
                <c:pt idx="2320">
                  <c:v>421000</c:v>
                </c:pt>
                <c:pt idx="2321">
                  <c:v>418000</c:v>
                </c:pt>
                <c:pt idx="2322">
                  <c:v>408000</c:v>
                </c:pt>
                <c:pt idx="2323">
                  <c:v>420000</c:v>
                </c:pt>
                <c:pt idx="2324">
                  <c:v>411000</c:v>
                </c:pt>
                <c:pt idx="2325">
                  <c:v>406000</c:v>
                </c:pt>
                <c:pt idx="2326">
                  <c:v>405000</c:v>
                </c:pt>
                <c:pt idx="2327">
                  <c:v>409000</c:v>
                </c:pt>
                <c:pt idx="2328">
                  <c:v>415000</c:v>
                </c:pt>
                <c:pt idx="2329">
                  <c:v>409000</c:v>
                </c:pt>
                <c:pt idx="2330">
                  <c:v>414000</c:v>
                </c:pt>
                <c:pt idx="2331">
                  <c:v>429000</c:v>
                </c:pt>
                <c:pt idx="2332">
                  <c:v>422000</c:v>
                </c:pt>
                <c:pt idx="2333">
                  <c:v>406000</c:v>
                </c:pt>
                <c:pt idx="2334">
                  <c:v>405000</c:v>
                </c:pt>
                <c:pt idx="2335">
                  <c:v>410000</c:v>
                </c:pt>
                <c:pt idx="2336">
                  <c:v>395000</c:v>
                </c:pt>
                <c:pt idx="2337">
                  <c:v>403000</c:v>
                </c:pt>
                <c:pt idx="2338">
                  <c:v>399000</c:v>
                </c:pt>
                <c:pt idx="2339">
                  <c:v>392000</c:v>
                </c:pt>
                <c:pt idx="2340">
                  <c:v>383000</c:v>
                </c:pt>
                <c:pt idx="2341">
                  <c:v>385000</c:v>
                </c:pt>
                <c:pt idx="2342">
                  <c:v>397000</c:v>
                </c:pt>
                <c:pt idx="2343">
                  <c:v>387000</c:v>
                </c:pt>
                <c:pt idx="2344">
                  <c:v>368000</c:v>
                </c:pt>
                <c:pt idx="2345">
                  <c:v>368000</c:v>
                </c:pt>
                <c:pt idx="2346">
                  <c:v>386000</c:v>
                </c:pt>
                <c:pt idx="2347">
                  <c:v>376000</c:v>
                </c:pt>
                <c:pt idx="2348">
                  <c:v>391000</c:v>
                </c:pt>
                <c:pt idx="2349">
                  <c:v>367000</c:v>
                </c:pt>
                <c:pt idx="2350">
                  <c:v>381000</c:v>
                </c:pt>
                <c:pt idx="2351">
                  <c:v>372000</c:v>
                </c:pt>
                <c:pt idx="2352">
                  <c:v>368000</c:v>
                </c:pt>
                <c:pt idx="2353">
                  <c:v>361000</c:v>
                </c:pt>
                <c:pt idx="2354">
                  <c:v>359000</c:v>
                </c:pt>
                <c:pt idx="2355">
                  <c:v>365000</c:v>
                </c:pt>
                <c:pt idx="2356">
                  <c:v>375000</c:v>
                </c:pt>
                <c:pt idx="2357">
                  <c:v>369000</c:v>
                </c:pt>
                <c:pt idx="2358">
                  <c:v>368000</c:v>
                </c:pt>
                <c:pt idx="2359">
                  <c:v>363000</c:v>
                </c:pt>
                <c:pt idx="2360">
                  <c:v>358000</c:v>
                </c:pt>
                <c:pt idx="2361">
                  <c:v>387000</c:v>
                </c:pt>
                <c:pt idx="2362">
                  <c:v>381000</c:v>
                </c:pt>
                <c:pt idx="2363">
                  <c:v>387000</c:v>
                </c:pt>
                <c:pt idx="2364">
                  <c:v>372000</c:v>
                </c:pt>
                <c:pt idx="2365">
                  <c:v>373000</c:v>
                </c:pt>
                <c:pt idx="2366">
                  <c:v>369000</c:v>
                </c:pt>
                <c:pt idx="2367">
                  <c:v>371000</c:v>
                </c:pt>
                <c:pt idx="2368">
                  <c:v>381000</c:v>
                </c:pt>
                <c:pt idx="2369">
                  <c:v>377000</c:v>
                </c:pt>
                <c:pt idx="2370">
                  <c:v>383000</c:v>
                </c:pt>
                <c:pt idx="2371">
                  <c:v>384000</c:v>
                </c:pt>
                <c:pt idx="2372">
                  <c:v>380000</c:v>
                </c:pt>
                <c:pt idx="2373">
                  <c:v>372000</c:v>
                </c:pt>
                <c:pt idx="2374">
                  <c:v>360000</c:v>
                </c:pt>
                <c:pt idx="2375">
                  <c:v>390000</c:v>
                </c:pt>
                <c:pt idx="2376">
                  <c:v>368000</c:v>
                </c:pt>
                <c:pt idx="2377">
                  <c:v>372000</c:v>
                </c:pt>
                <c:pt idx="2378">
                  <c:v>371000</c:v>
                </c:pt>
                <c:pt idx="2379">
                  <c:v>369000</c:v>
                </c:pt>
                <c:pt idx="2380">
                  <c:v>376000</c:v>
                </c:pt>
                <c:pt idx="2381">
                  <c:v>377000</c:v>
                </c:pt>
                <c:pt idx="2382">
                  <c:v>371000</c:v>
                </c:pt>
                <c:pt idx="2383">
                  <c:v>393000</c:v>
                </c:pt>
                <c:pt idx="2384">
                  <c:v>392000</c:v>
                </c:pt>
                <c:pt idx="2385">
                  <c:v>377000</c:v>
                </c:pt>
                <c:pt idx="2386">
                  <c:v>376000</c:v>
                </c:pt>
                <c:pt idx="2387">
                  <c:v>350000</c:v>
                </c:pt>
                <c:pt idx="2388">
                  <c:v>386000</c:v>
                </c:pt>
                <c:pt idx="2389">
                  <c:v>374000</c:v>
                </c:pt>
                <c:pt idx="2390">
                  <c:v>364000</c:v>
                </c:pt>
                <c:pt idx="2391">
                  <c:v>365000</c:v>
                </c:pt>
                <c:pt idx="2392">
                  <c:v>446000</c:v>
                </c:pt>
                <c:pt idx="2393">
                  <c:v>406000</c:v>
                </c:pt>
                <c:pt idx="2394">
                  <c:v>388000</c:v>
                </c:pt>
                <c:pt idx="2395">
                  <c:v>375000</c:v>
                </c:pt>
                <c:pt idx="2396">
                  <c:v>340000</c:v>
                </c:pt>
                <c:pt idx="2397">
                  <c:v>356000</c:v>
                </c:pt>
                <c:pt idx="2398">
                  <c:v>362000</c:v>
                </c:pt>
                <c:pt idx="2399">
                  <c:v>362000</c:v>
                </c:pt>
                <c:pt idx="2400">
                  <c:v>363000</c:v>
                </c:pt>
                <c:pt idx="2401">
                  <c:v>344000</c:v>
                </c:pt>
                <c:pt idx="2402">
                  <c:v>339000</c:v>
                </c:pt>
                <c:pt idx="2403">
                  <c:v>366000</c:v>
                </c:pt>
                <c:pt idx="2404">
                  <c:v>361000</c:v>
                </c:pt>
                <c:pt idx="2405">
                  <c:v>347000</c:v>
                </c:pt>
                <c:pt idx="2406">
                  <c:v>362000</c:v>
                </c:pt>
                <c:pt idx="2407">
                  <c:v>342000</c:v>
                </c:pt>
                <c:pt idx="2408">
                  <c:v>340000</c:v>
                </c:pt>
                <c:pt idx="2409">
                  <c:v>343000</c:v>
                </c:pt>
                <c:pt idx="2410">
                  <c:v>343000</c:v>
                </c:pt>
                <c:pt idx="2411">
                  <c:v>358000</c:v>
                </c:pt>
                <c:pt idx="2412">
                  <c:v>375000</c:v>
                </c:pt>
                <c:pt idx="2413">
                  <c:v>359000</c:v>
                </c:pt>
                <c:pt idx="2414">
                  <c:v>356000</c:v>
                </c:pt>
                <c:pt idx="2415">
                  <c:v>343000</c:v>
                </c:pt>
                <c:pt idx="2416">
                  <c:v>331000</c:v>
                </c:pt>
                <c:pt idx="2417">
                  <c:v>335000</c:v>
                </c:pt>
                <c:pt idx="2418">
                  <c:v>360000</c:v>
                </c:pt>
                <c:pt idx="2419">
                  <c:v>343000</c:v>
                </c:pt>
                <c:pt idx="2420">
                  <c:v>353000</c:v>
                </c:pt>
                <c:pt idx="2421">
                  <c:v>346000</c:v>
                </c:pt>
                <c:pt idx="2422">
                  <c:v>337000</c:v>
                </c:pt>
                <c:pt idx="2423">
                  <c:v>353000</c:v>
                </c:pt>
                <c:pt idx="2424">
                  <c:v>347000</c:v>
                </c:pt>
                <c:pt idx="2425">
                  <c:v>340000</c:v>
                </c:pt>
                <c:pt idx="2426">
                  <c:v>351000</c:v>
                </c:pt>
                <c:pt idx="2427">
                  <c:v>344000</c:v>
                </c:pt>
                <c:pt idx="2428">
                  <c:v>355000</c:v>
                </c:pt>
                <c:pt idx="2429">
                  <c:v>334000</c:v>
                </c:pt>
                <c:pt idx="2430">
                  <c:v>339000</c:v>
                </c:pt>
                <c:pt idx="2431">
                  <c:v>327000</c:v>
                </c:pt>
                <c:pt idx="2432">
                  <c:v>340000</c:v>
                </c:pt>
                <c:pt idx="2433">
                  <c:v>336000</c:v>
                </c:pt>
                <c:pt idx="2434">
                  <c:v>325000</c:v>
                </c:pt>
                <c:pt idx="2435">
                  <c:v>300000</c:v>
                </c:pt>
                <c:pt idx="2436">
                  <c:v>323000</c:v>
                </c:pt>
                <c:pt idx="2437">
                  <c:v>314000</c:v>
                </c:pt>
                <c:pt idx="2438">
                  <c:v>319000</c:v>
                </c:pt>
                <c:pt idx="2439">
                  <c:v>368000</c:v>
                </c:pt>
                <c:pt idx="2440">
                  <c:v>368000</c:v>
                </c:pt>
                <c:pt idx="2441">
                  <c:v>351000</c:v>
                </c:pt>
                <c:pt idx="2442">
                  <c:v>347000</c:v>
                </c:pt>
                <c:pt idx="2443">
                  <c:v>342000</c:v>
                </c:pt>
                <c:pt idx="2444">
                  <c:v>340000</c:v>
                </c:pt>
                <c:pt idx="2445">
                  <c:v>331000</c:v>
                </c:pt>
                <c:pt idx="2446">
                  <c:v>316000</c:v>
                </c:pt>
                <c:pt idx="2447">
                  <c:v>312000</c:v>
                </c:pt>
                <c:pt idx="2448">
                  <c:v>354000</c:v>
                </c:pt>
                <c:pt idx="2449">
                  <c:v>364000</c:v>
                </c:pt>
                <c:pt idx="2450">
                  <c:v>334000</c:v>
                </c:pt>
                <c:pt idx="2451">
                  <c:v>332000</c:v>
                </c:pt>
                <c:pt idx="2452">
                  <c:v>322000</c:v>
                </c:pt>
                <c:pt idx="2453">
                  <c:v>318000</c:v>
                </c:pt>
                <c:pt idx="2454">
                  <c:v>327000</c:v>
                </c:pt>
                <c:pt idx="2455">
                  <c:v>340000</c:v>
                </c:pt>
                <c:pt idx="2456">
                  <c:v>331000</c:v>
                </c:pt>
                <c:pt idx="2457">
                  <c:v>337000</c:v>
                </c:pt>
                <c:pt idx="2458">
                  <c:v>332000</c:v>
                </c:pt>
                <c:pt idx="2459">
                  <c:v>341000</c:v>
                </c:pt>
                <c:pt idx="2460">
                  <c:v>319000</c:v>
                </c:pt>
                <c:pt idx="2461">
                  <c:v>322000</c:v>
                </c:pt>
                <c:pt idx="2462">
                  <c:v>321000</c:v>
                </c:pt>
                <c:pt idx="2463">
                  <c:v>313000</c:v>
                </c:pt>
                <c:pt idx="2464">
                  <c:v>330000</c:v>
                </c:pt>
                <c:pt idx="2465">
                  <c:v>311000</c:v>
                </c:pt>
                <c:pt idx="2466">
                  <c:v>308000</c:v>
                </c:pt>
                <c:pt idx="2467">
                  <c:v>327000</c:v>
                </c:pt>
                <c:pt idx="2468">
                  <c:v>345000</c:v>
                </c:pt>
                <c:pt idx="2469">
                  <c:v>325000</c:v>
                </c:pt>
                <c:pt idx="2470">
                  <c:v>303000</c:v>
                </c:pt>
                <c:pt idx="2471">
                  <c:v>324000</c:v>
                </c:pt>
                <c:pt idx="2472">
                  <c:v>305000</c:v>
                </c:pt>
                <c:pt idx="2473">
                  <c:v>312000</c:v>
                </c:pt>
                <c:pt idx="2474">
                  <c:v>317000</c:v>
                </c:pt>
                <c:pt idx="2475">
                  <c:v>314000</c:v>
                </c:pt>
                <c:pt idx="2476">
                  <c:v>315000</c:v>
                </c:pt>
                <c:pt idx="2477">
                  <c:v>308000</c:v>
                </c:pt>
                <c:pt idx="2478">
                  <c:v>302000</c:v>
                </c:pt>
                <c:pt idx="2479">
                  <c:v>308000</c:v>
                </c:pt>
                <c:pt idx="2480">
                  <c:v>294000</c:v>
                </c:pt>
                <c:pt idx="2481">
                  <c:v>303000</c:v>
                </c:pt>
                <c:pt idx="2482">
                  <c:v>295000</c:v>
                </c:pt>
                <c:pt idx="2483">
                  <c:v>309000</c:v>
                </c:pt>
                <c:pt idx="2484">
                  <c:v>303000</c:v>
                </c:pt>
                <c:pt idx="2485">
                  <c:v>300000</c:v>
                </c:pt>
                <c:pt idx="2486">
                  <c:v>303000</c:v>
                </c:pt>
                <c:pt idx="2487">
                  <c:v>307000</c:v>
                </c:pt>
                <c:pt idx="2488">
                  <c:v>288000</c:v>
                </c:pt>
                <c:pt idx="2489">
                  <c:v>295000</c:v>
                </c:pt>
                <c:pt idx="2490">
                  <c:v>290000</c:v>
                </c:pt>
                <c:pt idx="2491">
                  <c:v>293000</c:v>
                </c:pt>
                <c:pt idx="2492">
                  <c:v>281000</c:v>
                </c:pt>
                <c:pt idx="2493">
                  <c:v>290000</c:v>
                </c:pt>
                <c:pt idx="2494">
                  <c:v>291000</c:v>
                </c:pt>
                <c:pt idx="2495">
                  <c:v>280000</c:v>
                </c:pt>
                <c:pt idx="2496">
                  <c:v>291000</c:v>
                </c:pt>
                <c:pt idx="2497">
                  <c:v>293000</c:v>
                </c:pt>
                <c:pt idx="2498">
                  <c:v>303000</c:v>
                </c:pt>
                <c:pt idx="2499">
                  <c:v>291000</c:v>
                </c:pt>
                <c:pt idx="2500">
                  <c:v>291000</c:v>
                </c:pt>
                <c:pt idx="2501">
                  <c:v>286000</c:v>
                </c:pt>
                <c:pt idx="2502">
                  <c:v>276000</c:v>
                </c:pt>
                <c:pt idx="2503">
                  <c:v>285000</c:v>
                </c:pt>
                <c:pt idx="2504">
                  <c:v>294000</c:v>
                </c:pt>
                <c:pt idx="2505">
                  <c:v>304000</c:v>
                </c:pt>
                <c:pt idx="2506">
                  <c:v>298000</c:v>
                </c:pt>
                <c:pt idx="2507">
                  <c:v>261000</c:v>
                </c:pt>
                <c:pt idx="2508">
                  <c:v>281000</c:v>
                </c:pt>
                <c:pt idx="2509">
                  <c:v>298000</c:v>
                </c:pt>
                <c:pt idx="2510">
                  <c:v>285000</c:v>
                </c:pt>
                <c:pt idx="2511">
                  <c:v>305000</c:v>
                </c:pt>
                <c:pt idx="2512">
                  <c:v>317000</c:v>
                </c:pt>
                <c:pt idx="2513">
                  <c:v>293000</c:v>
                </c:pt>
                <c:pt idx="2514">
                  <c:v>290000</c:v>
                </c:pt>
                <c:pt idx="2515">
                  <c:v>284000</c:v>
                </c:pt>
                <c:pt idx="2516">
                  <c:v>269000</c:v>
                </c:pt>
                <c:pt idx="2517">
                  <c:v>282000</c:v>
                </c:pt>
                <c:pt idx="2518">
                  <c:v>298000</c:v>
                </c:pt>
                <c:pt idx="2519">
                  <c:v>295000</c:v>
                </c:pt>
                <c:pt idx="2520">
                  <c:v>269000</c:v>
                </c:pt>
                <c:pt idx="2521">
                  <c:v>267000</c:v>
                </c:pt>
                <c:pt idx="2522">
                  <c:v>271000</c:v>
                </c:pt>
                <c:pt idx="2523">
                  <c:v>276000</c:v>
                </c:pt>
                <c:pt idx="2524">
                  <c:v>281000</c:v>
                </c:pt>
                <c:pt idx="2525">
                  <c:v>275000</c:v>
                </c:pt>
                <c:pt idx="2526">
                  <c:v>278000</c:v>
                </c:pt>
                <c:pt idx="2527">
                  <c:v>269000</c:v>
                </c:pt>
                <c:pt idx="2528">
                  <c:v>273000</c:v>
                </c:pt>
                <c:pt idx="2529">
                  <c:v>275000</c:v>
                </c:pt>
                <c:pt idx="2530">
                  <c:v>292000</c:v>
                </c:pt>
                <c:pt idx="2531">
                  <c:v>285000</c:v>
                </c:pt>
                <c:pt idx="2532">
                  <c:v>265000</c:v>
                </c:pt>
                <c:pt idx="2533">
                  <c:v>269000</c:v>
                </c:pt>
                <c:pt idx="2534">
                  <c:v>270000</c:v>
                </c:pt>
                <c:pt idx="2535">
                  <c:v>274000</c:v>
                </c:pt>
                <c:pt idx="2536">
                  <c:v>279000</c:v>
                </c:pt>
                <c:pt idx="2537">
                  <c:v>274000</c:v>
                </c:pt>
                <c:pt idx="2538">
                  <c:v>279000</c:v>
                </c:pt>
                <c:pt idx="2539">
                  <c:v>273000</c:v>
                </c:pt>
                <c:pt idx="2540">
                  <c:v>264000</c:v>
                </c:pt>
                <c:pt idx="2541">
                  <c:v>269000</c:v>
                </c:pt>
                <c:pt idx="2542">
                  <c:v>272000</c:v>
                </c:pt>
                <c:pt idx="2543">
                  <c:v>267000</c:v>
                </c:pt>
                <c:pt idx="2544">
                  <c:v>265000</c:v>
                </c:pt>
                <c:pt idx="2545">
                  <c:v>264000</c:v>
                </c:pt>
                <c:pt idx="2546">
                  <c:v>264000</c:v>
                </c:pt>
                <c:pt idx="2547">
                  <c:v>275000</c:v>
                </c:pt>
                <c:pt idx="2548">
                  <c:v>276000</c:v>
                </c:pt>
                <c:pt idx="2549">
                  <c:v>272000</c:v>
                </c:pt>
                <c:pt idx="2550">
                  <c:v>261000</c:v>
                </c:pt>
                <c:pt idx="2551">
                  <c:v>265000</c:v>
                </c:pt>
                <c:pt idx="2552">
                  <c:v>280000</c:v>
                </c:pt>
                <c:pt idx="2553">
                  <c:v>268000</c:v>
                </c:pt>
                <c:pt idx="2554">
                  <c:v>260000</c:v>
                </c:pt>
                <c:pt idx="2555">
                  <c:v>276000</c:v>
                </c:pt>
                <c:pt idx="2556">
                  <c:v>273000</c:v>
                </c:pt>
                <c:pt idx="2557">
                  <c:v>284000</c:v>
                </c:pt>
                <c:pt idx="2558">
                  <c:v>290000</c:v>
                </c:pt>
                <c:pt idx="2559">
                  <c:v>269000</c:v>
                </c:pt>
                <c:pt idx="2560">
                  <c:v>282000</c:v>
                </c:pt>
                <c:pt idx="2561">
                  <c:v>266000</c:v>
                </c:pt>
                <c:pt idx="2562">
                  <c:v>262000</c:v>
                </c:pt>
                <c:pt idx="2563">
                  <c:v>270000</c:v>
                </c:pt>
                <c:pt idx="2564">
                  <c:v>269000</c:v>
                </c:pt>
                <c:pt idx="2565">
                  <c:v>255000</c:v>
                </c:pt>
                <c:pt idx="2566">
                  <c:v>263000</c:v>
                </c:pt>
                <c:pt idx="2567">
                  <c:v>264000</c:v>
                </c:pt>
                <c:pt idx="2568">
                  <c:v>271000</c:v>
                </c:pt>
                <c:pt idx="2569">
                  <c:v>273000</c:v>
                </c:pt>
                <c:pt idx="2570">
                  <c:v>263000</c:v>
                </c:pt>
                <c:pt idx="2571">
                  <c:v>257000</c:v>
                </c:pt>
                <c:pt idx="2572">
                  <c:v>259000</c:v>
                </c:pt>
                <c:pt idx="2573">
                  <c:v>278000</c:v>
                </c:pt>
                <c:pt idx="2574">
                  <c:v>289000</c:v>
                </c:pt>
                <c:pt idx="2575">
                  <c:v>279000</c:v>
                </c:pt>
                <c:pt idx="2576">
                  <c:v>267000</c:v>
                </c:pt>
                <c:pt idx="2577">
                  <c:v>263000</c:v>
                </c:pt>
                <c:pt idx="2578">
                  <c:v>265000</c:v>
                </c:pt>
                <c:pt idx="2579">
                  <c:v>273000</c:v>
                </c:pt>
                <c:pt idx="2580">
                  <c:v>261000</c:v>
                </c:pt>
                <c:pt idx="2581">
                  <c:v>262000</c:v>
                </c:pt>
                <c:pt idx="2582">
                  <c:v>255000</c:v>
                </c:pt>
                <c:pt idx="2583">
                  <c:v>252000</c:v>
                </c:pt>
                <c:pt idx="2584">
                  <c:v>260000</c:v>
                </c:pt>
                <c:pt idx="2585">
                  <c:v>264000</c:v>
                </c:pt>
                <c:pt idx="2586">
                  <c:v>266000</c:v>
                </c:pt>
                <c:pt idx="2587">
                  <c:v>265000</c:v>
                </c:pt>
                <c:pt idx="2588">
                  <c:v>264000</c:v>
                </c:pt>
                <c:pt idx="2589">
                  <c:v>264000</c:v>
                </c:pt>
                <c:pt idx="2590">
                  <c:v>261000</c:v>
                </c:pt>
                <c:pt idx="2591">
                  <c:v>257000</c:v>
                </c:pt>
                <c:pt idx="2592">
                  <c:v>252000</c:v>
                </c:pt>
                <c:pt idx="2593">
                  <c:v>250000</c:v>
                </c:pt>
                <c:pt idx="2594">
                  <c:v>247000</c:v>
                </c:pt>
                <c:pt idx="2595">
                  <c:v>245000</c:v>
                </c:pt>
                <c:pt idx="2596">
                  <c:v>250000</c:v>
                </c:pt>
                <c:pt idx="2597">
                  <c:v>263000</c:v>
                </c:pt>
                <c:pt idx="2598">
                  <c:v>256000</c:v>
                </c:pt>
                <c:pt idx="2599">
                  <c:v>265000</c:v>
                </c:pt>
                <c:pt idx="2600">
                  <c:v>250000</c:v>
                </c:pt>
                <c:pt idx="2601">
                  <c:v>232000</c:v>
                </c:pt>
                <c:pt idx="2602">
                  <c:v>246000</c:v>
                </c:pt>
                <c:pt idx="2603">
                  <c:v>255000</c:v>
                </c:pt>
                <c:pt idx="2604">
                  <c:v>248000</c:v>
                </c:pt>
                <c:pt idx="2605">
                  <c:v>252000</c:v>
                </c:pt>
                <c:pt idx="2606">
                  <c:v>260000</c:v>
                </c:pt>
                <c:pt idx="2607">
                  <c:v>257000</c:v>
                </c:pt>
                <c:pt idx="2608">
                  <c:v>244000</c:v>
                </c:pt>
                <c:pt idx="2609">
                  <c:v>245000</c:v>
                </c:pt>
                <c:pt idx="2610">
                  <c:v>240000</c:v>
                </c:pt>
                <c:pt idx="2611">
                  <c:v>250000</c:v>
                </c:pt>
                <c:pt idx="2612">
                  <c:v>241000</c:v>
                </c:pt>
                <c:pt idx="2613">
                  <c:v>230000</c:v>
                </c:pt>
                <c:pt idx="2614">
                  <c:v>233000</c:v>
                </c:pt>
                <c:pt idx="2615">
                  <c:v>237000</c:v>
                </c:pt>
                <c:pt idx="2616">
                  <c:v>221000</c:v>
                </c:pt>
                <c:pt idx="2617">
                  <c:v>236000</c:v>
                </c:pt>
                <c:pt idx="2618">
                  <c:v>228000</c:v>
                </c:pt>
                <c:pt idx="2619">
                  <c:v>235000</c:v>
                </c:pt>
                <c:pt idx="2620">
                  <c:v>236000</c:v>
                </c:pt>
                <c:pt idx="2621">
                  <c:v>216000</c:v>
                </c:pt>
                <c:pt idx="2622">
                  <c:v>222000</c:v>
                </c:pt>
                <c:pt idx="2623">
                  <c:v>231000</c:v>
                </c:pt>
                <c:pt idx="2624">
                  <c:v>238000</c:v>
                </c:pt>
                <c:pt idx="2625">
                  <c:v>232000</c:v>
                </c:pt>
                <c:pt idx="2626">
                  <c:v>233000</c:v>
                </c:pt>
                <c:pt idx="2627">
                  <c:v>234000</c:v>
                </c:pt>
                <c:pt idx="2628">
                  <c:v>236000</c:v>
                </c:pt>
                <c:pt idx="2629">
                  <c:v>253000</c:v>
                </c:pt>
                <c:pt idx="2630">
                  <c:v>251000</c:v>
                </c:pt>
                <c:pt idx="2631">
                  <c:v>245000</c:v>
                </c:pt>
                <c:pt idx="2632">
                  <c:v>249000</c:v>
                </c:pt>
                <c:pt idx="2633">
                  <c:v>247000</c:v>
                </c:pt>
                <c:pt idx="2634">
                  <c:v>256000</c:v>
                </c:pt>
                <c:pt idx="2635">
                  <c:v>259000</c:v>
                </c:pt>
                <c:pt idx="2636">
                  <c:v>245000</c:v>
                </c:pt>
                <c:pt idx="2637">
                  <c:v>249000</c:v>
                </c:pt>
                <c:pt idx="2638">
                  <c:v>245000</c:v>
                </c:pt>
                <c:pt idx="2639">
                  <c:v>254000</c:v>
                </c:pt>
                <c:pt idx="2640">
                  <c:v>245000</c:v>
                </c:pt>
                <c:pt idx="2641">
                  <c:v>245000</c:v>
                </c:pt>
                <c:pt idx="2642">
                  <c:v>247000</c:v>
                </c:pt>
                <c:pt idx="2643">
                  <c:v>297000</c:v>
                </c:pt>
                <c:pt idx="2644">
                  <c:v>280000</c:v>
                </c:pt>
                <c:pt idx="2645">
                  <c:v>261000</c:v>
                </c:pt>
                <c:pt idx="2646">
                  <c:v>264000</c:v>
                </c:pt>
                <c:pt idx="2647">
                  <c:v>260000</c:v>
                </c:pt>
                <c:pt idx="2648">
                  <c:v>252000</c:v>
                </c:pt>
                <c:pt idx="2649">
                  <c:v>235000</c:v>
                </c:pt>
                <c:pt idx="2650">
                  <c:v>241000</c:v>
                </c:pt>
                <c:pt idx="2651">
                  <c:v>241000</c:v>
                </c:pt>
                <c:pt idx="2652">
                  <c:v>248000</c:v>
                </c:pt>
                <c:pt idx="2653">
                  <c:v>254000</c:v>
                </c:pt>
                <c:pt idx="2654">
                  <c:v>246000</c:v>
                </c:pt>
                <c:pt idx="2655">
                  <c:v>243000</c:v>
                </c:pt>
                <c:pt idx="2656">
                  <c:v>241000</c:v>
                </c:pt>
                <c:pt idx="2657">
                  <c:v>229000</c:v>
                </c:pt>
                <c:pt idx="2658">
                  <c:v>244000</c:v>
                </c:pt>
                <c:pt idx="2659">
                  <c:v>251000</c:v>
                </c:pt>
                <c:pt idx="2660">
                  <c:v>248000</c:v>
                </c:pt>
                <c:pt idx="2661">
                  <c:v>252000</c:v>
                </c:pt>
                <c:pt idx="2662">
                  <c:v>230000</c:v>
                </c:pt>
                <c:pt idx="2663">
                  <c:v>231000</c:v>
                </c:pt>
                <c:pt idx="2664">
                  <c:v>228000</c:v>
                </c:pt>
                <c:pt idx="2665">
                  <c:v>224000</c:v>
                </c:pt>
                <c:pt idx="2666">
                  <c:v>225000</c:v>
                </c:pt>
                <c:pt idx="2667">
                  <c:v>219000</c:v>
                </c:pt>
                <c:pt idx="2668">
                  <c:v>216000</c:v>
                </c:pt>
                <c:pt idx="2669">
                  <c:v>228000</c:v>
                </c:pt>
                <c:pt idx="2670">
                  <c:v>223000</c:v>
                </c:pt>
                <c:pt idx="2671">
                  <c:v>225000</c:v>
                </c:pt>
                <c:pt idx="2672">
                  <c:v>221000</c:v>
                </c:pt>
                <c:pt idx="2673">
                  <c:v>232000</c:v>
                </c:pt>
                <c:pt idx="2674">
                  <c:v>234000</c:v>
                </c:pt>
                <c:pt idx="2675">
                  <c:v>236000</c:v>
                </c:pt>
                <c:pt idx="2676">
                  <c:v>207000</c:v>
                </c:pt>
                <c:pt idx="2677">
                  <c:v>209000</c:v>
                </c:pt>
                <c:pt idx="2678">
                  <c:v>211000</c:v>
                </c:pt>
                <c:pt idx="2679">
                  <c:v>222000</c:v>
                </c:pt>
                <c:pt idx="2680">
                  <c:v>230000</c:v>
                </c:pt>
                <c:pt idx="2681">
                  <c:v>222000</c:v>
                </c:pt>
                <c:pt idx="2682">
                  <c:v>223000</c:v>
                </c:pt>
                <c:pt idx="2683">
                  <c:v>222000</c:v>
                </c:pt>
                <c:pt idx="2684">
                  <c:v>218000</c:v>
                </c:pt>
                <c:pt idx="2685">
                  <c:v>222000</c:v>
                </c:pt>
                <c:pt idx="2686">
                  <c:v>228000</c:v>
                </c:pt>
                <c:pt idx="2687">
                  <c:v>216000</c:v>
                </c:pt>
                <c:pt idx="2688">
                  <c:v>205000</c:v>
                </c:pt>
                <c:pt idx="2689">
                  <c:v>210000</c:v>
                </c:pt>
                <c:pt idx="2690">
                  <c:v>207000</c:v>
                </c:pt>
                <c:pt idx="2691">
                  <c:v>210000</c:v>
                </c:pt>
                <c:pt idx="2692">
                  <c:v>206000</c:v>
                </c:pt>
                <c:pt idx="2693">
                  <c:v>207000</c:v>
                </c:pt>
                <c:pt idx="2694">
                  <c:v>211000</c:v>
                </c:pt>
                <c:pt idx="2695">
                  <c:v>201000</c:v>
                </c:pt>
                <c:pt idx="2696">
                  <c:v>204000</c:v>
                </c:pt>
                <c:pt idx="2697">
                  <c:v>206000</c:v>
                </c:pt>
                <c:pt idx="2698">
                  <c:v>205000</c:v>
                </c:pt>
                <c:pt idx="2699">
                  <c:v>210000</c:v>
                </c:pt>
                <c:pt idx="2700">
                  <c:v>211000</c:v>
                </c:pt>
                <c:pt idx="2701">
                  <c:v>208000</c:v>
                </c:pt>
                <c:pt idx="2702">
                  <c:v>217000</c:v>
                </c:pt>
                <c:pt idx="2703">
                  <c:v>216000</c:v>
                </c:pt>
                <c:pt idx="2704">
                  <c:v>218000</c:v>
                </c:pt>
                <c:pt idx="2705">
                  <c:v>221000</c:v>
                </c:pt>
                <c:pt idx="2706">
                  <c:v>225000</c:v>
                </c:pt>
                <c:pt idx="2707">
                  <c:v>237000</c:v>
                </c:pt>
                <c:pt idx="2708">
                  <c:v>232000</c:v>
                </c:pt>
                <c:pt idx="2709">
                  <c:v>208000</c:v>
                </c:pt>
                <c:pt idx="2710">
                  <c:v>217000</c:v>
                </c:pt>
                <c:pt idx="2711">
                  <c:v>228000</c:v>
                </c:pt>
                <c:pt idx="2712">
                  <c:v>238000</c:v>
                </c:pt>
                <c:pt idx="2713">
                  <c:v>225000</c:v>
                </c:pt>
                <c:pt idx="2714">
                  <c:v>218000</c:v>
                </c:pt>
                <c:pt idx="2715">
                  <c:v>214000</c:v>
                </c:pt>
                <c:pt idx="2716">
                  <c:v>234000</c:v>
                </c:pt>
                <c:pt idx="2717">
                  <c:v>232000</c:v>
                </c:pt>
                <c:pt idx="2718">
                  <c:v>226000</c:v>
                </c:pt>
                <c:pt idx="2719">
                  <c:v>211000</c:v>
                </c:pt>
                <c:pt idx="2720">
                  <c:v>221000</c:v>
                </c:pt>
                <c:pt idx="2721">
                  <c:v>216000</c:v>
                </c:pt>
                <c:pt idx="2722">
                  <c:v>218000</c:v>
                </c:pt>
                <c:pt idx="2723">
                  <c:v>212000</c:v>
                </c:pt>
                <c:pt idx="2724">
                  <c:v>210000</c:v>
                </c:pt>
                <c:pt idx="2725">
                  <c:v>203000</c:v>
                </c:pt>
                <c:pt idx="2726">
                  <c:v>196000</c:v>
                </c:pt>
                <c:pt idx="2727">
                  <c:v>197000</c:v>
                </c:pt>
                <c:pt idx="2728">
                  <c:v>222000</c:v>
                </c:pt>
                <c:pt idx="2729">
                  <c:v>224000</c:v>
                </c:pt>
                <c:pt idx="2730">
                  <c:v>225000</c:v>
                </c:pt>
                <c:pt idx="2731">
                  <c:v>212000</c:v>
                </c:pt>
                <c:pt idx="2732">
                  <c:v>215000</c:v>
                </c:pt>
                <c:pt idx="2733">
                  <c:v>222000</c:v>
                </c:pt>
                <c:pt idx="2734">
                  <c:v>223000</c:v>
                </c:pt>
                <c:pt idx="2735">
                  <c:v>226000</c:v>
                </c:pt>
                <c:pt idx="2736">
                  <c:v>217000</c:v>
                </c:pt>
                <c:pt idx="2737">
                  <c:v>234000</c:v>
                </c:pt>
                <c:pt idx="2738">
                  <c:v>226000</c:v>
                </c:pt>
                <c:pt idx="2739">
                  <c:v>215000</c:v>
                </c:pt>
                <c:pt idx="2740">
                  <c:v>211000</c:v>
                </c:pt>
                <c:pt idx="2741">
                  <c:v>202000</c:v>
                </c:pt>
                <c:pt idx="2742">
                  <c:v>206000</c:v>
                </c:pt>
                <c:pt idx="2743">
                  <c:v>208000</c:v>
                </c:pt>
                <c:pt idx="2744">
                  <c:v>212000</c:v>
                </c:pt>
                <c:pt idx="2745">
                  <c:v>207000</c:v>
                </c:pt>
                <c:pt idx="2746">
                  <c:v>213000</c:v>
                </c:pt>
                <c:pt idx="2747">
                  <c:v>215000</c:v>
                </c:pt>
                <c:pt idx="2748">
                  <c:v>207000</c:v>
                </c:pt>
                <c:pt idx="2749">
                  <c:v>205000</c:v>
                </c:pt>
                <c:pt idx="2750">
                  <c:v>211000</c:v>
                </c:pt>
                <c:pt idx="2751">
                  <c:v>215000</c:v>
                </c:pt>
                <c:pt idx="2752">
                  <c:v>209000</c:v>
                </c:pt>
                <c:pt idx="2753">
                  <c:v>215000</c:v>
                </c:pt>
                <c:pt idx="2754">
                  <c:v>210000</c:v>
                </c:pt>
                <c:pt idx="2755">
                  <c:v>215000</c:v>
                </c:pt>
                <c:pt idx="2756">
                  <c:v>214000</c:v>
                </c:pt>
                <c:pt idx="2757">
                  <c:v>227000</c:v>
                </c:pt>
                <c:pt idx="2758">
                  <c:v>229000</c:v>
                </c:pt>
                <c:pt idx="2759">
                  <c:v>221000</c:v>
                </c:pt>
                <c:pt idx="2760">
                  <c:v>231000</c:v>
                </c:pt>
                <c:pt idx="2761">
                  <c:v>247000</c:v>
                </c:pt>
                <c:pt idx="2762">
                  <c:v>236000</c:v>
                </c:pt>
                <c:pt idx="2763">
                  <c:v>230000</c:v>
                </c:pt>
                <c:pt idx="2764">
                  <c:v>231000</c:v>
                </c:pt>
                <c:pt idx="2765">
                  <c:v>224000</c:v>
                </c:pt>
                <c:pt idx="2766">
                  <c:v>207000</c:v>
                </c:pt>
                <c:pt idx="2767">
                  <c:v>221000</c:v>
                </c:pt>
                <c:pt idx="2768">
                  <c:v>210000</c:v>
                </c:pt>
                <c:pt idx="2769">
                  <c:v>207000</c:v>
                </c:pt>
                <c:pt idx="2770">
                  <c:v>202000</c:v>
                </c:pt>
                <c:pt idx="2771">
                  <c:v>209000</c:v>
                </c:pt>
                <c:pt idx="2772">
                  <c:v>218000</c:v>
                </c:pt>
                <c:pt idx="2773">
                  <c:v>215000</c:v>
                </c:pt>
                <c:pt idx="2774">
                  <c:v>208000</c:v>
                </c:pt>
                <c:pt idx="2775">
                  <c:v>273000</c:v>
                </c:pt>
                <c:pt idx="2776">
                  <c:v>2914000</c:v>
                </c:pt>
                <c:pt idx="2777">
                  <c:v>5946000</c:v>
                </c:pt>
                <c:pt idx="2778">
                  <c:v>6137000</c:v>
                </c:pt>
                <c:pt idx="2779">
                  <c:v>4869000</c:v>
                </c:pt>
                <c:pt idx="2780">
                  <c:v>4201000</c:v>
                </c:pt>
                <c:pt idx="2781">
                  <c:v>3446000</c:v>
                </c:pt>
                <c:pt idx="2782">
                  <c:v>2796000</c:v>
                </c:pt>
                <c:pt idx="2783">
                  <c:v>2335000</c:v>
                </c:pt>
                <c:pt idx="2784">
                  <c:v>2176000</c:v>
                </c:pt>
                <c:pt idx="2785">
                  <c:v>1921000</c:v>
                </c:pt>
                <c:pt idx="2786">
                  <c:v>1639000</c:v>
                </c:pt>
                <c:pt idx="2787">
                  <c:v>1575000</c:v>
                </c:pt>
                <c:pt idx="2788">
                  <c:v>1473000</c:v>
                </c:pt>
                <c:pt idx="2789">
                  <c:v>1467000</c:v>
                </c:pt>
                <c:pt idx="2790">
                  <c:v>1446000</c:v>
                </c:pt>
                <c:pt idx="2791">
                  <c:v>1413000</c:v>
                </c:pt>
                <c:pt idx="2792">
                  <c:v>1468000</c:v>
                </c:pt>
                <c:pt idx="2793">
                  <c:v>1393000</c:v>
                </c:pt>
                <c:pt idx="2794">
                  <c:v>1260000</c:v>
                </c:pt>
                <c:pt idx="2795">
                  <c:v>1044000</c:v>
                </c:pt>
                <c:pt idx="2796">
                  <c:v>884000</c:v>
                </c:pt>
                <c:pt idx="2797">
                  <c:v>927000</c:v>
                </c:pt>
                <c:pt idx="2798">
                  <c:v>876000</c:v>
                </c:pt>
                <c:pt idx="2799">
                  <c:v>881000</c:v>
                </c:pt>
                <c:pt idx="2800">
                  <c:v>892000</c:v>
                </c:pt>
                <c:pt idx="2801">
                  <c:v>861000</c:v>
                </c:pt>
                <c:pt idx="2802">
                  <c:v>859000</c:v>
                </c:pt>
                <c:pt idx="2803">
                  <c:v>795000</c:v>
                </c:pt>
                <c:pt idx="2804">
                  <c:v>785000</c:v>
                </c:pt>
                <c:pt idx="2805">
                  <c:v>839000</c:v>
                </c:pt>
                <c:pt idx="2806">
                  <c:v>804000</c:v>
                </c:pt>
                <c:pt idx="2807">
                  <c:v>776000</c:v>
                </c:pt>
                <c:pt idx="2808">
                  <c:v>773000</c:v>
                </c:pt>
                <c:pt idx="2809">
                  <c:v>737000</c:v>
                </c:pt>
                <c:pt idx="2810">
                  <c:v>738000</c:v>
                </c:pt>
                <c:pt idx="2811">
                  <c:v>793000</c:v>
                </c:pt>
                <c:pt idx="2812">
                  <c:v>737000</c:v>
                </c:pt>
                <c:pt idx="2813">
                  <c:v>873000</c:v>
                </c:pt>
                <c:pt idx="2814">
                  <c:v>886000</c:v>
                </c:pt>
                <c:pt idx="2815">
                  <c:v>815000</c:v>
                </c:pt>
                <c:pt idx="2816">
                  <c:v>773000</c:v>
                </c:pt>
                <c:pt idx="2817">
                  <c:v>803000</c:v>
                </c:pt>
                <c:pt idx="2818">
                  <c:v>890000</c:v>
                </c:pt>
                <c:pt idx="2819">
                  <c:v>844000</c:v>
                </c:pt>
                <c:pt idx="2820">
                  <c:v>799000</c:v>
                </c:pt>
                <c:pt idx="2821">
                  <c:v>803000</c:v>
                </c:pt>
                <c:pt idx="2822">
                  <c:v>812000</c:v>
                </c:pt>
                <c:pt idx="2823">
                  <c:v>802000</c:v>
                </c:pt>
                <c:pt idx="2824">
                  <c:v>702000</c:v>
                </c:pt>
                <c:pt idx="2825">
                  <c:v>704000</c:v>
                </c:pt>
                <c:pt idx="2826">
                  <c:v>693000</c:v>
                </c:pt>
                <c:pt idx="2827">
                  <c:v>699000</c:v>
                </c:pt>
                <c:pt idx="2828">
                  <c:v>627000</c:v>
                </c:pt>
                <c:pt idx="2829">
                  <c:v>658000</c:v>
                </c:pt>
                <c:pt idx="2830">
                  <c:v>645000</c:v>
                </c:pt>
                <c:pt idx="2831">
                  <c:v>571000</c:v>
                </c:pt>
                <c:pt idx="2832">
                  <c:v>566000</c:v>
                </c:pt>
                <c:pt idx="2833">
                  <c:v>574000</c:v>
                </c:pt>
                <c:pt idx="2834">
                  <c:v>517000</c:v>
                </c:pt>
                <c:pt idx="2835">
                  <c:v>494000</c:v>
                </c:pt>
                <c:pt idx="2836">
                  <c:v>467000</c:v>
                </c:pt>
                <c:pt idx="2837">
                  <c:v>441000</c:v>
                </c:pt>
                <c:pt idx="2838">
                  <c:v>427000</c:v>
                </c:pt>
                <c:pt idx="2839">
                  <c:v>420000</c:v>
                </c:pt>
                <c:pt idx="2840">
                  <c:v>428000</c:v>
                </c:pt>
                <c:pt idx="2841">
                  <c:v>422000</c:v>
                </c:pt>
                <c:pt idx="2842">
                  <c:v>368000</c:v>
                </c:pt>
                <c:pt idx="2843">
                  <c:v>371000</c:v>
                </c:pt>
                <c:pt idx="2844">
                  <c:v>333000</c:v>
                </c:pt>
                <c:pt idx="2845">
                  <c:v>387000</c:v>
                </c:pt>
                <c:pt idx="2846">
                  <c:v>380000</c:v>
                </c:pt>
                <c:pt idx="2847">
                  <c:v>379000</c:v>
                </c:pt>
                <c:pt idx="2848">
                  <c:v>361000</c:v>
                </c:pt>
                <c:pt idx="2849">
                  <c:v>367000</c:v>
                </c:pt>
                <c:pt idx="2850">
                  <c:v>358000</c:v>
                </c:pt>
                <c:pt idx="2851">
                  <c:v>353000</c:v>
                </c:pt>
                <c:pt idx="2852">
                  <c:v>335000</c:v>
                </c:pt>
                <c:pt idx="2853">
                  <c:v>342000</c:v>
                </c:pt>
                <c:pt idx="2854">
                  <c:v>367000</c:v>
                </c:pt>
                <c:pt idx="2855">
                  <c:v>375000</c:v>
                </c:pt>
                <c:pt idx="2856">
                  <c:v>312000</c:v>
                </c:pt>
                <c:pt idx="2857">
                  <c:v>291000</c:v>
                </c:pt>
                <c:pt idx="2858">
                  <c:v>289000</c:v>
                </c:pt>
                <c:pt idx="2859">
                  <c:v>269000</c:v>
                </c:pt>
                <c:pt idx="2860">
                  <c:v>261000</c:v>
                </c:pt>
                <c:pt idx="2861">
                  <c:v>251000</c:v>
                </c:pt>
                <c:pt idx="2862">
                  <c:v>250000</c:v>
                </c:pt>
                <c:pt idx="2863">
                  <c:v>224000</c:v>
                </c:pt>
                <c:pt idx="2864">
                  <c:v>221000</c:v>
                </c:pt>
                <c:pt idx="2865">
                  <c:v>206000</c:v>
                </c:pt>
                <c:pt idx="2866">
                  <c:v>227000</c:v>
                </c:pt>
                <c:pt idx="2867">
                  <c:v>215000</c:v>
                </c:pt>
                <c:pt idx="2868">
                  <c:v>217000</c:v>
                </c:pt>
                <c:pt idx="2869">
                  <c:v>229000</c:v>
                </c:pt>
                <c:pt idx="2870">
                  <c:v>250000</c:v>
                </c:pt>
                <c:pt idx="2871">
                  <c:v>246000</c:v>
                </c:pt>
                <c:pt idx="2872">
                  <c:v>240000</c:v>
                </c:pt>
                <c:pt idx="2873">
                  <c:v>231000</c:v>
                </c:pt>
                <c:pt idx="2874">
                  <c:v>210000</c:v>
                </c:pt>
                <c:pt idx="2875">
                  <c:v>234000</c:v>
                </c:pt>
                <c:pt idx="2876">
                  <c:v>224000</c:v>
                </c:pt>
                <c:pt idx="2877">
                  <c:v>208000</c:v>
                </c:pt>
                <c:pt idx="2878">
                  <c:v>222000</c:v>
                </c:pt>
                <c:pt idx="2879">
                  <c:v>217000</c:v>
                </c:pt>
                <c:pt idx="2880">
                  <c:v>207000</c:v>
                </c:pt>
                <c:pt idx="2881">
                  <c:v>214000</c:v>
                </c:pt>
                <c:pt idx="2882">
                  <c:v>214000</c:v>
                </c:pt>
                <c:pt idx="2883">
                  <c:v>214000</c:v>
                </c:pt>
                <c:pt idx="2884">
                  <c:v>210000</c:v>
                </c:pt>
                <c:pt idx="2885">
                  <c:v>209000</c:v>
                </c:pt>
                <c:pt idx="2886">
                  <c:v>218000</c:v>
                </c:pt>
                <c:pt idx="2887">
                  <c:v>204000</c:v>
                </c:pt>
                <c:pt idx="2888">
                  <c:v>225000</c:v>
                </c:pt>
                <c:pt idx="2889">
                  <c:v>211000</c:v>
                </c:pt>
                <c:pt idx="2890">
                  <c:v>199000</c:v>
                </c:pt>
                <c:pt idx="2891">
                  <c:v>213000</c:v>
                </c:pt>
                <c:pt idx="2892">
                  <c:v>211000</c:v>
                </c:pt>
                <c:pt idx="2893">
                  <c:v>214000</c:v>
                </c:pt>
                <c:pt idx="2894">
                  <c:v>212000</c:v>
                </c:pt>
                <c:pt idx="2895">
                  <c:v>214000</c:v>
                </c:pt>
                <c:pt idx="2896">
                  <c:v>212000</c:v>
                </c:pt>
                <c:pt idx="2897">
                  <c:v>216000</c:v>
                </c:pt>
                <c:pt idx="2898">
                  <c:v>221000</c:v>
                </c:pt>
                <c:pt idx="2899">
                  <c:v>228000</c:v>
                </c:pt>
                <c:pt idx="2900">
                  <c:v>221000</c:v>
                </c:pt>
                <c:pt idx="2901">
                  <c:v>220000</c:v>
                </c:pt>
                <c:pt idx="2902">
                  <c:v>215000</c:v>
                </c:pt>
                <c:pt idx="2903">
                  <c:v>210000</c:v>
                </c:pt>
                <c:pt idx="2904">
                  <c:v>203000</c:v>
                </c:pt>
                <c:pt idx="2905">
                  <c:v>195000</c:v>
                </c:pt>
                <c:pt idx="2906">
                  <c:v>202000</c:v>
                </c:pt>
                <c:pt idx="2907">
                  <c:v>190000</c:v>
                </c:pt>
                <c:pt idx="2908">
                  <c:v>203000</c:v>
                </c:pt>
                <c:pt idx="2909">
                  <c:v>207000</c:v>
                </c:pt>
                <c:pt idx="2910">
                  <c:v>199000</c:v>
                </c:pt>
                <c:pt idx="2911">
                  <c:v>202000</c:v>
                </c:pt>
                <c:pt idx="2912">
                  <c:v>202000</c:v>
                </c:pt>
                <c:pt idx="2913">
                  <c:v>204000</c:v>
                </c:pt>
                <c:pt idx="2914">
                  <c:v>210000</c:v>
                </c:pt>
                <c:pt idx="2915">
                  <c:v>220000</c:v>
                </c:pt>
                <c:pt idx="2916">
                  <c:v>209000</c:v>
                </c:pt>
                <c:pt idx="2917">
                  <c:v>209000</c:v>
                </c:pt>
                <c:pt idx="2918">
                  <c:v>209000</c:v>
                </c:pt>
                <c:pt idx="2919">
                  <c:v>213000</c:v>
                </c:pt>
                <c:pt idx="2920">
                  <c:v>205000</c:v>
                </c:pt>
                <c:pt idx="2921">
                  <c:v>205000</c:v>
                </c:pt>
                <c:pt idx="2922">
                  <c:v>210000</c:v>
                </c:pt>
                <c:pt idx="2923">
                  <c:v>204000</c:v>
                </c:pt>
                <c:pt idx="2924">
                  <c:v>204000</c:v>
                </c:pt>
                <c:pt idx="2925">
                  <c:v>200000</c:v>
                </c:pt>
                <c:pt idx="2926">
                  <c:v>215000</c:v>
                </c:pt>
                <c:pt idx="2927">
                  <c:v>220000</c:v>
                </c:pt>
                <c:pt idx="2928">
                  <c:v>217000</c:v>
                </c:pt>
                <c:pt idx="2929">
                  <c:v>207000</c:v>
                </c:pt>
                <c:pt idx="2930">
                  <c:v>230000</c:v>
                </c:pt>
                <c:pt idx="2931">
                  <c:v>222000</c:v>
                </c:pt>
                <c:pt idx="2932">
                  <c:v>230000</c:v>
                </c:pt>
                <c:pt idx="2933">
                  <c:v>234000</c:v>
                </c:pt>
                <c:pt idx="2934">
                  <c:v>217000</c:v>
                </c:pt>
                <c:pt idx="2935">
                  <c:v>220000</c:v>
                </c:pt>
                <c:pt idx="2936">
                  <c:v>223000</c:v>
                </c:pt>
                <c:pt idx="2937">
                  <c:v>209000</c:v>
                </c:pt>
                <c:pt idx="2938">
                  <c:v>213000</c:v>
                </c:pt>
                <c:pt idx="2939">
                  <c:v>223000</c:v>
                </c:pt>
                <c:pt idx="2940">
                  <c:v>225000</c:v>
                </c:pt>
                <c:pt idx="2941">
                  <c:v>227000</c:v>
                </c:pt>
                <c:pt idx="2942">
                  <c:v>229000</c:v>
                </c:pt>
                <c:pt idx="2943">
                  <c:v>252000</c:v>
                </c:pt>
                <c:pt idx="2944">
                  <c:v>256000</c:v>
                </c:pt>
                <c:pt idx="2945">
                  <c:v>259000</c:v>
                </c:pt>
                <c:pt idx="2946">
                  <c:v>236000</c:v>
                </c:pt>
                <c:pt idx="2947">
                  <c:v>248000</c:v>
                </c:pt>
                <c:pt idx="2948">
                  <c:v>230000</c:v>
                </c:pt>
                <c:pt idx="2949">
                  <c:v>229000</c:v>
                </c:pt>
                <c:pt idx="2950">
                  <c:v>231000</c:v>
                </c:pt>
                <c:pt idx="2951">
                  <c:v>238000</c:v>
                </c:pt>
                <c:pt idx="2952">
                  <c:v>258000</c:v>
                </c:pt>
                <c:pt idx="2953">
                  <c:v>248000</c:v>
                </c:pt>
                <c:pt idx="2954">
                  <c:v>240000</c:v>
                </c:pt>
                <c:pt idx="2955">
                  <c:v>234000</c:v>
                </c:pt>
                <c:pt idx="2956">
                  <c:v>225000</c:v>
                </c:pt>
                <c:pt idx="2957">
                  <c:v>225000</c:v>
                </c:pt>
                <c:pt idx="2958">
                  <c:v>211000</c:v>
                </c:pt>
                <c:pt idx="2959">
                  <c:v>216000</c:v>
                </c:pt>
                <c:pt idx="2960">
                  <c:v>216000</c:v>
                </c:pt>
                <c:pt idx="2961">
                  <c:v>210000</c:v>
                </c:pt>
                <c:pt idx="2962">
                  <c:v>200000</c:v>
                </c:pt>
                <c:pt idx="2963">
                  <c:v>214000</c:v>
                </c:pt>
                <c:pt idx="2964">
                  <c:v>217000</c:v>
                </c:pt>
                <c:pt idx="2965">
                  <c:v>216000</c:v>
                </c:pt>
                <c:pt idx="2966">
                  <c:v>230000</c:v>
                </c:pt>
                <c:pt idx="2967">
                  <c:v>213000</c:v>
                </c:pt>
                <c:pt idx="2968">
                  <c:v>213000</c:v>
                </c:pt>
                <c:pt idx="2969">
                  <c:v>215000</c:v>
                </c:pt>
                <c:pt idx="2970">
                  <c:v>203000</c:v>
                </c:pt>
                <c:pt idx="2971">
                  <c:v>209000</c:v>
                </c:pt>
                <c:pt idx="2972">
                  <c:v>212000</c:v>
                </c:pt>
                <c:pt idx="2973">
                  <c:v>200000</c:v>
                </c:pt>
                <c:pt idx="2974">
                  <c:v>201000</c:v>
                </c:pt>
                <c:pt idx="2975">
                  <c:v>195000</c:v>
                </c:pt>
                <c:pt idx="2976">
                  <c:v>224000</c:v>
                </c:pt>
                <c:pt idx="2977">
                  <c:v>226000</c:v>
                </c:pt>
                <c:pt idx="2978">
                  <c:v>213000</c:v>
                </c:pt>
                <c:pt idx="2979">
                  <c:v>213000</c:v>
                </c:pt>
                <c:pt idx="2980">
                  <c:v>202000</c:v>
                </c:pt>
                <c:pt idx="2981">
                  <c:v>212000</c:v>
                </c:pt>
                <c:pt idx="2982">
                  <c:v>213000</c:v>
                </c:pt>
                <c:pt idx="2983">
                  <c:v>213000</c:v>
                </c:pt>
                <c:pt idx="2984">
                  <c:v>213000</c:v>
                </c:pt>
                <c:pt idx="2985">
                  <c:v>214000</c:v>
                </c:pt>
                <c:pt idx="2986">
                  <c:v>223000</c:v>
                </c:pt>
                <c:pt idx="2987">
                  <c:v>213000</c:v>
                </c:pt>
                <c:pt idx="2988">
                  <c:v>212000</c:v>
                </c:pt>
                <c:pt idx="2989">
                  <c:v>209000</c:v>
                </c:pt>
                <c:pt idx="2990">
                  <c:v>207000</c:v>
                </c:pt>
                <c:pt idx="2991">
                  <c:v>230000</c:v>
                </c:pt>
                <c:pt idx="2992">
                  <c:v>222000</c:v>
                </c:pt>
                <c:pt idx="2993">
                  <c:v>216000</c:v>
                </c:pt>
                <c:pt idx="2994">
                  <c:v>220000</c:v>
                </c:pt>
                <c:pt idx="2995">
                  <c:v>227000</c:v>
                </c:pt>
                <c:pt idx="2996">
                  <c:v>240000</c:v>
                </c:pt>
                <c:pt idx="2997">
                  <c:v>236000</c:v>
                </c:pt>
                <c:pt idx="2998">
                  <c:v>233000</c:v>
                </c:pt>
                <c:pt idx="2999">
                  <c:v>238000</c:v>
                </c:pt>
                <c:pt idx="3000">
                  <c:v>223000</c:v>
                </c:pt>
                <c:pt idx="3001">
                  <c:v>241000</c:v>
                </c:pt>
                <c:pt idx="3002">
                  <c:v>237000</c:v>
                </c:pt>
                <c:pt idx="3003">
                  <c:v>248000</c:v>
                </c:pt>
                <c:pt idx="3004">
                  <c:v>234000</c:v>
                </c:pt>
                <c:pt idx="3005">
                  <c:v>228000</c:v>
                </c:pt>
                <c:pt idx="3006">
                  <c:v>232000</c:v>
                </c:pt>
                <c:pt idx="3007">
                  <c:v>232000</c:v>
                </c:pt>
                <c:pt idx="3008">
                  <c:v>227000</c:v>
                </c:pt>
                <c:pt idx="3009">
                  <c:v>227000</c:v>
                </c:pt>
                <c:pt idx="3010">
                  <c:v>223000</c:v>
                </c:pt>
                <c:pt idx="3011">
                  <c:v>221000</c:v>
                </c:pt>
                <c:pt idx="3012">
                  <c:v>227000</c:v>
                </c:pt>
                <c:pt idx="3013">
                  <c:v>258000</c:v>
                </c:pt>
                <c:pt idx="3014">
                  <c:v>241000</c:v>
                </c:pt>
                <c:pt idx="3015">
                  <c:v>227000</c:v>
                </c:pt>
                <c:pt idx="3016">
                  <c:v>219000</c:v>
                </c:pt>
                <c:pt idx="3017">
                  <c:v>221000</c:v>
                </c:pt>
                <c:pt idx="3018">
                  <c:v>218000</c:v>
                </c:pt>
                <c:pt idx="3019">
                  <c:v>216000</c:v>
                </c:pt>
                <c:pt idx="3020">
                  <c:v>219000</c:v>
                </c:pt>
                <c:pt idx="3021">
                  <c:v>222000</c:v>
                </c:pt>
                <c:pt idx="3022">
                  <c:v>238000</c:v>
                </c:pt>
                <c:pt idx="3023">
                  <c:v>222000</c:v>
                </c:pt>
                <c:pt idx="3024">
                  <c:v>219000</c:v>
                </c:pt>
                <c:pt idx="3025">
                  <c:v>212000</c:v>
                </c:pt>
                <c:pt idx="3026">
                  <c:v>206000</c:v>
                </c:pt>
                <c:pt idx="3027">
                  <c:v>219000</c:v>
                </c:pt>
                <c:pt idx="3028">
                  <c:v>223000</c:v>
                </c:pt>
                <c:pt idx="3029">
                  <c:v>212000</c:v>
                </c:pt>
                <c:pt idx="3030">
                  <c:v>220000</c:v>
                </c:pt>
                <c:pt idx="3031">
                  <c:v>216000</c:v>
                </c:pt>
                <c:pt idx="3032">
                  <c:v>223000</c:v>
                </c:pt>
                <c:pt idx="3033">
                  <c:v>241000</c:v>
                </c:pt>
                <c:pt idx="3034">
                  <c:v>224000</c:v>
                </c:pt>
                <c:pt idx="3035">
                  <c:v>222000</c:v>
                </c:pt>
                <c:pt idx="3036">
                  <c:v>225000</c:v>
                </c:pt>
                <c:pt idx="3037">
                  <c:v>224000</c:v>
                </c:pt>
                <c:pt idx="3038">
                  <c:v>220000</c:v>
                </c:pt>
                <c:pt idx="3039">
                  <c:v>223000</c:v>
                </c:pt>
                <c:pt idx="3040">
                  <c:v>217000</c:v>
                </c:pt>
                <c:pt idx="3041">
                  <c:v>224000</c:v>
                </c:pt>
                <c:pt idx="3042">
                  <c:v>239000</c:v>
                </c:pt>
                <c:pt idx="3043">
                  <c:v>228000</c:v>
                </c:pt>
                <c:pt idx="3044">
                  <c:v>226000</c:v>
                </c:pt>
                <c:pt idx="3045">
                  <c:v>225000</c:v>
                </c:pt>
                <c:pt idx="3046">
                  <c:v>236000</c:v>
                </c:pt>
                <c:pt idx="3047">
                  <c:v>244000</c:v>
                </c:pt>
                <c:pt idx="3048">
                  <c:v>246000</c:v>
                </c:pt>
                <c:pt idx="3049">
                  <c:v>243000</c:v>
                </c:pt>
                <c:pt idx="3050">
                  <c:v>236000</c:v>
                </c:pt>
                <c:pt idx="3051">
                  <c:v>231000</c:v>
                </c:pt>
                <c:pt idx="3052">
                  <c:v>228000</c:v>
                </c:pt>
                <c:pt idx="3053">
                  <c:v>221000</c:v>
                </c:pt>
                <c:pt idx="3054">
                  <c:v>218000</c:v>
                </c:pt>
                <c:pt idx="3055">
                  <c:v>219000</c:v>
                </c:pt>
                <c:pt idx="3056">
                  <c:v>226000</c:v>
                </c:pt>
                <c:pt idx="3057">
                  <c:v>224000</c:v>
                </c:pt>
                <c:pt idx="3058">
                  <c:v>233000</c:v>
                </c:pt>
                <c:pt idx="3059">
                  <c:v>229000</c:v>
                </c:pt>
                <c:pt idx="3060">
                  <c:v>236000</c:v>
                </c:pt>
                <c:pt idx="3061">
                  <c:v>259000</c:v>
                </c:pt>
                <c:pt idx="3062">
                  <c:v>233000</c:v>
                </c:pt>
                <c:pt idx="3063">
                  <c:v>219000</c:v>
                </c:pt>
                <c:pt idx="3064">
                  <c:v>225000</c:v>
                </c:pt>
                <c:pt idx="3065">
                  <c:v>233000</c:v>
                </c:pt>
                <c:pt idx="3066">
                  <c:v>222000</c:v>
                </c:pt>
                <c:pt idx="3067">
                  <c:v>231000</c:v>
                </c:pt>
                <c:pt idx="3068">
                  <c:v>221000</c:v>
                </c:pt>
                <c:pt idx="3069">
                  <c:v>228000</c:v>
                </c:pt>
                <c:pt idx="3070">
                  <c:v>228000</c:v>
                </c:pt>
                <c:pt idx="3071">
                  <c:v>222000</c:v>
                </c:pt>
                <c:pt idx="3072">
                  <c:v>218000</c:v>
                </c:pt>
                <c:pt idx="3073">
                  <c:v>216000</c:v>
                </c:pt>
                <c:pt idx="3074">
                  <c:v>235000</c:v>
                </c:pt>
                <c:pt idx="3075">
                  <c:v>224000</c:v>
                </c:pt>
                <c:pt idx="3076">
                  <c:v>215000</c:v>
                </c:pt>
                <c:pt idx="3077">
                  <c:v>203000</c:v>
                </c:pt>
                <c:pt idx="3078">
                  <c:v>207000</c:v>
                </c:pt>
                <c:pt idx="3079">
                  <c:v>201000</c:v>
                </c:pt>
                <c:pt idx="3080">
                  <c:v>210000</c:v>
                </c:pt>
                <c:pt idx="3081">
                  <c:v>211000</c:v>
                </c:pt>
                <c:pt idx="3082">
                  <c:v>230000</c:v>
                </c:pt>
                <c:pt idx="3083">
                  <c:v>230000</c:v>
                </c:pt>
                <c:pt idx="3084">
                  <c:v>208000</c:v>
                </c:pt>
                <c:pt idx="3085">
                  <c:v>211000</c:v>
                </c:pt>
                <c:pt idx="3086">
                  <c:v>214000</c:v>
                </c:pt>
                <c:pt idx="3087">
                  <c:v>213000</c:v>
                </c:pt>
                <c:pt idx="3088">
                  <c:v>205000</c:v>
                </c:pt>
                <c:pt idx="3089">
                  <c:v>211000</c:v>
                </c:pt>
                <c:pt idx="3090">
                  <c:v>203000</c:v>
                </c:pt>
                <c:pt idx="3091">
                  <c:v>218000</c:v>
                </c:pt>
                <c:pt idx="3092">
                  <c:v>208000</c:v>
                </c:pt>
                <c:pt idx="3093">
                  <c:v>215000</c:v>
                </c:pt>
                <c:pt idx="3094">
                  <c:v>190000</c:v>
                </c:pt>
                <c:pt idx="3095">
                  <c:v>199000</c:v>
                </c:pt>
                <c:pt idx="3096">
                  <c:v>212000</c:v>
                </c:pt>
                <c:pt idx="3097">
                  <c:v>210000</c:v>
                </c:pt>
                <c:pt idx="3098">
                  <c:v>212000</c:v>
                </c:pt>
                <c:pt idx="3099">
                  <c:v>225000</c:v>
                </c:pt>
                <c:pt idx="3100">
                  <c:v>230000</c:v>
                </c:pt>
                <c:pt idx="3101">
                  <c:v>227000</c:v>
                </c:pt>
                <c:pt idx="3102">
                  <c:v>216000</c:v>
                </c:pt>
                <c:pt idx="3103">
                  <c:v>215000</c:v>
                </c:pt>
                <c:pt idx="3104">
                  <c:v>217000</c:v>
                </c:pt>
                <c:pt idx="3105">
                  <c:v>209000</c:v>
                </c:pt>
                <c:pt idx="3106">
                  <c:v>188000</c:v>
                </c:pt>
                <c:pt idx="3107">
                  <c:v>197000</c:v>
                </c:pt>
                <c:pt idx="3108">
                  <c:v>199000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3FC-44A4-8FCF-0471AFDBBA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47545184"/>
        <c:axId val="1247020272"/>
      </c:lineChart>
      <c:dateAx>
        <c:axId val="1247545184"/>
        <c:scaling>
          <c:orientation val="minMax"/>
        </c:scaling>
        <c:delete val="0"/>
        <c:axPos val="b"/>
        <c:numFmt formatCode="yy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595959"/>
                </a:solidFill>
                <a:latin typeface="Aptos Narrow"/>
                <a:ea typeface="Aptos Narrow"/>
                <a:cs typeface="Aptos Narrow"/>
              </a:defRPr>
            </a:pPr>
            <a:endParaRPr lang="en-US"/>
          </a:p>
        </c:txPr>
        <c:crossAx val="1247020272"/>
        <c:crosses val="autoZero"/>
        <c:auto val="0"/>
        <c:lblOffset val="100"/>
        <c:baseTimeUnit val="days"/>
      </c:dateAx>
      <c:valAx>
        <c:axId val="1247020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D9D9D9"/>
              </a:solidFill>
              <a:prstDash val="solid"/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595959"/>
                </a:solidFill>
                <a:latin typeface="Aptos Narrow"/>
                <a:ea typeface="Aptos Narrow"/>
                <a:cs typeface="Aptos Narrow"/>
              </a:defRPr>
            </a:pPr>
            <a:endParaRPr lang="en-US"/>
          </a:p>
        </c:txPr>
        <c:crossAx val="1247545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rgbClr val="D9D9D9"/>
      </a:solidFill>
      <a:prstDash val="solid"/>
      <a:round/>
    </a:ln>
    <a:effectLst/>
  </c:spPr>
  <c:txPr>
    <a:bodyPr/>
    <a:lstStyle/>
    <a:p>
      <a:pPr>
        <a:defRPr sz="900">
          <a:solidFill>
            <a:srgbClr val="595959"/>
          </a:solidFill>
          <a:latin typeface="Aptos Narrow"/>
          <a:ea typeface="Aptos Narrow"/>
          <a:cs typeface="Aptos Narrow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1F4E79"/>
                </a:solidFill>
                <a:latin typeface="Aptos Narrow"/>
                <a:ea typeface="Aptos Narrow"/>
                <a:cs typeface="Aptos Narrow"/>
              </a:defRPr>
            </a:pPr>
            <a:r>
              <a:rPr lang="en-US"/>
              <a:t>CLAIMS — WoW % (bars) vs level (line, rhs)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1F4E79"/>
              </a:solidFill>
              <a:latin typeface="Aptos Narrow"/>
              <a:ea typeface="Aptos Narrow"/>
              <a:cs typeface="Aptos Narrow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CLAIMS!$I$12</c:f>
              <c:strCache>
                <c:ptCount val="1"/>
                <c:pt idx="0">
                  <c:v>Frequency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CLAIMS!$H$13:$H$24</c:f>
              <c:numCache>
                <c:formatCode>0.0000</c:formatCode>
                <c:ptCount val="12"/>
                <c:pt idx="0">
                  <c:v>0.57699938949938945</c:v>
                </c:pt>
                <c:pt idx="1">
                  <c:v>1.4039987789987789</c:v>
                </c:pt>
                <c:pt idx="2">
                  <c:v>2.2309981684981683</c:v>
                </c:pt>
                <c:pt idx="3">
                  <c:v>3.0579975579975578</c:v>
                </c:pt>
                <c:pt idx="4">
                  <c:v>3.8849969474969477</c:v>
                </c:pt>
                <c:pt idx="5">
                  <c:v>4.7119963369963367</c:v>
                </c:pt>
                <c:pt idx="6">
                  <c:v>5.5389957264957257</c:v>
                </c:pt>
                <c:pt idx="7">
                  <c:v>6.3659951159951156</c:v>
                </c:pt>
                <c:pt idx="8">
                  <c:v>7.1929945054945055</c:v>
                </c:pt>
                <c:pt idx="9">
                  <c:v>8.0199938949938954</c:v>
                </c:pt>
                <c:pt idx="10">
                  <c:v>8.8469932844932835</c:v>
                </c:pt>
                <c:pt idx="11">
                  <c:v>9.6739926739926734</c:v>
                </c:pt>
              </c:numCache>
            </c:numRef>
          </c:cat>
          <c:val>
            <c:numRef>
              <c:f>CLAIMS!$I$13:$I$24</c:f>
              <c:numCache>
                <c:formatCode>#,##0</c:formatCode>
                <c:ptCount val="12"/>
                <c:pt idx="0">
                  <c:v>3106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095-4C92-AB4A-7B61519CF4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47535440"/>
        <c:axId val="1247019312"/>
      </c:barChart>
      <c:catAx>
        <c:axId val="1247535440"/>
        <c:scaling>
          <c:orientation val="minMax"/>
        </c:scaling>
        <c:delete val="0"/>
        <c:axPos val="b"/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595959"/>
                </a:solidFill>
                <a:latin typeface="Aptos Narrow"/>
                <a:ea typeface="Aptos Narrow"/>
                <a:cs typeface="Aptos Narrow"/>
              </a:defRPr>
            </a:pPr>
            <a:endParaRPr lang="en-US"/>
          </a:p>
        </c:txPr>
        <c:crossAx val="1247019312"/>
        <c:crosses val="autoZero"/>
        <c:auto val="1"/>
        <c:lblAlgn val="ctr"/>
        <c:lblOffset val="100"/>
        <c:noMultiLvlLbl val="1"/>
      </c:catAx>
      <c:valAx>
        <c:axId val="1247019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D9D9D9"/>
              </a:solidFill>
              <a:prstDash val="solid"/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595959"/>
                </a:solidFill>
                <a:latin typeface="Aptos Narrow"/>
                <a:ea typeface="Aptos Narrow"/>
                <a:cs typeface="Aptos Narrow"/>
              </a:defRPr>
            </a:pPr>
            <a:endParaRPr lang="en-US"/>
          </a:p>
        </c:txPr>
        <c:crossAx val="1247535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595959"/>
              </a:solidFill>
              <a:latin typeface="Aptos Narrow"/>
              <a:ea typeface="Aptos Narrow"/>
              <a:cs typeface="Aptos Narrow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rgbClr val="D9D9D9"/>
      </a:solidFill>
      <a:prstDash val="solid"/>
      <a:round/>
    </a:ln>
    <a:effectLst/>
  </c:spPr>
  <c:txPr>
    <a:bodyPr/>
    <a:lstStyle/>
    <a:p>
      <a:pPr>
        <a:defRPr sz="900">
          <a:solidFill>
            <a:srgbClr val="595959"/>
          </a:solidFill>
          <a:latin typeface="Aptos Narrow"/>
          <a:ea typeface="Aptos Narrow"/>
          <a:cs typeface="Aptos Narrow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1F4E79"/>
                </a:solidFill>
                <a:latin typeface="Aptos Narrow"/>
                <a:ea typeface="Aptos Narrow"/>
                <a:cs typeface="Aptos Narrow"/>
              </a:defRPr>
            </a:pPr>
            <a:r>
              <a:rPr lang="en-US"/>
              <a:t>CLAIMS — distribution of WoW % (histogram)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1F4E79"/>
              </a:solidFill>
              <a:latin typeface="Aptos Narrow"/>
              <a:ea typeface="Aptos Narrow"/>
              <a:cs typeface="Aptos Narrow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CLAIMS!$V$8</c:f>
              <c:strCache>
                <c:ptCount val="1"/>
                <c:pt idx="0">
                  <c:v>Actual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CLAIMS!$U$9:$U$11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cat>
          <c:val>
            <c:numRef>
              <c:f>CLAIMS!$V$9:$V$11</c:f>
              <c:numCache>
                <c:formatCode>0.0%</c:formatCode>
                <c:ptCount val="3"/>
                <c:pt idx="0">
                  <c:v>0.99099099099099097</c:v>
                </c:pt>
                <c:pt idx="1">
                  <c:v>0.99871299871299868</c:v>
                </c:pt>
                <c:pt idx="2">
                  <c:v>0.99935649935649939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9E2-41A8-AB39-CD3C51330D8E}"/>
            </c:ext>
          </c:extLst>
        </c:ser>
        <c:ser>
          <c:idx val="1"/>
          <c:order val="1"/>
          <c:tx>
            <c:strRef>
              <c:f>CLAIMS!$W$8</c:f>
              <c:strCache>
                <c:ptCount val="1"/>
                <c:pt idx="0">
                  <c:v>Normal %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CLAIMS!$U$9:$U$11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cat>
          <c:val>
            <c:numRef>
              <c:f>CLAIMS!$W$9:$W$11</c:f>
              <c:numCache>
                <c:formatCode>0.0%</c:formatCode>
                <c:ptCount val="3"/>
                <c:pt idx="0">
                  <c:v>0.68200000000000005</c:v>
                </c:pt>
                <c:pt idx="1">
                  <c:v>0.95399999999999996</c:v>
                </c:pt>
                <c:pt idx="2">
                  <c:v>0.997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8D-45A2-8CDF-8CF8AB7033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"/>
        <c:overlap val="-27"/>
        <c:axId val="1242141280"/>
        <c:axId val="1246792272"/>
      </c:barChart>
      <c:catAx>
        <c:axId val="1242141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595959"/>
                </a:solidFill>
                <a:latin typeface="Aptos Narrow"/>
                <a:ea typeface="Aptos Narrow"/>
                <a:cs typeface="Aptos Narrow"/>
              </a:defRPr>
            </a:pPr>
            <a:endParaRPr lang="en-US"/>
          </a:p>
        </c:txPr>
        <c:crossAx val="1246792272"/>
        <c:crosses val="autoZero"/>
        <c:auto val="1"/>
        <c:lblAlgn val="ctr"/>
        <c:lblOffset val="100"/>
        <c:noMultiLvlLbl val="0"/>
      </c:catAx>
      <c:valAx>
        <c:axId val="1246792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D9D9D9"/>
              </a:solidFill>
              <a:prstDash val="solid"/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595959"/>
                </a:solidFill>
                <a:latin typeface="Aptos Narrow"/>
                <a:ea typeface="Aptos Narrow"/>
                <a:cs typeface="Aptos Narrow"/>
              </a:defRPr>
            </a:pPr>
            <a:endParaRPr lang="en-US"/>
          </a:p>
        </c:txPr>
        <c:crossAx val="1242141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595959"/>
              </a:solidFill>
              <a:latin typeface="Aptos Narrow"/>
              <a:ea typeface="Aptos Narrow"/>
              <a:cs typeface="Aptos Narrow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rgbClr val="D9D9D9"/>
      </a:solidFill>
      <a:prstDash val="solid"/>
      <a:round/>
    </a:ln>
    <a:effectLst/>
  </c:spPr>
  <c:txPr>
    <a:bodyPr/>
    <a:lstStyle/>
    <a:p>
      <a:pPr>
        <a:defRPr sz="900">
          <a:solidFill>
            <a:srgbClr val="595959"/>
          </a:solidFill>
          <a:latin typeface="Aptos Narrow"/>
          <a:ea typeface="Aptos Narrow"/>
          <a:cs typeface="Aptos Narrow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1F4E79"/>
                </a:solidFill>
                <a:latin typeface="Aptos Narrow"/>
                <a:ea typeface="Aptos Narrow"/>
                <a:cs typeface="Aptos Narrow"/>
              </a:defRPr>
            </a:pPr>
            <a:r>
              <a:rPr lang="en-US"/>
              <a:t>UM consumer confidence (final; prelim not archived free) — level, 1952–present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1F4E79"/>
              </a:solidFill>
              <a:latin typeface="Aptos Narrow"/>
              <a:ea typeface="Aptos Narrow"/>
              <a:cs typeface="Aptos Narrow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UMCSI!$B$4</c:f>
              <c:strCache>
                <c:ptCount val="1"/>
                <c:pt idx="0">
                  <c:v>Value</c:v>
                </c:pt>
              </c:strCache>
            </c:strRef>
          </c:tx>
          <c:spPr>
            <a:ln w="25400" cap="rnd">
              <a:solidFill>
                <a:srgbClr val="1F4E79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UMCSI!$A$5:$A$679</c:f>
              <c:numCache>
                <c:formatCode>yyyy/mm/dd</c:formatCode>
                <c:ptCount val="675"/>
                <c:pt idx="0">
                  <c:v>19299</c:v>
                </c:pt>
                <c:pt idx="1">
                  <c:v>19391</c:v>
                </c:pt>
                <c:pt idx="2">
                  <c:v>19572</c:v>
                </c:pt>
                <c:pt idx="3">
                  <c:v>19664</c:v>
                </c:pt>
                <c:pt idx="4">
                  <c:v>19756</c:v>
                </c:pt>
                <c:pt idx="5">
                  <c:v>19845</c:v>
                </c:pt>
                <c:pt idx="6">
                  <c:v>20029</c:v>
                </c:pt>
                <c:pt idx="7">
                  <c:v>20121</c:v>
                </c:pt>
                <c:pt idx="8">
                  <c:v>20210</c:v>
                </c:pt>
                <c:pt idx="9">
                  <c:v>20394</c:v>
                </c:pt>
                <c:pt idx="10">
                  <c:v>20576</c:v>
                </c:pt>
                <c:pt idx="11">
                  <c:v>20668</c:v>
                </c:pt>
                <c:pt idx="12">
                  <c:v>20760</c:v>
                </c:pt>
                <c:pt idx="13">
                  <c:v>20941</c:v>
                </c:pt>
                <c:pt idx="14">
                  <c:v>21125</c:v>
                </c:pt>
                <c:pt idx="15">
                  <c:v>21217</c:v>
                </c:pt>
                <c:pt idx="16">
                  <c:v>21306</c:v>
                </c:pt>
                <c:pt idx="17">
                  <c:v>21490</c:v>
                </c:pt>
                <c:pt idx="18">
                  <c:v>21671</c:v>
                </c:pt>
                <c:pt idx="19">
                  <c:v>21855</c:v>
                </c:pt>
                <c:pt idx="20">
                  <c:v>21947</c:v>
                </c:pt>
                <c:pt idx="21">
                  <c:v>22037</c:v>
                </c:pt>
                <c:pt idx="22">
                  <c:v>22129</c:v>
                </c:pt>
                <c:pt idx="23">
                  <c:v>22221</c:v>
                </c:pt>
                <c:pt idx="24">
                  <c:v>22313</c:v>
                </c:pt>
                <c:pt idx="25">
                  <c:v>22402</c:v>
                </c:pt>
                <c:pt idx="26">
                  <c:v>22494</c:v>
                </c:pt>
                <c:pt idx="27">
                  <c:v>22586</c:v>
                </c:pt>
                <c:pt idx="28">
                  <c:v>22678</c:v>
                </c:pt>
                <c:pt idx="29">
                  <c:v>22767</c:v>
                </c:pt>
                <c:pt idx="30">
                  <c:v>22859</c:v>
                </c:pt>
                <c:pt idx="31">
                  <c:v>22951</c:v>
                </c:pt>
                <c:pt idx="32">
                  <c:v>23043</c:v>
                </c:pt>
                <c:pt idx="33">
                  <c:v>23132</c:v>
                </c:pt>
                <c:pt idx="34">
                  <c:v>23224</c:v>
                </c:pt>
                <c:pt idx="35">
                  <c:v>23316</c:v>
                </c:pt>
                <c:pt idx="36">
                  <c:v>23408</c:v>
                </c:pt>
                <c:pt idx="37">
                  <c:v>23498</c:v>
                </c:pt>
                <c:pt idx="38">
                  <c:v>23590</c:v>
                </c:pt>
                <c:pt idx="39">
                  <c:v>23682</c:v>
                </c:pt>
                <c:pt idx="40">
                  <c:v>23774</c:v>
                </c:pt>
                <c:pt idx="41">
                  <c:v>23863</c:v>
                </c:pt>
                <c:pt idx="42">
                  <c:v>23955</c:v>
                </c:pt>
                <c:pt idx="43">
                  <c:v>24047</c:v>
                </c:pt>
                <c:pt idx="44">
                  <c:v>24139</c:v>
                </c:pt>
                <c:pt idx="45">
                  <c:v>24228</c:v>
                </c:pt>
                <c:pt idx="46">
                  <c:v>24320</c:v>
                </c:pt>
                <c:pt idx="47">
                  <c:v>24412</c:v>
                </c:pt>
                <c:pt idx="48">
                  <c:v>24504</c:v>
                </c:pt>
                <c:pt idx="49">
                  <c:v>24593</c:v>
                </c:pt>
                <c:pt idx="50">
                  <c:v>24685</c:v>
                </c:pt>
                <c:pt idx="51">
                  <c:v>24777</c:v>
                </c:pt>
                <c:pt idx="52">
                  <c:v>24869</c:v>
                </c:pt>
                <c:pt idx="53">
                  <c:v>24959</c:v>
                </c:pt>
                <c:pt idx="54">
                  <c:v>25051</c:v>
                </c:pt>
                <c:pt idx="55">
                  <c:v>25143</c:v>
                </c:pt>
                <c:pt idx="56">
                  <c:v>25235</c:v>
                </c:pt>
                <c:pt idx="57">
                  <c:v>25324</c:v>
                </c:pt>
                <c:pt idx="58">
                  <c:v>25416</c:v>
                </c:pt>
                <c:pt idx="59">
                  <c:v>25508</c:v>
                </c:pt>
                <c:pt idx="60">
                  <c:v>25600</c:v>
                </c:pt>
                <c:pt idx="61">
                  <c:v>25689</c:v>
                </c:pt>
                <c:pt idx="62">
                  <c:v>25781</c:v>
                </c:pt>
                <c:pt idx="63">
                  <c:v>25873</c:v>
                </c:pt>
                <c:pt idx="64">
                  <c:v>25965</c:v>
                </c:pt>
                <c:pt idx="65">
                  <c:v>26054</c:v>
                </c:pt>
                <c:pt idx="66">
                  <c:v>26146</c:v>
                </c:pt>
                <c:pt idx="67">
                  <c:v>26238</c:v>
                </c:pt>
                <c:pt idx="68">
                  <c:v>26330</c:v>
                </c:pt>
                <c:pt idx="69">
                  <c:v>26420</c:v>
                </c:pt>
                <c:pt idx="70">
                  <c:v>26512</c:v>
                </c:pt>
                <c:pt idx="71">
                  <c:v>26604</c:v>
                </c:pt>
                <c:pt idx="72">
                  <c:v>26696</c:v>
                </c:pt>
                <c:pt idx="73">
                  <c:v>26785</c:v>
                </c:pt>
                <c:pt idx="74">
                  <c:v>26877</c:v>
                </c:pt>
                <c:pt idx="75">
                  <c:v>26969</c:v>
                </c:pt>
                <c:pt idx="76">
                  <c:v>27061</c:v>
                </c:pt>
                <c:pt idx="77">
                  <c:v>27150</c:v>
                </c:pt>
                <c:pt idx="78">
                  <c:v>27242</c:v>
                </c:pt>
                <c:pt idx="79">
                  <c:v>27334</c:v>
                </c:pt>
                <c:pt idx="80">
                  <c:v>27426</c:v>
                </c:pt>
                <c:pt idx="81">
                  <c:v>27515</c:v>
                </c:pt>
                <c:pt idx="82">
                  <c:v>27607</c:v>
                </c:pt>
                <c:pt idx="83">
                  <c:v>27699</c:v>
                </c:pt>
                <c:pt idx="84">
                  <c:v>27791</c:v>
                </c:pt>
                <c:pt idx="85">
                  <c:v>27881</c:v>
                </c:pt>
                <c:pt idx="86">
                  <c:v>27973</c:v>
                </c:pt>
                <c:pt idx="87">
                  <c:v>28065</c:v>
                </c:pt>
                <c:pt idx="88">
                  <c:v>28157</c:v>
                </c:pt>
                <c:pt idx="89">
                  <c:v>28246</c:v>
                </c:pt>
                <c:pt idx="90">
                  <c:v>28338</c:v>
                </c:pt>
                <c:pt idx="91">
                  <c:v>28430</c:v>
                </c:pt>
                <c:pt idx="92">
                  <c:v>28491</c:v>
                </c:pt>
                <c:pt idx="93">
                  <c:v>28522</c:v>
                </c:pt>
                <c:pt idx="94">
                  <c:v>28550</c:v>
                </c:pt>
                <c:pt idx="95">
                  <c:v>28581</c:v>
                </c:pt>
                <c:pt idx="96">
                  <c:v>28611</c:v>
                </c:pt>
                <c:pt idx="97">
                  <c:v>28642</c:v>
                </c:pt>
                <c:pt idx="98">
                  <c:v>28672</c:v>
                </c:pt>
                <c:pt idx="99">
                  <c:v>28703</c:v>
                </c:pt>
                <c:pt idx="100">
                  <c:v>28734</c:v>
                </c:pt>
                <c:pt idx="101">
                  <c:v>28764</c:v>
                </c:pt>
                <c:pt idx="102">
                  <c:v>28795</c:v>
                </c:pt>
                <c:pt idx="103">
                  <c:v>28825</c:v>
                </c:pt>
                <c:pt idx="104">
                  <c:v>28856</c:v>
                </c:pt>
                <c:pt idx="105">
                  <c:v>28887</c:v>
                </c:pt>
                <c:pt idx="106">
                  <c:v>28915</c:v>
                </c:pt>
                <c:pt idx="107">
                  <c:v>28946</c:v>
                </c:pt>
                <c:pt idx="108">
                  <c:v>28976</c:v>
                </c:pt>
                <c:pt idx="109">
                  <c:v>29007</c:v>
                </c:pt>
                <c:pt idx="110">
                  <c:v>29037</c:v>
                </c:pt>
                <c:pt idx="111">
                  <c:v>29068</c:v>
                </c:pt>
                <c:pt idx="112">
                  <c:v>29099</c:v>
                </c:pt>
                <c:pt idx="113">
                  <c:v>29129</c:v>
                </c:pt>
                <c:pt idx="114">
                  <c:v>29160</c:v>
                </c:pt>
                <c:pt idx="115">
                  <c:v>29190</c:v>
                </c:pt>
                <c:pt idx="116">
                  <c:v>29221</c:v>
                </c:pt>
                <c:pt idx="117">
                  <c:v>29252</c:v>
                </c:pt>
                <c:pt idx="118">
                  <c:v>29281</c:v>
                </c:pt>
                <c:pt idx="119">
                  <c:v>29312</c:v>
                </c:pt>
                <c:pt idx="120">
                  <c:v>29342</c:v>
                </c:pt>
                <c:pt idx="121">
                  <c:v>29373</c:v>
                </c:pt>
                <c:pt idx="122">
                  <c:v>29403</c:v>
                </c:pt>
                <c:pt idx="123">
                  <c:v>29434</c:v>
                </c:pt>
                <c:pt idx="124">
                  <c:v>29465</c:v>
                </c:pt>
                <c:pt idx="125">
                  <c:v>29495</c:v>
                </c:pt>
                <c:pt idx="126">
                  <c:v>29526</c:v>
                </c:pt>
                <c:pt idx="127">
                  <c:v>29556</c:v>
                </c:pt>
                <c:pt idx="128">
                  <c:v>29587</c:v>
                </c:pt>
                <c:pt idx="129">
                  <c:v>29618</c:v>
                </c:pt>
                <c:pt idx="130">
                  <c:v>29646</c:v>
                </c:pt>
                <c:pt idx="131">
                  <c:v>29677</c:v>
                </c:pt>
                <c:pt idx="132">
                  <c:v>29707</c:v>
                </c:pt>
                <c:pt idx="133">
                  <c:v>29738</c:v>
                </c:pt>
                <c:pt idx="134">
                  <c:v>29768</c:v>
                </c:pt>
                <c:pt idx="135">
                  <c:v>29799</c:v>
                </c:pt>
                <c:pt idx="136">
                  <c:v>29830</c:v>
                </c:pt>
                <c:pt idx="137">
                  <c:v>29860</c:v>
                </c:pt>
                <c:pt idx="138">
                  <c:v>29891</c:v>
                </c:pt>
                <c:pt idx="139">
                  <c:v>29921</c:v>
                </c:pt>
                <c:pt idx="140">
                  <c:v>29952</c:v>
                </c:pt>
                <c:pt idx="141">
                  <c:v>29983</c:v>
                </c:pt>
                <c:pt idx="142">
                  <c:v>30011</c:v>
                </c:pt>
                <c:pt idx="143">
                  <c:v>30042</c:v>
                </c:pt>
                <c:pt idx="144">
                  <c:v>30072</c:v>
                </c:pt>
                <c:pt idx="145">
                  <c:v>30103</c:v>
                </c:pt>
                <c:pt idx="146">
                  <c:v>30133</c:v>
                </c:pt>
                <c:pt idx="147">
                  <c:v>30164</c:v>
                </c:pt>
                <c:pt idx="148">
                  <c:v>30195</c:v>
                </c:pt>
                <c:pt idx="149">
                  <c:v>30225</c:v>
                </c:pt>
                <c:pt idx="150">
                  <c:v>30256</c:v>
                </c:pt>
                <c:pt idx="151">
                  <c:v>30286</c:v>
                </c:pt>
                <c:pt idx="152">
                  <c:v>30317</c:v>
                </c:pt>
                <c:pt idx="153">
                  <c:v>30348</c:v>
                </c:pt>
                <c:pt idx="154">
                  <c:v>30376</c:v>
                </c:pt>
                <c:pt idx="155">
                  <c:v>30407</c:v>
                </c:pt>
                <c:pt idx="156">
                  <c:v>30437</c:v>
                </c:pt>
                <c:pt idx="157">
                  <c:v>30468</c:v>
                </c:pt>
                <c:pt idx="158">
                  <c:v>30498</c:v>
                </c:pt>
                <c:pt idx="159">
                  <c:v>30529</c:v>
                </c:pt>
                <c:pt idx="160">
                  <c:v>30560</c:v>
                </c:pt>
                <c:pt idx="161">
                  <c:v>30590</c:v>
                </c:pt>
                <c:pt idx="162">
                  <c:v>30621</c:v>
                </c:pt>
                <c:pt idx="163">
                  <c:v>30651</c:v>
                </c:pt>
                <c:pt idx="164">
                  <c:v>30682</c:v>
                </c:pt>
                <c:pt idx="165">
                  <c:v>30713</c:v>
                </c:pt>
                <c:pt idx="166">
                  <c:v>30742</c:v>
                </c:pt>
                <c:pt idx="167">
                  <c:v>30773</c:v>
                </c:pt>
                <c:pt idx="168">
                  <c:v>30803</c:v>
                </c:pt>
                <c:pt idx="169">
                  <c:v>30834</c:v>
                </c:pt>
                <c:pt idx="170">
                  <c:v>30864</c:v>
                </c:pt>
                <c:pt idx="171">
                  <c:v>30895</c:v>
                </c:pt>
                <c:pt idx="172">
                  <c:v>30926</c:v>
                </c:pt>
                <c:pt idx="173">
                  <c:v>30956</c:v>
                </c:pt>
                <c:pt idx="174">
                  <c:v>30987</c:v>
                </c:pt>
                <c:pt idx="175">
                  <c:v>31017</c:v>
                </c:pt>
                <c:pt idx="176">
                  <c:v>31048</c:v>
                </c:pt>
                <c:pt idx="177">
                  <c:v>31079</c:v>
                </c:pt>
                <c:pt idx="178">
                  <c:v>31107</c:v>
                </c:pt>
                <c:pt idx="179">
                  <c:v>31138</c:v>
                </c:pt>
                <c:pt idx="180">
                  <c:v>31168</c:v>
                </c:pt>
                <c:pt idx="181">
                  <c:v>31199</c:v>
                </c:pt>
                <c:pt idx="182">
                  <c:v>31229</c:v>
                </c:pt>
                <c:pt idx="183">
                  <c:v>31260</c:v>
                </c:pt>
                <c:pt idx="184">
                  <c:v>31291</c:v>
                </c:pt>
                <c:pt idx="185">
                  <c:v>31321</c:v>
                </c:pt>
                <c:pt idx="186">
                  <c:v>31352</c:v>
                </c:pt>
                <c:pt idx="187">
                  <c:v>31382</c:v>
                </c:pt>
                <c:pt idx="188">
                  <c:v>31413</c:v>
                </c:pt>
                <c:pt idx="189">
                  <c:v>31444</c:v>
                </c:pt>
                <c:pt idx="190">
                  <c:v>31472</c:v>
                </c:pt>
                <c:pt idx="191">
                  <c:v>31503</c:v>
                </c:pt>
                <c:pt idx="192">
                  <c:v>31533</c:v>
                </c:pt>
                <c:pt idx="193">
                  <c:v>31564</c:v>
                </c:pt>
                <c:pt idx="194">
                  <c:v>31594</c:v>
                </c:pt>
                <c:pt idx="195">
                  <c:v>31625</c:v>
                </c:pt>
                <c:pt idx="196">
                  <c:v>31656</c:v>
                </c:pt>
                <c:pt idx="197">
                  <c:v>31686</c:v>
                </c:pt>
                <c:pt idx="198">
                  <c:v>31717</c:v>
                </c:pt>
                <c:pt idx="199">
                  <c:v>31747</c:v>
                </c:pt>
                <c:pt idx="200">
                  <c:v>31778</c:v>
                </c:pt>
                <c:pt idx="201">
                  <c:v>31809</c:v>
                </c:pt>
                <c:pt idx="202">
                  <c:v>31837</c:v>
                </c:pt>
                <c:pt idx="203">
                  <c:v>31868</c:v>
                </c:pt>
                <c:pt idx="204">
                  <c:v>31898</c:v>
                </c:pt>
                <c:pt idx="205">
                  <c:v>31929</c:v>
                </c:pt>
                <c:pt idx="206">
                  <c:v>31959</c:v>
                </c:pt>
                <c:pt idx="207">
                  <c:v>31990</c:v>
                </c:pt>
                <c:pt idx="208">
                  <c:v>32021</c:v>
                </c:pt>
                <c:pt idx="209">
                  <c:v>32051</c:v>
                </c:pt>
                <c:pt idx="210">
                  <c:v>32082</c:v>
                </c:pt>
                <c:pt idx="211">
                  <c:v>32112</c:v>
                </c:pt>
                <c:pt idx="212">
                  <c:v>32143</c:v>
                </c:pt>
                <c:pt idx="213">
                  <c:v>32174</c:v>
                </c:pt>
                <c:pt idx="214">
                  <c:v>32203</c:v>
                </c:pt>
                <c:pt idx="215">
                  <c:v>32234</c:v>
                </c:pt>
                <c:pt idx="216">
                  <c:v>32264</c:v>
                </c:pt>
                <c:pt idx="217">
                  <c:v>32295</c:v>
                </c:pt>
                <c:pt idx="218">
                  <c:v>32325</c:v>
                </c:pt>
                <c:pt idx="219">
                  <c:v>32356</c:v>
                </c:pt>
                <c:pt idx="220">
                  <c:v>32387</c:v>
                </c:pt>
                <c:pt idx="221">
                  <c:v>32417</c:v>
                </c:pt>
                <c:pt idx="222">
                  <c:v>32448</c:v>
                </c:pt>
                <c:pt idx="223">
                  <c:v>32478</c:v>
                </c:pt>
                <c:pt idx="224">
                  <c:v>32509</c:v>
                </c:pt>
                <c:pt idx="225">
                  <c:v>32540</c:v>
                </c:pt>
                <c:pt idx="226">
                  <c:v>32568</c:v>
                </c:pt>
                <c:pt idx="227">
                  <c:v>32599</c:v>
                </c:pt>
                <c:pt idx="228">
                  <c:v>32629</c:v>
                </c:pt>
                <c:pt idx="229">
                  <c:v>32660</c:v>
                </c:pt>
                <c:pt idx="230">
                  <c:v>32690</c:v>
                </c:pt>
                <c:pt idx="231">
                  <c:v>32721</c:v>
                </c:pt>
                <c:pt idx="232">
                  <c:v>32752</c:v>
                </c:pt>
                <c:pt idx="233">
                  <c:v>32782</c:v>
                </c:pt>
                <c:pt idx="234">
                  <c:v>32813</c:v>
                </c:pt>
                <c:pt idx="235">
                  <c:v>32843</c:v>
                </c:pt>
                <c:pt idx="236">
                  <c:v>32874</c:v>
                </c:pt>
                <c:pt idx="237">
                  <c:v>32905</c:v>
                </c:pt>
                <c:pt idx="238">
                  <c:v>32933</c:v>
                </c:pt>
                <c:pt idx="239">
                  <c:v>32964</c:v>
                </c:pt>
                <c:pt idx="240">
                  <c:v>32994</c:v>
                </c:pt>
                <c:pt idx="241">
                  <c:v>33025</c:v>
                </c:pt>
                <c:pt idx="242">
                  <c:v>33055</c:v>
                </c:pt>
                <c:pt idx="243">
                  <c:v>33086</c:v>
                </c:pt>
                <c:pt idx="244">
                  <c:v>33117</c:v>
                </c:pt>
                <c:pt idx="245">
                  <c:v>33147</c:v>
                </c:pt>
                <c:pt idx="246">
                  <c:v>33178</c:v>
                </c:pt>
                <c:pt idx="247">
                  <c:v>33208</c:v>
                </c:pt>
                <c:pt idx="248">
                  <c:v>33239</c:v>
                </c:pt>
                <c:pt idx="249">
                  <c:v>33270</c:v>
                </c:pt>
                <c:pt idx="250">
                  <c:v>33298</c:v>
                </c:pt>
                <c:pt idx="251">
                  <c:v>33329</c:v>
                </c:pt>
                <c:pt idx="252">
                  <c:v>33359</c:v>
                </c:pt>
                <c:pt idx="253">
                  <c:v>33390</c:v>
                </c:pt>
                <c:pt idx="254">
                  <c:v>33420</c:v>
                </c:pt>
                <c:pt idx="255">
                  <c:v>33451</c:v>
                </c:pt>
                <c:pt idx="256">
                  <c:v>33482</c:v>
                </c:pt>
                <c:pt idx="257">
                  <c:v>33512</c:v>
                </c:pt>
                <c:pt idx="258">
                  <c:v>33543</c:v>
                </c:pt>
                <c:pt idx="259">
                  <c:v>33573</c:v>
                </c:pt>
                <c:pt idx="260">
                  <c:v>33604</c:v>
                </c:pt>
                <c:pt idx="261">
                  <c:v>33635</c:v>
                </c:pt>
                <c:pt idx="262">
                  <c:v>33664</c:v>
                </c:pt>
                <c:pt idx="263">
                  <c:v>33695</c:v>
                </c:pt>
                <c:pt idx="264">
                  <c:v>33725</c:v>
                </c:pt>
                <c:pt idx="265">
                  <c:v>33756</c:v>
                </c:pt>
                <c:pt idx="266">
                  <c:v>33786</c:v>
                </c:pt>
                <c:pt idx="267">
                  <c:v>33817</c:v>
                </c:pt>
                <c:pt idx="268">
                  <c:v>33848</c:v>
                </c:pt>
                <c:pt idx="269">
                  <c:v>33878</c:v>
                </c:pt>
                <c:pt idx="270">
                  <c:v>33909</c:v>
                </c:pt>
                <c:pt idx="271">
                  <c:v>33939</c:v>
                </c:pt>
                <c:pt idx="272">
                  <c:v>33970</c:v>
                </c:pt>
                <c:pt idx="273">
                  <c:v>34001</c:v>
                </c:pt>
                <c:pt idx="274">
                  <c:v>34029</c:v>
                </c:pt>
                <c:pt idx="275">
                  <c:v>34060</c:v>
                </c:pt>
                <c:pt idx="276">
                  <c:v>34090</c:v>
                </c:pt>
                <c:pt idx="277">
                  <c:v>34121</c:v>
                </c:pt>
                <c:pt idx="278">
                  <c:v>34151</c:v>
                </c:pt>
                <c:pt idx="279">
                  <c:v>34182</c:v>
                </c:pt>
                <c:pt idx="280">
                  <c:v>34213</c:v>
                </c:pt>
                <c:pt idx="281">
                  <c:v>34243</c:v>
                </c:pt>
                <c:pt idx="282">
                  <c:v>34274</c:v>
                </c:pt>
                <c:pt idx="283">
                  <c:v>34304</c:v>
                </c:pt>
                <c:pt idx="284">
                  <c:v>34335</c:v>
                </c:pt>
                <c:pt idx="285">
                  <c:v>34366</c:v>
                </c:pt>
                <c:pt idx="286">
                  <c:v>34394</c:v>
                </c:pt>
                <c:pt idx="287">
                  <c:v>34425</c:v>
                </c:pt>
                <c:pt idx="288">
                  <c:v>34455</c:v>
                </c:pt>
                <c:pt idx="289">
                  <c:v>34486</c:v>
                </c:pt>
                <c:pt idx="290">
                  <c:v>34516</c:v>
                </c:pt>
                <c:pt idx="291">
                  <c:v>34547</c:v>
                </c:pt>
                <c:pt idx="292">
                  <c:v>34578</c:v>
                </c:pt>
                <c:pt idx="293">
                  <c:v>34608</c:v>
                </c:pt>
                <c:pt idx="294">
                  <c:v>34639</c:v>
                </c:pt>
                <c:pt idx="295">
                  <c:v>34669</c:v>
                </c:pt>
                <c:pt idx="296">
                  <c:v>34700</c:v>
                </c:pt>
                <c:pt idx="297">
                  <c:v>34731</c:v>
                </c:pt>
                <c:pt idx="298">
                  <c:v>34759</c:v>
                </c:pt>
                <c:pt idx="299">
                  <c:v>34790</c:v>
                </c:pt>
                <c:pt idx="300">
                  <c:v>34820</c:v>
                </c:pt>
                <c:pt idx="301">
                  <c:v>34851</c:v>
                </c:pt>
                <c:pt idx="302">
                  <c:v>34881</c:v>
                </c:pt>
                <c:pt idx="303">
                  <c:v>34912</c:v>
                </c:pt>
                <c:pt idx="304">
                  <c:v>34943</c:v>
                </c:pt>
                <c:pt idx="305">
                  <c:v>34973</c:v>
                </c:pt>
                <c:pt idx="306">
                  <c:v>35004</c:v>
                </c:pt>
                <c:pt idx="307">
                  <c:v>35034</c:v>
                </c:pt>
                <c:pt idx="308">
                  <c:v>35065</c:v>
                </c:pt>
                <c:pt idx="309">
                  <c:v>35096</c:v>
                </c:pt>
                <c:pt idx="310">
                  <c:v>35125</c:v>
                </c:pt>
                <c:pt idx="311">
                  <c:v>35156</c:v>
                </c:pt>
                <c:pt idx="312">
                  <c:v>35186</c:v>
                </c:pt>
                <c:pt idx="313">
                  <c:v>35217</c:v>
                </c:pt>
                <c:pt idx="314">
                  <c:v>35247</c:v>
                </c:pt>
                <c:pt idx="315">
                  <c:v>35278</c:v>
                </c:pt>
                <c:pt idx="316">
                  <c:v>35309</c:v>
                </c:pt>
                <c:pt idx="317">
                  <c:v>35339</c:v>
                </c:pt>
                <c:pt idx="318">
                  <c:v>35370</c:v>
                </c:pt>
                <c:pt idx="319">
                  <c:v>35400</c:v>
                </c:pt>
                <c:pt idx="320">
                  <c:v>35431</c:v>
                </c:pt>
                <c:pt idx="321">
                  <c:v>35462</c:v>
                </c:pt>
                <c:pt idx="322">
                  <c:v>35490</c:v>
                </c:pt>
                <c:pt idx="323">
                  <c:v>35521</c:v>
                </c:pt>
                <c:pt idx="324">
                  <c:v>35551</c:v>
                </c:pt>
                <c:pt idx="325">
                  <c:v>35582</c:v>
                </c:pt>
                <c:pt idx="326">
                  <c:v>35612</c:v>
                </c:pt>
                <c:pt idx="327">
                  <c:v>35643</c:v>
                </c:pt>
                <c:pt idx="328">
                  <c:v>35674</c:v>
                </c:pt>
                <c:pt idx="329">
                  <c:v>35704</c:v>
                </c:pt>
                <c:pt idx="330">
                  <c:v>35735</c:v>
                </c:pt>
                <c:pt idx="331">
                  <c:v>35765</c:v>
                </c:pt>
                <c:pt idx="332">
                  <c:v>35796</c:v>
                </c:pt>
                <c:pt idx="333">
                  <c:v>35827</c:v>
                </c:pt>
                <c:pt idx="334">
                  <c:v>35855</c:v>
                </c:pt>
                <c:pt idx="335">
                  <c:v>35886</c:v>
                </c:pt>
                <c:pt idx="336">
                  <c:v>35916</c:v>
                </c:pt>
                <c:pt idx="337">
                  <c:v>35947</c:v>
                </c:pt>
                <c:pt idx="338">
                  <c:v>35977</c:v>
                </c:pt>
                <c:pt idx="339">
                  <c:v>36008</c:v>
                </c:pt>
                <c:pt idx="340">
                  <c:v>36039</c:v>
                </c:pt>
                <c:pt idx="341">
                  <c:v>36069</c:v>
                </c:pt>
                <c:pt idx="342">
                  <c:v>36100</c:v>
                </c:pt>
                <c:pt idx="343">
                  <c:v>36130</c:v>
                </c:pt>
                <c:pt idx="344">
                  <c:v>36161</c:v>
                </c:pt>
                <c:pt idx="345">
                  <c:v>36192</c:v>
                </c:pt>
                <c:pt idx="346">
                  <c:v>36220</c:v>
                </c:pt>
                <c:pt idx="347">
                  <c:v>36251</c:v>
                </c:pt>
                <c:pt idx="348">
                  <c:v>36281</c:v>
                </c:pt>
                <c:pt idx="349">
                  <c:v>36312</c:v>
                </c:pt>
                <c:pt idx="350">
                  <c:v>36342</c:v>
                </c:pt>
                <c:pt idx="351">
                  <c:v>36373</c:v>
                </c:pt>
                <c:pt idx="352">
                  <c:v>36404</c:v>
                </c:pt>
                <c:pt idx="353">
                  <c:v>36434</c:v>
                </c:pt>
                <c:pt idx="354">
                  <c:v>36465</c:v>
                </c:pt>
                <c:pt idx="355">
                  <c:v>36495</c:v>
                </c:pt>
                <c:pt idx="356">
                  <c:v>36526</c:v>
                </c:pt>
                <c:pt idx="357">
                  <c:v>36557</c:v>
                </c:pt>
                <c:pt idx="358">
                  <c:v>36586</c:v>
                </c:pt>
                <c:pt idx="359">
                  <c:v>36617</c:v>
                </c:pt>
                <c:pt idx="360">
                  <c:v>36647</c:v>
                </c:pt>
                <c:pt idx="361">
                  <c:v>36678</c:v>
                </c:pt>
                <c:pt idx="362">
                  <c:v>36708</c:v>
                </c:pt>
                <c:pt idx="363">
                  <c:v>36739</c:v>
                </c:pt>
                <c:pt idx="364">
                  <c:v>36770</c:v>
                </c:pt>
                <c:pt idx="365">
                  <c:v>36800</c:v>
                </c:pt>
                <c:pt idx="366">
                  <c:v>36831</c:v>
                </c:pt>
                <c:pt idx="367">
                  <c:v>36861</c:v>
                </c:pt>
                <c:pt idx="368">
                  <c:v>36892</c:v>
                </c:pt>
                <c:pt idx="369">
                  <c:v>36923</c:v>
                </c:pt>
                <c:pt idx="370">
                  <c:v>36951</c:v>
                </c:pt>
                <c:pt idx="371">
                  <c:v>36982</c:v>
                </c:pt>
                <c:pt idx="372">
                  <c:v>37012</c:v>
                </c:pt>
                <c:pt idx="373">
                  <c:v>37043</c:v>
                </c:pt>
                <c:pt idx="374">
                  <c:v>37073</c:v>
                </c:pt>
                <c:pt idx="375">
                  <c:v>37104</c:v>
                </c:pt>
                <c:pt idx="376">
                  <c:v>37135</c:v>
                </c:pt>
                <c:pt idx="377">
                  <c:v>37165</c:v>
                </c:pt>
                <c:pt idx="378">
                  <c:v>37196</c:v>
                </c:pt>
                <c:pt idx="379">
                  <c:v>37226</c:v>
                </c:pt>
                <c:pt idx="380">
                  <c:v>37257</c:v>
                </c:pt>
                <c:pt idx="381">
                  <c:v>37288</c:v>
                </c:pt>
                <c:pt idx="382">
                  <c:v>37316</c:v>
                </c:pt>
                <c:pt idx="383">
                  <c:v>37347</c:v>
                </c:pt>
                <c:pt idx="384">
                  <c:v>37377</c:v>
                </c:pt>
                <c:pt idx="385">
                  <c:v>37408</c:v>
                </c:pt>
                <c:pt idx="386">
                  <c:v>37438</c:v>
                </c:pt>
                <c:pt idx="387">
                  <c:v>37469</c:v>
                </c:pt>
                <c:pt idx="388">
                  <c:v>37500</c:v>
                </c:pt>
                <c:pt idx="389">
                  <c:v>37530</c:v>
                </c:pt>
                <c:pt idx="390">
                  <c:v>37561</c:v>
                </c:pt>
                <c:pt idx="391">
                  <c:v>37591</c:v>
                </c:pt>
                <c:pt idx="392">
                  <c:v>37622</c:v>
                </c:pt>
                <c:pt idx="393">
                  <c:v>37653</c:v>
                </c:pt>
                <c:pt idx="394">
                  <c:v>37681</c:v>
                </c:pt>
                <c:pt idx="395">
                  <c:v>37712</c:v>
                </c:pt>
                <c:pt idx="396">
                  <c:v>37742</c:v>
                </c:pt>
                <c:pt idx="397">
                  <c:v>37773</c:v>
                </c:pt>
                <c:pt idx="398">
                  <c:v>37803</c:v>
                </c:pt>
                <c:pt idx="399">
                  <c:v>37834</c:v>
                </c:pt>
                <c:pt idx="400">
                  <c:v>37865</c:v>
                </c:pt>
                <c:pt idx="401">
                  <c:v>37895</c:v>
                </c:pt>
                <c:pt idx="402">
                  <c:v>37926</c:v>
                </c:pt>
                <c:pt idx="403">
                  <c:v>37956</c:v>
                </c:pt>
                <c:pt idx="404">
                  <c:v>37987</c:v>
                </c:pt>
                <c:pt idx="405">
                  <c:v>38018</c:v>
                </c:pt>
                <c:pt idx="406">
                  <c:v>38047</c:v>
                </c:pt>
                <c:pt idx="407">
                  <c:v>38078</c:v>
                </c:pt>
                <c:pt idx="408">
                  <c:v>38108</c:v>
                </c:pt>
                <c:pt idx="409">
                  <c:v>38139</c:v>
                </c:pt>
                <c:pt idx="410">
                  <c:v>38169</c:v>
                </c:pt>
                <c:pt idx="411">
                  <c:v>38200</c:v>
                </c:pt>
                <c:pt idx="412">
                  <c:v>38231</c:v>
                </c:pt>
                <c:pt idx="413">
                  <c:v>38261</c:v>
                </c:pt>
                <c:pt idx="414">
                  <c:v>38292</c:v>
                </c:pt>
                <c:pt idx="415">
                  <c:v>38322</c:v>
                </c:pt>
                <c:pt idx="416">
                  <c:v>38353</c:v>
                </c:pt>
                <c:pt idx="417">
                  <c:v>38384</c:v>
                </c:pt>
                <c:pt idx="418">
                  <c:v>38412</c:v>
                </c:pt>
                <c:pt idx="419">
                  <c:v>38443</c:v>
                </c:pt>
                <c:pt idx="420">
                  <c:v>38473</c:v>
                </c:pt>
                <c:pt idx="421">
                  <c:v>38504</c:v>
                </c:pt>
                <c:pt idx="422">
                  <c:v>38534</c:v>
                </c:pt>
                <c:pt idx="423">
                  <c:v>38565</c:v>
                </c:pt>
                <c:pt idx="424">
                  <c:v>38596</c:v>
                </c:pt>
                <c:pt idx="425">
                  <c:v>38626</c:v>
                </c:pt>
                <c:pt idx="426">
                  <c:v>38657</c:v>
                </c:pt>
                <c:pt idx="427">
                  <c:v>38687</c:v>
                </c:pt>
                <c:pt idx="428">
                  <c:v>38718</c:v>
                </c:pt>
                <c:pt idx="429">
                  <c:v>38749</c:v>
                </c:pt>
                <c:pt idx="430">
                  <c:v>38777</c:v>
                </c:pt>
                <c:pt idx="431">
                  <c:v>38808</c:v>
                </c:pt>
                <c:pt idx="432">
                  <c:v>38838</c:v>
                </c:pt>
                <c:pt idx="433">
                  <c:v>38869</c:v>
                </c:pt>
                <c:pt idx="434">
                  <c:v>38899</c:v>
                </c:pt>
                <c:pt idx="435">
                  <c:v>38930</c:v>
                </c:pt>
                <c:pt idx="436">
                  <c:v>38961</c:v>
                </c:pt>
                <c:pt idx="437">
                  <c:v>38991</c:v>
                </c:pt>
                <c:pt idx="438">
                  <c:v>39022</c:v>
                </c:pt>
                <c:pt idx="439">
                  <c:v>39052</c:v>
                </c:pt>
                <c:pt idx="440">
                  <c:v>39083</c:v>
                </c:pt>
                <c:pt idx="441">
                  <c:v>39114</c:v>
                </c:pt>
                <c:pt idx="442">
                  <c:v>39142</c:v>
                </c:pt>
                <c:pt idx="443">
                  <c:v>39173</c:v>
                </c:pt>
                <c:pt idx="444">
                  <c:v>39203</c:v>
                </c:pt>
                <c:pt idx="445">
                  <c:v>39234</c:v>
                </c:pt>
                <c:pt idx="446">
                  <c:v>39264</c:v>
                </c:pt>
                <c:pt idx="447">
                  <c:v>39295</c:v>
                </c:pt>
                <c:pt idx="448">
                  <c:v>39326</c:v>
                </c:pt>
                <c:pt idx="449">
                  <c:v>39356</c:v>
                </c:pt>
                <c:pt idx="450">
                  <c:v>39387</c:v>
                </c:pt>
                <c:pt idx="451">
                  <c:v>39417</c:v>
                </c:pt>
                <c:pt idx="452">
                  <c:v>39448</c:v>
                </c:pt>
                <c:pt idx="453">
                  <c:v>39479</c:v>
                </c:pt>
                <c:pt idx="454">
                  <c:v>39508</c:v>
                </c:pt>
                <c:pt idx="455">
                  <c:v>39539</c:v>
                </c:pt>
                <c:pt idx="456">
                  <c:v>39569</c:v>
                </c:pt>
                <c:pt idx="457">
                  <c:v>39600</c:v>
                </c:pt>
                <c:pt idx="458">
                  <c:v>39630</c:v>
                </c:pt>
                <c:pt idx="459">
                  <c:v>39661</c:v>
                </c:pt>
                <c:pt idx="460">
                  <c:v>39692</c:v>
                </c:pt>
                <c:pt idx="461">
                  <c:v>39722</c:v>
                </c:pt>
                <c:pt idx="462">
                  <c:v>39753</c:v>
                </c:pt>
                <c:pt idx="463">
                  <c:v>39783</c:v>
                </c:pt>
                <c:pt idx="464">
                  <c:v>39814</c:v>
                </c:pt>
                <c:pt idx="465">
                  <c:v>39845</c:v>
                </c:pt>
                <c:pt idx="466">
                  <c:v>39873</c:v>
                </c:pt>
                <c:pt idx="467">
                  <c:v>39904</c:v>
                </c:pt>
                <c:pt idx="468">
                  <c:v>39934</c:v>
                </c:pt>
                <c:pt idx="469">
                  <c:v>39965</c:v>
                </c:pt>
                <c:pt idx="470">
                  <c:v>39995</c:v>
                </c:pt>
                <c:pt idx="471">
                  <c:v>40026</c:v>
                </c:pt>
                <c:pt idx="472">
                  <c:v>40057</c:v>
                </c:pt>
                <c:pt idx="473">
                  <c:v>40087</c:v>
                </c:pt>
                <c:pt idx="474">
                  <c:v>40118</c:v>
                </c:pt>
                <c:pt idx="475">
                  <c:v>40148</c:v>
                </c:pt>
                <c:pt idx="476">
                  <c:v>40179</c:v>
                </c:pt>
                <c:pt idx="477">
                  <c:v>40210</c:v>
                </c:pt>
                <c:pt idx="478">
                  <c:v>40238</c:v>
                </c:pt>
                <c:pt idx="479">
                  <c:v>40269</c:v>
                </c:pt>
                <c:pt idx="480">
                  <c:v>40299</c:v>
                </c:pt>
                <c:pt idx="481">
                  <c:v>40330</c:v>
                </c:pt>
                <c:pt idx="482">
                  <c:v>40360</c:v>
                </c:pt>
                <c:pt idx="483">
                  <c:v>40391</c:v>
                </c:pt>
                <c:pt idx="484">
                  <c:v>40422</c:v>
                </c:pt>
                <c:pt idx="485">
                  <c:v>40452</c:v>
                </c:pt>
                <c:pt idx="486">
                  <c:v>40483</c:v>
                </c:pt>
                <c:pt idx="487">
                  <c:v>40513</c:v>
                </c:pt>
                <c:pt idx="488">
                  <c:v>40544</c:v>
                </c:pt>
                <c:pt idx="489">
                  <c:v>40575</c:v>
                </c:pt>
                <c:pt idx="490">
                  <c:v>40603</c:v>
                </c:pt>
                <c:pt idx="491">
                  <c:v>40634</c:v>
                </c:pt>
                <c:pt idx="492">
                  <c:v>40664</c:v>
                </c:pt>
                <c:pt idx="493">
                  <c:v>40695</c:v>
                </c:pt>
                <c:pt idx="494">
                  <c:v>40725</c:v>
                </c:pt>
                <c:pt idx="495">
                  <c:v>40756</c:v>
                </c:pt>
                <c:pt idx="496">
                  <c:v>40787</c:v>
                </c:pt>
                <c:pt idx="497">
                  <c:v>40817</c:v>
                </c:pt>
                <c:pt idx="498">
                  <c:v>40848</c:v>
                </c:pt>
                <c:pt idx="499">
                  <c:v>40878</c:v>
                </c:pt>
                <c:pt idx="500">
                  <c:v>40909</c:v>
                </c:pt>
                <c:pt idx="501">
                  <c:v>40940</c:v>
                </c:pt>
                <c:pt idx="502">
                  <c:v>40969</c:v>
                </c:pt>
                <c:pt idx="503">
                  <c:v>41000</c:v>
                </c:pt>
                <c:pt idx="504">
                  <c:v>41030</c:v>
                </c:pt>
                <c:pt idx="505">
                  <c:v>41061</c:v>
                </c:pt>
                <c:pt idx="506">
                  <c:v>41091</c:v>
                </c:pt>
                <c:pt idx="507">
                  <c:v>41122</c:v>
                </c:pt>
                <c:pt idx="508">
                  <c:v>41153</c:v>
                </c:pt>
                <c:pt idx="509">
                  <c:v>41183</c:v>
                </c:pt>
                <c:pt idx="510">
                  <c:v>41214</c:v>
                </c:pt>
                <c:pt idx="511">
                  <c:v>41244</c:v>
                </c:pt>
                <c:pt idx="512">
                  <c:v>41275</c:v>
                </c:pt>
                <c:pt idx="513">
                  <c:v>41306</c:v>
                </c:pt>
                <c:pt idx="514">
                  <c:v>41334</c:v>
                </c:pt>
                <c:pt idx="515">
                  <c:v>41365</c:v>
                </c:pt>
                <c:pt idx="516">
                  <c:v>41395</c:v>
                </c:pt>
                <c:pt idx="517">
                  <c:v>41426</c:v>
                </c:pt>
                <c:pt idx="518">
                  <c:v>41456</c:v>
                </c:pt>
                <c:pt idx="519">
                  <c:v>41487</c:v>
                </c:pt>
                <c:pt idx="520">
                  <c:v>41518</c:v>
                </c:pt>
                <c:pt idx="521">
                  <c:v>41548</c:v>
                </c:pt>
                <c:pt idx="522">
                  <c:v>41579</c:v>
                </c:pt>
                <c:pt idx="523">
                  <c:v>41609</c:v>
                </c:pt>
                <c:pt idx="524">
                  <c:v>41640</c:v>
                </c:pt>
                <c:pt idx="525">
                  <c:v>41671</c:v>
                </c:pt>
                <c:pt idx="526">
                  <c:v>41699</c:v>
                </c:pt>
                <c:pt idx="527">
                  <c:v>41730</c:v>
                </c:pt>
                <c:pt idx="528">
                  <c:v>41760</c:v>
                </c:pt>
                <c:pt idx="529">
                  <c:v>41791</c:v>
                </c:pt>
                <c:pt idx="530">
                  <c:v>41821</c:v>
                </c:pt>
                <c:pt idx="531">
                  <c:v>41852</c:v>
                </c:pt>
                <c:pt idx="532">
                  <c:v>41883</c:v>
                </c:pt>
                <c:pt idx="533">
                  <c:v>41913</c:v>
                </c:pt>
                <c:pt idx="534">
                  <c:v>41944</c:v>
                </c:pt>
                <c:pt idx="535">
                  <c:v>41974</c:v>
                </c:pt>
                <c:pt idx="536">
                  <c:v>42005</c:v>
                </c:pt>
                <c:pt idx="537">
                  <c:v>42036</c:v>
                </c:pt>
                <c:pt idx="538">
                  <c:v>42064</c:v>
                </c:pt>
                <c:pt idx="539">
                  <c:v>42095</c:v>
                </c:pt>
                <c:pt idx="540">
                  <c:v>42125</c:v>
                </c:pt>
                <c:pt idx="541">
                  <c:v>42156</c:v>
                </c:pt>
                <c:pt idx="542">
                  <c:v>42186</c:v>
                </c:pt>
                <c:pt idx="543">
                  <c:v>42217</c:v>
                </c:pt>
                <c:pt idx="544">
                  <c:v>42248</c:v>
                </c:pt>
                <c:pt idx="545">
                  <c:v>42278</c:v>
                </c:pt>
                <c:pt idx="546">
                  <c:v>42309</c:v>
                </c:pt>
                <c:pt idx="547">
                  <c:v>42339</c:v>
                </c:pt>
                <c:pt idx="548">
                  <c:v>42370</c:v>
                </c:pt>
                <c:pt idx="549">
                  <c:v>42401</c:v>
                </c:pt>
                <c:pt idx="550">
                  <c:v>42430</c:v>
                </c:pt>
                <c:pt idx="551">
                  <c:v>42461</c:v>
                </c:pt>
                <c:pt idx="552">
                  <c:v>42491</c:v>
                </c:pt>
                <c:pt idx="553">
                  <c:v>42522</c:v>
                </c:pt>
                <c:pt idx="554">
                  <c:v>42552</c:v>
                </c:pt>
                <c:pt idx="555">
                  <c:v>42583</c:v>
                </c:pt>
                <c:pt idx="556">
                  <c:v>42614</c:v>
                </c:pt>
                <c:pt idx="557">
                  <c:v>42644</c:v>
                </c:pt>
                <c:pt idx="558">
                  <c:v>42675</c:v>
                </c:pt>
                <c:pt idx="559">
                  <c:v>42705</c:v>
                </c:pt>
                <c:pt idx="560">
                  <c:v>42736</c:v>
                </c:pt>
                <c:pt idx="561">
                  <c:v>42767</c:v>
                </c:pt>
                <c:pt idx="562">
                  <c:v>42795</c:v>
                </c:pt>
                <c:pt idx="563">
                  <c:v>42826</c:v>
                </c:pt>
                <c:pt idx="564">
                  <c:v>42856</c:v>
                </c:pt>
                <c:pt idx="565">
                  <c:v>42887</c:v>
                </c:pt>
                <c:pt idx="566">
                  <c:v>42917</c:v>
                </c:pt>
                <c:pt idx="567">
                  <c:v>42948</c:v>
                </c:pt>
                <c:pt idx="568">
                  <c:v>42979</c:v>
                </c:pt>
                <c:pt idx="569">
                  <c:v>43009</c:v>
                </c:pt>
                <c:pt idx="570">
                  <c:v>43040</c:v>
                </c:pt>
                <c:pt idx="571">
                  <c:v>43070</c:v>
                </c:pt>
                <c:pt idx="572">
                  <c:v>43101</c:v>
                </c:pt>
                <c:pt idx="573">
                  <c:v>43132</c:v>
                </c:pt>
                <c:pt idx="574">
                  <c:v>43160</c:v>
                </c:pt>
                <c:pt idx="575">
                  <c:v>43191</c:v>
                </c:pt>
                <c:pt idx="576">
                  <c:v>43221</c:v>
                </c:pt>
                <c:pt idx="577">
                  <c:v>43252</c:v>
                </c:pt>
                <c:pt idx="578">
                  <c:v>43282</c:v>
                </c:pt>
                <c:pt idx="579">
                  <c:v>43313</c:v>
                </c:pt>
                <c:pt idx="580">
                  <c:v>43344</c:v>
                </c:pt>
                <c:pt idx="581">
                  <c:v>43374</c:v>
                </c:pt>
                <c:pt idx="582">
                  <c:v>43405</c:v>
                </c:pt>
                <c:pt idx="583">
                  <c:v>43435</c:v>
                </c:pt>
                <c:pt idx="584">
                  <c:v>43466</c:v>
                </c:pt>
                <c:pt idx="585">
                  <c:v>43497</c:v>
                </c:pt>
                <c:pt idx="586">
                  <c:v>43525</c:v>
                </c:pt>
                <c:pt idx="587">
                  <c:v>43556</c:v>
                </c:pt>
                <c:pt idx="588">
                  <c:v>43586</c:v>
                </c:pt>
                <c:pt idx="589">
                  <c:v>43617</c:v>
                </c:pt>
                <c:pt idx="590">
                  <c:v>43647</c:v>
                </c:pt>
                <c:pt idx="591">
                  <c:v>43678</c:v>
                </c:pt>
                <c:pt idx="592">
                  <c:v>43709</c:v>
                </c:pt>
                <c:pt idx="593">
                  <c:v>43739</c:v>
                </c:pt>
                <c:pt idx="594">
                  <c:v>43770</c:v>
                </c:pt>
                <c:pt idx="595">
                  <c:v>43800</c:v>
                </c:pt>
                <c:pt idx="596">
                  <c:v>43831</c:v>
                </c:pt>
                <c:pt idx="597">
                  <c:v>43862</c:v>
                </c:pt>
                <c:pt idx="598">
                  <c:v>43891</c:v>
                </c:pt>
                <c:pt idx="599">
                  <c:v>43922</c:v>
                </c:pt>
                <c:pt idx="600">
                  <c:v>43952</c:v>
                </c:pt>
                <c:pt idx="601">
                  <c:v>43983</c:v>
                </c:pt>
                <c:pt idx="602">
                  <c:v>44013</c:v>
                </c:pt>
                <c:pt idx="603">
                  <c:v>44044</c:v>
                </c:pt>
                <c:pt idx="604">
                  <c:v>44075</c:v>
                </c:pt>
                <c:pt idx="605">
                  <c:v>44105</c:v>
                </c:pt>
                <c:pt idx="606">
                  <c:v>44136</c:v>
                </c:pt>
                <c:pt idx="607">
                  <c:v>44166</c:v>
                </c:pt>
                <c:pt idx="608">
                  <c:v>44197</c:v>
                </c:pt>
                <c:pt idx="609">
                  <c:v>44228</c:v>
                </c:pt>
                <c:pt idx="610">
                  <c:v>44256</c:v>
                </c:pt>
                <c:pt idx="611">
                  <c:v>44287</c:v>
                </c:pt>
                <c:pt idx="612">
                  <c:v>44317</c:v>
                </c:pt>
                <c:pt idx="613">
                  <c:v>44348</c:v>
                </c:pt>
                <c:pt idx="614">
                  <c:v>44378</c:v>
                </c:pt>
                <c:pt idx="615">
                  <c:v>44409</c:v>
                </c:pt>
                <c:pt idx="616">
                  <c:v>44440</c:v>
                </c:pt>
                <c:pt idx="617">
                  <c:v>44470</c:v>
                </c:pt>
                <c:pt idx="618">
                  <c:v>44501</c:v>
                </c:pt>
                <c:pt idx="619">
                  <c:v>44531</c:v>
                </c:pt>
                <c:pt idx="620">
                  <c:v>44562</c:v>
                </c:pt>
                <c:pt idx="621">
                  <c:v>44593</c:v>
                </c:pt>
                <c:pt idx="622">
                  <c:v>44621</c:v>
                </c:pt>
                <c:pt idx="623">
                  <c:v>44652</c:v>
                </c:pt>
                <c:pt idx="624">
                  <c:v>44682</c:v>
                </c:pt>
                <c:pt idx="625">
                  <c:v>44713</c:v>
                </c:pt>
                <c:pt idx="626">
                  <c:v>44743</c:v>
                </c:pt>
                <c:pt idx="627">
                  <c:v>44774</c:v>
                </c:pt>
                <c:pt idx="628">
                  <c:v>44805</c:v>
                </c:pt>
                <c:pt idx="629">
                  <c:v>44835</c:v>
                </c:pt>
                <c:pt idx="630">
                  <c:v>44866</c:v>
                </c:pt>
                <c:pt idx="631">
                  <c:v>44896</c:v>
                </c:pt>
                <c:pt idx="632">
                  <c:v>44927</c:v>
                </c:pt>
                <c:pt idx="633">
                  <c:v>44958</c:v>
                </c:pt>
                <c:pt idx="634">
                  <c:v>44986</c:v>
                </c:pt>
                <c:pt idx="635">
                  <c:v>45017</c:v>
                </c:pt>
                <c:pt idx="636">
                  <c:v>45047</c:v>
                </c:pt>
                <c:pt idx="637">
                  <c:v>45078</c:v>
                </c:pt>
                <c:pt idx="638">
                  <c:v>45108</c:v>
                </c:pt>
                <c:pt idx="639">
                  <c:v>45139</c:v>
                </c:pt>
                <c:pt idx="640">
                  <c:v>45170</c:v>
                </c:pt>
                <c:pt idx="641">
                  <c:v>45200</c:v>
                </c:pt>
                <c:pt idx="642">
                  <c:v>45231</c:v>
                </c:pt>
                <c:pt idx="643">
                  <c:v>45261</c:v>
                </c:pt>
                <c:pt idx="644">
                  <c:v>45292</c:v>
                </c:pt>
                <c:pt idx="645">
                  <c:v>45323</c:v>
                </c:pt>
                <c:pt idx="646">
                  <c:v>45352</c:v>
                </c:pt>
                <c:pt idx="647">
                  <c:v>45383</c:v>
                </c:pt>
                <c:pt idx="648">
                  <c:v>45413</c:v>
                </c:pt>
                <c:pt idx="649">
                  <c:v>45444</c:v>
                </c:pt>
                <c:pt idx="650">
                  <c:v>45474</c:v>
                </c:pt>
                <c:pt idx="651">
                  <c:v>45505</c:v>
                </c:pt>
                <c:pt idx="652">
                  <c:v>45536</c:v>
                </c:pt>
                <c:pt idx="653">
                  <c:v>45566</c:v>
                </c:pt>
                <c:pt idx="654">
                  <c:v>45597</c:v>
                </c:pt>
                <c:pt idx="655">
                  <c:v>45627</c:v>
                </c:pt>
                <c:pt idx="656">
                  <c:v>45658</c:v>
                </c:pt>
                <c:pt idx="657">
                  <c:v>45689</c:v>
                </c:pt>
                <c:pt idx="658">
                  <c:v>45717</c:v>
                </c:pt>
                <c:pt idx="659">
                  <c:v>45748</c:v>
                </c:pt>
                <c:pt idx="660">
                  <c:v>45778</c:v>
                </c:pt>
                <c:pt idx="661">
                  <c:v>45809</c:v>
                </c:pt>
                <c:pt idx="662">
                  <c:v>45839</c:v>
                </c:pt>
                <c:pt idx="663">
                  <c:v>45870</c:v>
                </c:pt>
                <c:pt idx="664">
                  <c:v>45901</c:v>
                </c:pt>
                <c:pt idx="665">
                  <c:v>45931</c:v>
                </c:pt>
                <c:pt idx="666">
                  <c:v>45962</c:v>
                </c:pt>
                <c:pt idx="667">
                  <c:v>45992</c:v>
                </c:pt>
                <c:pt idx="668">
                  <c:v>46023</c:v>
                </c:pt>
                <c:pt idx="669">
                  <c:v>46054</c:v>
                </c:pt>
                <c:pt idx="670">
                  <c:v>46082</c:v>
                </c:pt>
                <c:pt idx="671">
                  <c:v>46113</c:v>
                </c:pt>
                <c:pt idx="672">
                  <c:v>46143</c:v>
                </c:pt>
                <c:pt idx="673">
                  <c:v>46174</c:v>
                </c:pt>
                <c:pt idx="674">
                  <c:v>46204</c:v>
                </c:pt>
              </c:numCache>
            </c:numRef>
          </c:cat>
          <c:val>
            <c:numRef>
              <c:f>UMCSI!$B$5:$B$679</c:f>
              <c:numCache>
                <c:formatCode>0.0</c:formatCode>
                <c:ptCount val="675"/>
                <c:pt idx="0">
                  <c:v>86.2</c:v>
                </c:pt>
                <c:pt idx="1">
                  <c:v>90.7</c:v>
                </c:pt>
                <c:pt idx="2">
                  <c:v>80.8</c:v>
                </c:pt>
                <c:pt idx="3">
                  <c:v>80.7</c:v>
                </c:pt>
                <c:pt idx="4">
                  <c:v>82</c:v>
                </c:pt>
                <c:pt idx="5">
                  <c:v>82.9</c:v>
                </c:pt>
                <c:pt idx="6">
                  <c:v>87</c:v>
                </c:pt>
                <c:pt idx="7">
                  <c:v>95.9</c:v>
                </c:pt>
                <c:pt idx="8">
                  <c:v>99.1</c:v>
                </c:pt>
                <c:pt idx="9">
                  <c:v>99.7</c:v>
                </c:pt>
                <c:pt idx="10">
                  <c:v>98.2</c:v>
                </c:pt>
                <c:pt idx="11">
                  <c:v>99.9</c:v>
                </c:pt>
                <c:pt idx="12">
                  <c:v>100.2</c:v>
                </c:pt>
                <c:pt idx="13">
                  <c:v>92.9</c:v>
                </c:pt>
                <c:pt idx="14">
                  <c:v>83.7</c:v>
                </c:pt>
                <c:pt idx="15">
                  <c:v>78.5</c:v>
                </c:pt>
                <c:pt idx="16">
                  <c:v>80.900000000000006</c:v>
                </c:pt>
                <c:pt idx="17">
                  <c:v>90.8</c:v>
                </c:pt>
                <c:pt idx="18">
                  <c:v>95.3</c:v>
                </c:pt>
                <c:pt idx="19">
                  <c:v>93.8</c:v>
                </c:pt>
                <c:pt idx="20">
                  <c:v>100</c:v>
                </c:pt>
                <c:pt idx="21">
                  <c:v>93.3</c:v>
                </c:pt>
                <c:pt idx="22">
                  <c:v>97.2</c:v>
                </c:pt>
                <c:pt idx="23">
                  <c:v>90.1</c:v>
                </c:pt>
                <c:pt idx="24">
                  <c:v>91.6</c:v>
                </c:pt>
                <c:pt idx="25">
                  <c:v>92.5</c:v>
                </c:pt>
                <c:pt idx="26">
                  <c:v>99.2</c:v>
                </c:pt>
                <c:pt idx="27">
                  <c:v>93</c:v>
                </c:pt>
                <c:pt idx="28">
                  <c:v>99.9</c:v>
                </c:pt>
                <c:pt idx="29">
                  <c:v>95.4</c:v>
                </c:pt>
                <c:pt idx="30">
                  <c:v>91.6</c:v>
                </c:pt>
                <c:pt idx="31">
                  <c:v>95</c:v>
                </c:pt>
                <c:pt idx="32">
                  <c:v>98.4</c:v>
                </c:pt>
                <c:pt idx="33">
                  <c:v>91.7</c:v>
                </c:pt>
                <c:pt idx="34">
                  <c:v>96.4</c:v>
                </c:pt>
                <c:pt idx="35">
                  <c:v>94.4</c:v>
                </c:pt>
                <c:pt idx="36">
                  <c:v>99.5</c:v>
                </c:pt>
                <c:pt idx="37">
                  <c:v>98.5</c:v>
                </c:pt>
                <c:pt idx="38">
                  <c:v>100.6</c:v>
                </c:pt>
                <c:pt idx="39">
                  <c:v>99.9</c:v>
                </c:pt>
                <c:pt idx="40">
                  <c:v>102</c:v>
                </c:pt>
                <c:pt idx="41">
                  <c:v>105.4</c:v>
                </c:pt>
                <c:pt idx="42">
                  <c:v>103.4</c:v>
                </c:pt>
                <c:pt idx="43">
                  <c:v>102.9</c:v>
                </c:pt>
                <c:pt idx="44">
                  <c:v>100</c:v>
                </c:pt>
                <c:pt idx="45">
                  <c:v>95.7</c:v>
                </c:pt>
                <c:pt idx="46">
                  <c:v>91.2</c:v>
                </c:pt>
                <c:pt idx="47">
                  <c:v>88.3</c:v>
                </c:pt>
                <c:pt idx="48">
                  <c:v>94.1</c:v>
                </c:pt>
                <c:pt idx="49">
                  <c:v>95.9</c:v>
                </c:pt>
                <c:pt idx="50">
                  <c:v>97</c:v>
                </c:pt>
                <c:pt idx="51">
                  <c:v>92.9</c:v>
                </c:pt>
                <c:pt idx="52">
                  <c:v>97.2</c:v>
                </c:pt>
                <c:pt idx="53">
                  <c:v>92.4</c:v>
                </c:pt>
                <c:pt idx="54">
                  <c:v>92.4</c:v>
                </c:pt>
                <c:pt idx="55">
                  <c:v>91.7</c:v>
                </c:pt>
                <c:pt idx="56">
                  <c:v>98.2</c:v>
                </c:pt>
                <c:pt idx="57">
                  <c:v>91.5</c:v>
                </c:pt>
                <c:pt idx="58">
                  <c:v>86.4</c:v>
                </c:pt>
                <c:pt idx="59">
                  <c:v>79.7</c:v>
                </c:pt>
                <c:pt idx="60">
                  <c:v>78.099999999999994</c:v>
                </c:pt>
                <c:pt idx="61">
                  <c:v>75.400000000000006</c:v>
                </c:pt>
                <c:pt idx="62">
                  <c:v>77.599999999999994</c:v>
                </c:pt>
                <c:pt idx="63">
                  <c:v>72.400000000000006</c:v>
                </c:pt>
                <c:pt idx="64">
                  <c:v>78.099999999999994</c:v>
                </c:pt>
                <c:pt idx="65">
                  <c:v>80.2</c:v>
                </c:pt>
                <c:pt idx="66">
                  <c:v>82.1</c:v>
                </c:pt>
                <c:pt idx="67">
                  <c:v>82</c:v>
                </c:pt>
                <c:pt idx="68">
                  <c:v>92.8</c:v>
                </c:pt>
                <c:pt idx="69">
                  <c:v>88.6</c:v>
                </c:pt>
                <c:pt idx="70">
                  <c:v>95.2</c:v>
                </c:pt>
                <c:pt idx="71">
                  <c:v>90.7</c:v>
                </c:pt>
                <c:pt idx="72">
                  <c:v>81.900000000000006</c:v>
                </c:pt>
                <c:pt idx="73">
                  <c:v>77</c:v>
                </c:pt>
                <c:pt idx="74">
                  <c:v>72</c:v>
                </c:pt>
                <c:pt idx="75">
                  <c:v>76.5</c:v>
                </c:pt>
                <c:pt idx="76">
                  <c:v>61.8</c:v>
                </c:pt>
                <c:pt idx="77">
                  <c:v>72.099999999999994</c:v>
                </c:pt>
                <c:pt idx="78">
                  <c:v>64.400000000000006</c:v>
                </c:pt>
                <c:pt idx="79">
                  <c:v>59.5</c:v>
                </c:pt>
                <c:pt idx="80">
                  <c:v>57.6</c:v>
                </c:pt>
                <c:pt idx="81">
                  <c:v>72.8</c:v>
                </c:pt>
                <c:pt idx="82">
                  <c:v>75.7</c:v>
                </c:pt>
                <c:pt idx="83">
                  <c:v>75.599999999999994</c:v>
                </c:pt>
                <c:pt idx="84">
                  <c:v>84.6</c:v>
                </c:pt>
                <c:pt idx="85">
                  <c:v>83.3</c:v>
                </c:pt>
                <c:pt idx="86">
                  <c:v>89.7</c:v>
                </c:pt>
                <c:pt idx="87">
                  <c:v>87</c:v>
                </c:pt>
                <c:pt idx="88">
                  <c:v>87.1</c:v>
                </c:pt>
                <c:pt idx="89">
                  <c:v>90.2</c:v>
                </c:pt>
                <c:pt idx="90">
                  <c:v>89</c:v>
                </c:pt>
                <c:pt idx="91">
                  <c:v>84.4</c:v>
                </c:pt>
                <c:pt idx="92">
                  <c:v>83.7</c:v>
                </c:pt>
                <c:pt idx="93">
                  <c:v>84.3</c:v>
                </c:pt>
                <c:pt idx="94">
                  <c:v>78.8</c:v>
                </c:pt>
                <c:pt idx="95">
                  <c:v>81.599999999999994</c:v>
                </c:pt>
                <c:pt idx="96">
                  <c:v>82.9</c:v>
                </c:pt>
                <c:pt idx="97">
                  <c:v>80</c:v>
                </c:pt>
                <c:pt idx="98">
                  <c:v>82.4</c:v>
                </c:pt>
                <c:pt idx="99">
                  <c:v>78.400000000000006</c:v>
                </c:pt>
                <c:pt idx="100">
                  <c:v>80.400000000000006</c:v>
                </c:pt>
                <c:pt idx="101">
                  <c:v>79.3</c:v>
                </c:pt>
                <c:pt idx="102">
                  <c:v>75</c:v>
                </c:pt>
                <c:pt idx="103">
                  <c:v>66.099999999999994</c:v>
                </c:pt>
                <c:pt idx="104">
                  <c:v>72.099999999999994</c:v>
                </c:pt>
                <c:pt idx="105">
                  <c:v>73.900000000000006</c:v>
                </c:pt>
                <c:pt idx="106">
                  <c:v>68.400000000000006</c:v>
                </c:pt>
                <c:pt idx="107">
                  <c:v>66</c:v>
                </c:pt>
                <c:pt idx="108">
                  <c:v>68.099999999999994</c:v>
                </c:pt>
                <c:pt idx="109">
                  <c:v>65.8</c:v>
                </c:pt>
                <c:pt idx="110">
                  <c:v>60.4</c:v>
                </c:pt>
                <c:pt idx="111">
                  <c:v>64.5</c:v>
                </c:pt>
                <c:pt idx="112">
                  <c:v>66.7</c:v>
                </c:pt>
                <c:pt idx="113">
                  <c:v>62.1</c:v>
                </c:pt>
                <c:pt idx="114">
                  <c:v>63.3</c:v>
                </c:pt>
                <c:pt idx="115">
                  <c:v>61</c:v>
                </c:pt>
                <c:pt idx="116">
                  <c:v>67</c:v>
                </c:pt>
                <c:pt idx="117">
                  <c:v>66.900000000000006</c:v>
                </c:pt>
                <c:pt idx="118">
                  <c:v>56.5</c:v>
                </c:pt>
                <c:pt idx="119">
                  <c:v>52.7</c:v>
                </c:pt>
                <c:pt idx="120">
                  <c:v>51.7</c:v>
                </c:pt>
                <c:pt idx="121">
                  <c:v>58.7</c:v>
                </c:pt>
                <c:pt idx="122">
                  <c:v>62.3</c:v>
                </c:pt>
                <c:pt idx="123">
                  <c:v>67.3</c:v>
                </c:pt>
                <c:pt idx="124">
                  <c:v>73.7</c:v>
                </c:pt>
                <c:pt idx="125">
                  <c:v>75</c:v>
                </c:pt>
                <c:pt idx="126">
                  <c:v>76.7</c:v>
                </c:pt>
                <c:pt idx="127">
                  <c:v>64.5</c:v>
                </c:pt>
                <c:pt idx="128">
                  <c:v>71.400000000000006</c:v>
                </c:pt>
                <c:pt idx="129">
                  <c:v>66.900000000000006</c:v>
                </c:pt>
                <c:pt idx="130">
                  <c:v>66.5</c:v>
                </c:pt>
                <c:pt idx="131">
                  <c:v>72.400000000000006</c:v>
                </c:pt>
                <c:pt idx="132">
                  <c:v>76.3</c:v>
                </c:pt>
                <c:pt idx="133">
                  <c:v>73.099999999999994</c:v>
                </c:pt>
                <c:pt idx="134">
                  <c:v>74.099999999999994</c:v>
                </c:pt>
                <c:pt idx="135">
                  <c:v>77.2</c:v>
                </c:pt>
                <c:pt idx="136">
                  <c:v>73.099999999999994</c:v>
                </c:pt>
                <c:pt idx="137">
                  <c:v>70.3</c:v>
                </c:pt>
                <c:pt idx="138">
                  <c:v>62.5</c:v>
                </c:pt>
                <c:pt idx="139">
                  <c:v>64.3</c:v>
                </c:pt>
                <c:pt idx="140">
                  <c:v>71</c:v>
                </c:pt>
                <c:pt idx="141">
                  <c:v>66.5</c:v>
                </c:pt>
                <c:pt idx="142">
                  <c:v>62</c:v>
                </c:pt>
                <c:pt idx="143">
                  <c:v>65.5</c:v>
                </c:pt>
                <c:pt idx="144">
                  <c:v>67.5</c:v>
                </c:pt>
                <c:pt idx="145">
                  <c:v>65.7</c:v>
                </c:pt>
                <c:pt idx="146">
                  <c:v>65.400000000000006</c:v>
                </c:pt>
                <c:pt idx="147">
                  <c:v>65.400000000000006</c:v>
                </c:pt>
                <c:pt idx="148">
                  <c:v>69.3</c:v>
                </c:pt>
                <c:pt idx="149">
                  <c:v>73.400000000000006</c:v>
                </c:pt>
                <c:pt idx="150">
                  <c:v>72.099999999999994</c:v>
                </c:pt>
                <c:pt idx="151">
                  <c:v>71.900000000000006</c:v>
                </c:pt>
                <c:pt idx="152">
                  <c:v>70.400000000000006</c:v>
                </c:pt>
                <c:pt idx="153">
                  <c:v>74.599999999999994</c:v>
                </c:pt>
                <c:pt idx="154">
                  <c:v>80.8</c:v>
                </c:pt>
                <c:pt idx="155">
                  <c:v>89.1</c:v>
                </c:pt>
                <c:pt idx="156">
                  <c:v>93.3</c:v>
                </c:pt>
                <c:pt idx="157">
                  <c:v>92.2</c:v>
                </c:pt>
                <c:pt idx="158">
                  <c:v>92.8</c:v>
                </c:pt>
                <c:pt idx="159">
                  <c:v>90.9</c:v>
                </c:pt>
                <c:pt idx="160">
                  <c:v>89.9</c:v>
                </c:pt>
                <c:pt idx="161">
                  <c:v>89.3</c:v>
                </c:pt>
                <c:pt idx="162">
                  <c:v>91.1</c:v>
                </c:pt>
                <c:pt idx="163">
                  <c:v>94.2</c:v>
                </c:pt>
                <c:pt idx="164">
                  <c:v>100.1</c:v>
                </c:pt>
                <c:pt idx="165">
                  <c:v>97.4</c:v>
                </c:pt>
                <c:pt idx="166">
                  <c:v>101</c:v>
                </c:pt>
                <c:pt idx="167">
                  <c:v>96.1</c:v>
                </c:pt>
                <c:pt idx="168">
                  <c:v>98.1</c:v>
                </c:pt>
                <c:pt idx="169">
                  <c:v>95.5</c:v>
                </c:pt>
                <c:pt idx="170">
                  <c:v>96.6</c:v>
                </c:pt>
                <c:pt idx="171">
                  <c:v>99.1</c:v>
                </c:pt>
                <c:pt idx="172">
                  <c:v>100.9</c:v>
                </c:pt>
                <c:pt idx="173">
                  <c:v>96.3</c:v>
                </c:pt>
                <c:pt idx="174">
                  <c:v>95.7</c:v>
                </c:pt>
                <c:pt idx="175">
                  <c:v>92.9</c:v>
                </c:pt>
                <c:pt idx="176">
                  <c:v>96</c:v>
                </c:pt>
                <c:pt idx="177">
                  <c:v>93.7</c:v>
                </c:pt>
                <c:pt idx="178">
                  <c:v>93.7</c:v>
                </c:pt>
                <c:pt idx="179">
                  <c:v>94.6</c:v>
                </c:pt>
                <c:pt idx="180">
                  <c:v>91.8</c:v>
                </c:pt>
                <c:pt idx="181">
                  <c:v>96.5</c:v>
                </c:pt>
                <c:pt idx="182">
                  <c:v>94</c:v>
                </c:pt>
                <c:pt idx="183">
                  <c:v>92.4</c:v>
                </c:pt>
                <c:pt idx="184">
                  <c:v>92.1</c:v>
                </c:pt>
                <c:pt idx="185">
                  <c:v>88.4</c:v>
                </c:pt>
                <c:pt idx="186">
                  <c:v>90.9</c:v>
                </c:pt>
                <c:pt idx="187">
                  <c:v>93.9</c:v>
                </c:pt>
                <c:pt idx="188">
                  <c:v>95.6</c:v>
                </c:pt>
                <c:pt idx="189">
                  <c:v>95.9</c:v>
                </c:pt>
                <c:pt idx="190">
                  <c:v>95.1</c:v>
                </c:pt>
                <c:pt idx="191">
                  <c:v>96.2</c:v>
                </c:pt>
                <c:pt idx="192">
                  <c:v>94.8</c:v>
                </c:pt>
                <c:pt idx="193">
                  <c:v>99.3</c:v>
                </c:pt>
                <c:pt idx="194">
                  <c:v>97.7</c:v>
                </c:pt>
                <c:pt idx="195">
                  <c:v>94.9</c:v>
                </c:pt>
                <c:pt idx="196">
                  <c:v>91.9</c:v>
                </c:pt>
                <c:pt idx="197">
                  <c:v>95.6</c:v>
                </c:pt>
                <c:pt idx="198">
                  <c:v>91.4</c:v>
                </c:pt>
                <c:pt idx="199">
                  <c:v>89.1</c:v>
                </c:pt>
                <c:pt idx="200">
                  <c:v>90.4</c:v>
                </c:pt>
                <c:pt idx="201">
                  <c:v>90.2</c:v>
                </c:pt>
                <c:pt idx="202">
                  <c:v>90.8</c:v>
                </c:pt>
                <c:pt idx="203">
                  <c:v>92.8</c:v>
                </c:pt>
                <c:pt idx="204">
                  <c:v>91.1</c:v>
                </c:pt>
                <c:pt idx="205">
                  <c:v>91.5</c:v>
                </c:pt>
                <c:pt idx="206">
                  <c:v>93.7</c:v>
                </c:pt>
                <c:pt idx="207">
                  <c:v>94.4</c:v>
                </c:pt>
                <c:pt idx="208">
                  <c:v>93.6</c:v>
                </c:pt>
                <c:pt idx="209">
                  <c:v>89.3</c:v>
                </c:pt>
                <c:pt idx="210">
                  <c:v>83.1</c:v>
                </c:pt>
                <c:pt idx="211">
                  <c:v>86.8</c:v>
                </c:pt>
                <c:pt idx="212">
                  <c:v>90.8</c:v>
                </c:pt>
                <c:pt idx="213">
                  <c:v>91.6</c:v>
                </c:pt>
                <c:pt idx="214">
                  <c:v>94.6</c:v>
                </c:pt>
                <c:pt idx="215">
                  <c:v>91.2</c:v>
                </c:pt>
                <c:pt idx="216">
                  <c:v>94.8</c:v>
                </c:pt>
                <c:pt idx="217">
                  <c:v>94.7</c:v>
                </c:pt>
                <c:pt idx="218">
                  <c:v>93.4</c:v>
                </c:pt>
                <c:pt idx="219">
                  <c:v>97.4</c:v>
                </c:pt>
                <c:pt idx="220">
                  <c:v>97.3</c:v>
                </c:pt>
                <c:pt idx="221">
                  <c:v>94.1</c:v>
                </c:pt>
                <c:pt idx="222">
                  <c:v>93</c:v>
                </c:pt>
                <c:pt idx="223">
                  <c:v>91.9</c:v>
                </c:pt>
                <c:pt idx="224">
                  <c:v>97.9</c:v>
                </c:pt>
                <c:pt idx="225">
                  <c:v>95.4</c:v>
                </c:pt>
                <c:pt idx="226">
                  <c:v>94.3</c:v>
                </c:pt>
                <c:pt idx="227">
                  <c:v>91.5</c:v>
                </c:pt>
                <c:pt idx="228">
                  <c:v>90.7</c:v>
                </c:pt>
                <c:pt idx="229">
                  <c:v>90.6</c:v>
                </c:pt>
                <c:pt idx="230">
                  <c:v>92</c:v>
                </c:pt>
                <c:pt idx="231">
                  <c:v>89.6</c:v>
                </c:pt>
                <c:pt idx="232">
                  <c:v>95.8</c:v>
                </c:pt>
                <c:pt idx="233">
                  <c:v>93.9</c:v>
                </c:pt>
                <c:pt idx="234">
                  <c:v>90.9</c:v>
                </c:pt>
                <c:pt idx="235">
                  <c:v>90.5</c:v>
                </c:pt>
                <c:pt idx="236">
                  <c:v>93</c:v>
                </c:pt>
                <c:pt idx="237">
                  <c:v>89.5</c:v>
                </c:pt>
                <c:pt idx="238">
                  <c:v>91.3</c:v>
                </c:pt>
                <c:pt idx="239">
                  <c:v>93.9</c:v>
                </c:pt>
                <c:pt idx="240">
                  <c:v>90.6</c:v>
                </c:pt>
                <c:pt idx="241">
                  <c:v>88.3</c:v>
                </c:pt>
                <c:pt idx="242">
                  <c:v>88.2</c:v>
                </c:pt>
                <c:pt idx="243">
                  <c:v>76.400000000000006</c:v>
                </c:pt>
                <c:pt idx="244">
                  <c:v>72.8</c:v>
                </c:pt>
                <c:pt idx="245">
                  <c:v>63.9</c:v>
                </c:pt>
                <c:pt idx="246">
                  <c:v>66</c:v>
                </c:pt>
                <c:pt idx="247">
                  <c:v>65.5</c:v>
                </c:pt>
                <c:pt idx="248">
                  <c:v>66.8</c:v>
                </c:pt>
                <c:pt idx="249">
                  <c:v>70.400000000000006</c:v>
                </c:pt>
                <c:pt idx="250">
                  <c:v>87.7</c:v>
                </c:pt>
                <c:pt idx="251">
                  <c:v>81.8</c:v>
                </c:pt>
                <c:pt idx="252">
                  <c:v>78.3</c:v>
                </c:pt>
                <c:pt idx="253">
                  <c:v>82.1</c:v>
                </c:pt>
                <c:pt idx="254">
                  <c:v>82.9</c:v>
                </c:pt>
                <c:pt idx="255">
                  <c:v>82</c:v>
                </c:pt>
                <c:pt idx="256">
                  <c:v>83</c:v>
                </c:pt>
                <c:pt idx="257">
                  <c:v>78.3</c:v>
                </c:pt>
                <c:pt idx="258">
                  <c:v>69.099999999999994</c:v>
                </c:pt>
                <c:pt idx="259">
                  <c:v>68.2</c:v>
                </c:pt>
                <c:pt idx="260">
                  <c:v>67.5</c:v>
                </c:pt>
                <c:pt idx="261">
                  <c:v>68.8</c:v>
                </c:pt>
                <c:pt idx="262">
                  <c:v>76</c:v>
                </c:pt>
                <c:pt idx="263">
                  <c:v>77.2</c:v>
                </c:pt>
                <c:pt idx="264">
                  <c:v>79.2</c:v>
                </c:pt>
                <c:pt idx="265">
                  <c:v>80.400000000000006</c:v>
                </c:pt>
                <c:pt idx="266">
                  <c:v>76.599999999999994</c:v>
                </c:pt>
                <c:pt idx="267">
                  <c:v>76.099999999999994</c:v>
                </c:pt>
                <c:pt idx="268">
                  <c:v>75.599999999999994</c:v>
                </c:pt>
                <c:pt idx="269">
                  <c:v>73.3</c:v>
                </c:pt>
                <c:pt idx="270">
                  <c:v>85.3</c:v>
                </c:pt>
                <c:pt idx="271">
                  <c:v>91</c:v>
                </c:pt>
                <c:pt idx="272">
                  <c:v>89.3</c:v>
                </c:pt>
                <c:pt idx="273">
                  <c:v>86.6</c:v>
                </c:pt>
                <c:pt idx="274">
                  <c:v>85.9</c:v>
                </c:pt>
                <c:pt idx="275">
                  <c:v>85.6</c:v>
                </c:pt>
                <c:pt idx="276">
                  <c:v>80.3</c:v>
                </c:pt>
                <c:pt idx="277">
                  <c:v>81.5</c:v>
                </c:pt>
                <c:pt idx="278">
                  <c:v>77</c:v>
                </c:pt>
                <c:pt idx="279">
                  <c:v>77.3</c:v>
                </c:pt>
                <c:pt idx="280">
                  <c:v>77.900000000000006</c:v>
                </c:pt>
                <c:pt idx="281">
                  <c:v>82.7</c:v>
                </c:pt>
                <c:pt idx="282">
                  <c:v>81.2</c:v>
                </c:pt>
                <c:pt idx="283">
                  <c:v>88.2</c:v>
                </c:pt>
                <c:pt idx="284">
                  <c:v>94.3</c:v>
                </c:pt>
                <c:pt idx="285">
                  <c:v>93.2</c:v>
                </c:pt>
                <c:pt idx="286">
                  <c:v>91.5</c:v>
                </c:pt>
                <c:pt idx="287">
                  <c:v>92.6</c:v>
                </c:pt>
                <c:pt idx="288">
                  <c:v>92.8</c:v>
                </c:pt>
                <c:pt idx="289">
                  <c:v>91.2</c:v>
                </c:pt>
                <c:pt idx="290">
                  <c:v>89</c:v>
                </c:pt>
                <c:pt idx="291">
                  <c:v>91.7</c:v>
                </c:pt>
                <c:pt idx="292">
                  <c:v>91.5</c:v>
                </c:pt>
                <c:pt idx="293">
                  <c:v>92.7</c:v>
                </c:pt>
                <c:pt idx="294">
                  <c:v>91.6</c:v>
                </c:pt>
                <c:pt idx="295">
                  <c:v>95.1</c:v>
                </c:pt>
                <c:pt idx="296">
                  <c:v>97.6</c:v>
                </c:pt>
                <c:pt idx="297">
                  <c:v>95.1</c:v>
                </c:pt>
                <c:pt idx="298">
                  <c:v>90.3</c:v>
                </c:pt>
                <c:pt idx="299">
                  <c:v>92.5</c:v>
                </c:pt>
                <c:pt idx="300">
                  <c:v>89.8</c:v>
                </c:pt>
                <c:pt idx="301">
                  <c:v>92.7</c:v>
                </c:pt>
                <c:pt idx="302">
                  <c:v>94.4</c:v>
                </c:pt>
                <c:pt idx="303">
                  <c:v>96.2</c:v>
                </c:pt>
                <c:pt idx="304">
                  <c:v>88.9</c:v>
                </c:pt>
                <c:pt idx="305">
                  <c:v>90.2</c:v>
                </c:pt>
                <c:pt idx="306">
                  <c:v>88.2</c:v>
                </c:pt>
                <c:pt idx="307">
                  <c:v>91</c:v>
                </c:pt>
                <c:pt idx="308">
                  <c:v>89.3</c:v>
                </c:pt>
                <c:pt idx="309">
                  <c:v>88.5</c:v>
                </c:pt>
                <c:pt idx="310">
                  <c:v>93.7</c:v>
                </c:pt>
                <c:pt idx="311">
                  <c:v>92.7</c:v>
                </c:pt>
                <c:pt idx="312">
                  <c:v>89.4</c:v>
                </c:pt>
                <c:pt idx="313">
                  <c:v>92.4</c:v>
                </c:pt>
                <c:pt idx="314">
                  <c:v>94.7</c:v>
                </c:pt>
                <c:pt idx="315">
                  <c:v>95.3</c:v>
                </c:pt>
                <c:pt idx="316">
                  <c:v>94.7</c:v>
                </c:pt>
                <c:pt idx="317">
                  <c:v>96.5</c:v>
                </c:pt>
                <c:pt idx="318">
                  <c:v>99.2</c:v>
                </c:pt>
                <c:pt idx="319">
                  <c:v>96.9</c:v>
                </c:pt>
                <c:pt idx="320">
                  <c:v>97.4</c:v>
                </c:pt>
                <c:pt idx="321">
                  <c:v>99.7</c:v>
                </c:pt>
                <c:pt idx="322">
                  <c:v>100</c:v>
                </c:pt>
                <c:pt idx="323">
                  <c:v>101.4</c:v>
                </c:pt>
                <c:pt idx="324">
                  <c:v>103.2</c:v>
                </c:pt>
                <c:pt idx="325">
                  <c:v>104.5</c:v>
                </c:pt>
                <c:pt idx="326">
                  <c:v>107.1</c:v>
                </c:pt>
                <c:pt idx="327">
                  <c:v>104.4</c:v>
                </c:pt>
                <c:pt idx="328">
                  <c:v>106</c:v>
                </c:pt>
                <c:pt idx="329">
                  <c:v>105.6</c:v>
                </c:pt>
                <c:pt idx="330">
                  <c:v>107.2</c:v>
                </c:pt>
                <c:pt idx="331">
                  <c:v>102.1</c:v>
                </c:pt>
                <c:pt idx="332">
                  <c:v>106.6</c:v>
                </c:pt>
                <c:pt idx="333">
                  <c:v>110.4</c:v>
                </c:pt>
                <c:pt idx="334">
                  <c:v>106.5</c:v>
                </c:pt>
                <c:pt idx="335">
                  <c:v>108.7</c:v>
                </c:pt>
                <c:pt idx="336">
                  <c:v>106.5</c:v>
                </c:pt>
                <c:pt idx="337">
                  <c:v>105.6</c:v>
                </c:pt>
                <c:pt idx="338">
                  <c:v>105.2</c:v>
                </c:pt>
                <c:pt idx="339">
                  <c:v>104.4</c:v>
                </c:pt>
                <c:pt idx="340">
                  <c:v>100.9</c:v>
                </c:pt>
                <c:pt idx="341">
                  <c:v>97.4</c:v>
                </c:pt>
                <c:pt idx="342">
                  <c:v>102.7</c:v>
                </c:pt>
                <c:pt idx="343">
                  <c:v>100.5</c:v>
                </c:pt>
                <c:pt idx="344">
                  <c:v>103.9</c:v>
                </c:pt>
                <c:pt idx="345">
                  <c:v>108.1</c:v>
                </c:pt>
                <c:pt idx="346">
                  <c:v>105.7</c:v>
                </c:pt>
                <c:pt idx="347">
                  <c:v>104.6</c:v>
                </c:pt>
                <c:pt idx="348">
                  <c:v>106.8</c:v>
                </c:pt>
                <c:pt idx="349">
                  <c:v>107.3</c:v>
                </c:pt>
                <c:pt idx="350">
                  <c:v>106</c:v>
                </c:pt>
                <c:pt idx="351">
                  <c:v>104.5</c:v>
                </c:pt>
                <c:pt idx="352">
                  <c:v>107.2</c:v>
                </c:pt>
                <c:pt idx="353">
                  <c:v>103.2</c:v>
                </c:pt>
                <c:pt idx="354">
                  <c:v>107.2</c:v>
                </c:pt>
                <c:pt idx="355">
                  <c:v>105.4</c:v>
                </c:pt>
                <c:pt idx="356">
                  <c:v>112</c:v>
                </c:pt>
                <c:pt idx="357">
                  <c:v>111.3</c:v>
                </c:pt>
                <c:pt idx="358">
                  <c:v>107.1</c:v>
                </c:pt>
                <c:pt idx="359">
                  <c:v>109.2</c:v>
                </c:pt>
                <c:pt idx="360">
                  <c:v>110.7</c:v>
                </c:pt>
                <c:pt idx="361">
                  <c:v>106.4</c:v>
                </c:pt>
                <c:pt idx="362">
                  <c:v>108.3</c:v>
                </c:pt>
                <c:pt idx="363">
                  <c:v>107.3</c:v>
                </c:pt>
                <c:pt idx="364">
                  <c:v>106.8</c:v>
                </c:pt>
                <c:pt idx="365">
                  <c:v>105.8</c:v>
                </c:pt>
                <c:pt idx="366">
                  <c:v>107.6</c:v>
                </c:pt>
                <c:pt idx="367">
                  <c:v>98.4</c:v>
                </c:pt>
                <c:pt idx="368">
                  <c:v>94.7</c:v>
                </c:pt>
                <c:pt idx="369">
                  <c:v>90.6</c:v>
                </c:pt>
                <c:pt idx="370">
                  <c:v>91.5</c:v>
                </c:pt>
                <c:pt idx="371">
                  <c:v>88.4</c:v>
                </c:pt>
                <c:pt idx="372">
                  <c:v>92</c:v>
                </c:pt>
                <c:pt idx="373">
                  <c:v>92.6</c:v>
                </c:pt>
                <c:pt idx="374">
                  <c:v>92.4</c:v>
                </c:pt>
                <c:pt idx="375">
                  <c:v>91.5</c:v>
                </c:pt>
                <c:pt idx="376">
                  <c:v>81.8</c:v>
                </c:pt>
                <c:pt idx="377">
                  <c:v>82.7</c:v>
                </c:pt>
                <c:pt idx="378">
                  <c:v>83.9</c:v>
                </c:pt>
                <c:pt idx="379">
                  <c:v>88.8</c:v>
                </c:pt>
                <c:pt idx="380">
                  <c:v>93</c:v>
                </c:pt>
                <c:pt idx="381">
                  <c:v>90.7</c:v>
                </c:pt>
                <c:pt idx="382">
                  <c:v>95.7</c:v>
                </c:pt>
                <c:pt idx="383">
                  <c:v>93</c:v>
                </c:pt>
                <c:pt idx="384">
                  <c:v>96.9</c:v>
                </c:pt>
                <c:pt idx="385">
                  <c:v>92.4</c:v>
                </c:pt>
                <c:pt idx="386">
                  <c:v>88.1</c:v>
                </c:pt>
                <c:pt idx="387">
                  <c:v>87.6</c:v>
                </c:pt>
                <c:pt idx="388">
                  <c:v>86.1</c:v>
                </c:pt>
                <c:pt idx="389">
                  <c:v>80.599999999999994</c:v>
                </c:pt>
                <c:pt idx="390">
                  <c:v>84.2</c:v>
                </c:pt>
                <c:pt idx="391">
                  <c:v>86.7</c:v>
                </c:pt>
                <c:pt idx="392">
                  <c:v>82.4</c:v>
                </c:pt>
                <c:pt idx="393">
                  <c:v>79.900000000000006</c:v>
                </c:pt>
                <c:pt idx="394">
                  <c:v>77.599999999999994</c:v>
                </c:pt>
                <c:pt idx="395">
                  <c:v>86</c:v>
                </c:pt>
                <c:pt idx="396">
                  <c:v>92.1</c:v>
                </c:pt>
                <c:pt idx="397">
                  <c:v>89.7</c:v>
                </c:pt>
                <c:pt idx="398">
                  <c:v>90.9</c:v>
                </c:pt>
                <c:pt idx="399">
                  <c:v>89.3</c:v>
                </c:pt>
                <c:pt idx="400">
                  <c:v>87.7</c:v>
                </c:pt>
                <c:pt idx="401">
                  <c:v>89.6</c:v>
                </c:pt>
                <c:pt idx="402">
                  <c:v>93.7</c:v>
                </c:pt>
                <c:pt idx="403">
                  <c:v>92.6</c:v>
                </c:pt>
                <c:pt idx="404">
                  <c:v>103.8</c:v>
                </c:pt>
                <c:pt idx="405">
                  <c:v>94.4</c:v>
                </c:pt>
                <c:pt idx="406">
                  <c:v>95.8</c:v>
                </c:pt>
                <c:pt idx="407">
                  <c:v>94.2</c:v>
                </c:pt>
                <c:pt idx="408">
                  <c:v>90.2</c:v>
                </c:pt>
                <c:pt idx="409">
                  <c:v>95.6</c:v>
                </c:pt>
                <c:pt idx="410">
                  <c:v>96.7</c:v>
                </c:pt>
                <c:pt idx="411">
                  <c:v>95.9</c:v>
                </c:pt>
                <c:pt idx="412">
                  <c:v>94.2</c:v>
                </c:pt>
                <c:pt idx="413">
                  <c:v>91.7</c:v>
                </c:pt>
                <c:pt idx="414">
                  <c:v>92.8</c:v>
                </c:pt>
                <c:pt idx="415">
                  <c:v>97.1</c:v>
                </c:pt>
                <c:pt idx="416">
                  <c:v>95.5</c:v>
                </c:pt>
                <c:pt idx="417">
                  <c:v>94.1</c:v>
                </c:pt>
                <c:pt idx="418">
                  <c:v>92.6</c:v>
                </c:pt>
                <c:pt idx="419">
                  <c:v>87.7</c:v>
                </c:pt>
                <c:pt idx="420">
                  <c:v>86.9</c:v>
                </c:pt>
                <c:pt idx="421">
                  <c:v>96</c:v>
                </c:pt>
                <c:pt idx="422">
                  <c:v>96.5</c:v>
                </c:pt>
                <c:pt idx="423">
                  <c:v>89.1</c:v>
                </c:pt>
                <c:pt idx="424">
                  <c:v>76.900000000000006</c:v>
                </c:pt>
                <c:pt idx="425">
                  <c:v>74.2</c:v>
                </c:pt>
                <c:pt idx="426">
                  <c:v>81.599999999999994</c:v>
                </c:pt>
                <c:pt idx="427">
                  <c:v>91.5</c:v>
                </c:pt>
                <c:pt idx="428">
                  <c:v>91.2</c:v>
                </c:pt>
                <c:pt idx="429">
                  <c:v>86.7</c:v>
                </c:pt>
                <c:pt idx="430">
                  <c:v>88.9</c:v>
                </c:pt>
                <c:pt idx="431">
                  <c:v>87.4</c:v>
                </c:pt>
                <c:pt idx="432">
                  <c:v>79.099999999999994</c:v>
                </c:pt>
                <c:pt idx="433">
                  <c:v>84.9</c:v>
                </c:pt>
                <c:pt idx="434">
                  <c:v>84.7</c:v>
                </c:pt>
                <c:pt idx="435">
                  <c:v>82</c:v>
                </c:pt>
                <c:pt idx="436">
                  <c:v>85.4</c:v>
                </c:pt>
                <c:pt idx="437">
                  <c:v>93.6</c:v>
                </c:pt>
                <c:pt idx="438">
                  <c:v>92.1</c:v>
                </c:pt>
                <c:pt idx="439">
                  <c:v>91.7</c:v>
                </c:pt>
                <c:pt idx="440">
                  <c:v>96.9</c:v>
                </c:pt>
                <c:pt idx="441">
                  <c:v>91.3</c:v>
                </c:pt>
                <c:pt idx="442">
                  <c:v>88.4</c:v>
                </c:pt>
                <c:pt idx="443">
                  <c:v>87.1</c:v>
                </c:pt>
                <c:pt idx="444">
                  <c:v>88.3</c:v>
                </c:pt>
                <c:pt idx="445">
                  <c:v>85.3</c:v>
                </c:pt>
                <c:pt idx="446">
                  <c:v>90.4</c:v>
                </c:pt>
                <c:pt idx="447">
                  <c:v>83.4</c:v>
                </c:pt>
                <c:pt idx="448">
                  <c:v>83.4</c:v>
                </c:pt>
                <c:pt idx="449">
                  <c:v>80.900000000000006</c:v>
                </c:pt>
                <c:pt idx="450">
                  <c:v>76.099999999999994</c:v>
                </c:pt>
                <c:pt idx="451">
                  <c:v>75.5</c:v>
                </c:pt>
                <c:pt idx="452">
                  <c:v>78.400000000000006</c:v>
                </c:pt>
                <c:pt idx="453">
                  <c:v>70.8</c:v>
                </c:pt>
                <c:pt idx="454">
                  <c:v>69.5</c:v>
                </c:pt>
                <c:pt idx="455">
                  <c:v>62.6</c:v>
                </c:pt>
                <c:pt idx="456">
                  <c:v>59.8</c:v>
                </c:pt>
                <c:pt idx="457">
                  <c:v>56.4</c:v>
                </c:pt>
                <c:pt idx="458">
                  <c:v>61.2</c:v>
                </c:pt>
                <c:pt idx="459">
                  <c:v>63</c:v>
                </c:pt>
                <c:pt idx="460">
                  <c:v>70.3</c:v>
                </c:pt>
                <c:pt idx="461">
                  <c:v>57.6</c:v>
                </c:pt>
                <c:pt idx="462">
                  <c:v>55.3</c:v>
                </c:pt>
                <c:pt idx="463">
                  <c:v>60.1</c:v>
                </c:pt>
                <c:pt idx="464">
                  <c:v>61.2</c:v>
                </c:pt>
                <c:pt idx="465">
                  <c:v>56.3</c:v>
                </c:pt>
                <c:pt idx="466">
                  <c:v>57.3</c:v>
                </c:pt>
                <c:pt idx="467">
                  <c:v>65.099999999999994</c:v>
                </c:pt>
                <c:pt idx="468">
                  <c:v>68.7</c:v>
                </c:pt>
                <c:pt idx="469">
                  <c:v>70.8</c:v>
                </c:pt>
                <c:pt idx="470">
                  <c:v>66</c:v>
                </c:pt>
                <c:pt idx="471">
                  <c:v>65.7</c:v>
                </c:pt>
                <c:pt idx="472">
                  <c:v>73.5</c:v>
                </c:pt>
                <c:pt idx="473">
                  <c:v>70.599999999999994</c:v>
                </c:pt>
                <c:pt idx="474">
                  <c:v>67.400000000000006</c:v>
                </c:pt>
                <c:pt idx="475">
                  <c:v>72.5</c:v>
                </c:pt>
                <c:pt idx="476">
                  <c:v>74.400000000000006</c:v>
                </c:pt>
                <c:pt idx="477">
                  <c:v>73.599999999999994</c:v>
                </c:pt>
                <c:pt idx="478">
                  <c:v>73.599999999999994</c:v>
                </c:pt>
                <c:pt idx="479">
                  <c:v>72.2</c:v>
                </c:pt>
                <c:pt idx="480">
                  <c:v>73.599999999999994</c:v>
                </c:pt>
                <c:pt idx="481">
                  <c:v>76</c:v>
                </c:pt>
                <c:pt idx="482">
                  <c:v>67.8</c:v>
                </c:pt>
                <c:pt idx="483">
                  <c:v>68.900000000000006</c:v>
                </c:pt>
                <c:pt idx="484">
                  <c:v>68.2</c:v>
                </c:pt>
                <c:pt idx="485">
                  <c:v>67.7</c:v>
                </c:pt>
                <c:pt idx="486">
                  <c:v>71.599999999999994</c:v>
                </c:pt>
                <c:pt idx="487">
                  <c:v>74.5</c:v>
                </c:pt>
                <c:pt idx="488">
                  <c:v>74.2</c:v>
                </c:pt>
                <c:pt idx="489">
                  <c:v>77.5</c:v>
                </c:pt>
                <c:pt idx="490">
                  <c:v>67.5</c:v>
                </c:pt>
                <c:pt idx="491">
                  <c:v>69.8</c:v>
                </c:pt>
                <c:pt idx="492">
                  <c:v>74.3</c:v>
                </c:pt>
                <c:pt idx="493">
                  <c:v>71.5</c:v>
                </c:pt>
                <c:pt idx="494">
                  <c:v>63.7</c:v>
                </c:pt>
                <c:pt idx="495">
                  <c:v>55.8</c:v>
                </c:pt>
                <c:pt idx="496">
                  <c:v>59.5</c:v>
                </c:pt>
                <c:pt idx="497">
                  <c:v>60.8</c:v>
                </c:pt>
                <c:pt idx="498">
                  <c:v>63.7</c:v>
                </c:pt>
                <c:pt idx="499">
                  <c:v>69.900000000000006</c:v>
                </c:pt>
                <c:pt idx="500">
                  <c:v>75</c:v>
                </c:pt>
                <c:pt idx="501">
                  <c:v>75.3</c:v>
                </c:pt>
                <c:pt idx="502">
                  <c:v>76.2</c:v>
                </c:pt>
                <c:pt idx="503">
                  <c:v>76.400000000000006</c:v>
                </c:pt>
                <c:pt idx="504">
                  <c:v>79.3</c:v>
                </c:pt>
                <c:pt idx="505">
                  <c:v>73.2</c:v>
                </c:pt>
                <c:pt idx="506">
                  <c:v>72.3</c:v>
                </c:pt>
                <c:pt idx="507">
                  <c:v>74.3</c:v>
                </c:pt>
                <c:pt idx="508">
                  <c:v>78.3</c:v>
                </c:pt>
                <c:pt idx="509">
                  <c:v>82.6</c:v>
                </c:pt>
                <c:pt idx="510">
                  <c:v>82.7</c:v>
                </c:pt>
                <c:pt idx="511">
                  <c:v>72.900000000000006</c:v>
                </c:pt>
                <c:pt idx="512">
                  <c:v>73.8</c:v>
                </c:pt>
                <c:pt idx="513">
                  <c:v>77.599999999999994</c:v>
                </c:pt>
                <c:pt idx="514">
                  <c:v>78.599999999999994</c:v>
                </c:pt>
                <c:pt idx="515">
                  <c:v>76.400000000000006</c:v>
                </c:pt>
                <c:pt idx="516">
                  <c:v>84.5</c:v>
                </c:pt>
                <c:pt idx="517">
                  <c:v>84.1</c:v>
                </c:pt>
                <c:pt idx="518">
                  <c:v>85.1</c:v>
                </c:pt>
                <c:pt idx="519">
                  <c:v>82.1</c:v>
                </c:pt>
                <c:pt idx="520">
                  <c:v>77.5</c:v>
                </c:pt>
                <c:pt idx="521">
                  <c:v>73.2</c:v>
                </c:pt>
                <c:pt idx="522">
                  <c:v>75.099999999999994</c:v>
                </c:pt>
                <c:pt idx="523">
                  <c:v>82.5</c:v>
                </c:pt>
                <c:pt idx="524">
                  <c:v>81.2</c:v>
                </c:pt>
                <c:pt idx="525">
                  <c:v>81.599999999999994</c:v>
                </c:pt>
                <c:pt idx="526">
                  <c:v>80</c:v>
                </c:pt>
                <c:pt idx="527">
                  <c:v>84.1</c:v>
                </c:pt>
                <c:pt idx="528">
                  <c:v>81.900000000000006</c:v>
                </c:pt>
                <c:pt idx="529">
                  <c:v>82.5</c:v>
                </c:pt>
                <c:pt idx="530">
                  <c:v>81.8</c:v>
                </c:pt>
                <c:pt idx="531">
                  <c:v>82.5</c:v>
                </c:pt>
                <c:pt idx="532">
                  <c:v>84.6</c:v>
                </c:pt>
                <c:pt idx="533">
                  <c:v>86.9</c:v>
                </c:pt>
                <c:pt idx="534">
                  <c:v>88.8</c:v>
                </c:pt>
                <c:pt idx="535">
                  <c:v>93.6</c:v>
                </c:pt>
                <c:pt idx="536">
                  <c:v>98.1</c:v>
                </c:pt>
                <c:pt idx="537">
                  <c:v>95.4</c:v>
                </c:pt>
                <c:pt idx="538">
                  <c:v>93</c:v>
                </c:pt>
                <c:pt idx="539">
                  <c:v>95.9</c:v>
                </c:pt>
                <c:pt idx="540">
                  <c:v>90.7</c:v>
                </c:pt>
                <c:pt idx="541">
                  <c:v>96.1</c:v>
                </c:pt>
                <c:pt idx="542">
                  <c:v>93.1</c:v>
                </c:pt>
                <c:pt idx="543">
                  <c:v>91.9</c:v>
                </c:pt>
                <c:pt idx="544">
                  <c:v>87.2</c:v>
                </c:pt>
                <c:pt idx="545">
                  <c:v>90</c:v>
                </c:pt>
                <c:pt idx="546">
                  <c:v>91.3</c:v>
                </c:pt>
                <c:pt idx="547">
                  <c:v>92.6</c:v>
                </c:pt>
                <c:pt idx="548">
                  <c:v>92</c:v>
                </c:pt>
                <c:pt idx="549">
                  <c:v>91.7</c:v>
                </c:pt>
                <c:pt idx="550">
                  <c:v>91</c:v>
                </c:pt>
                <c:pt idx="551">
                  <c:v>89</c:v>
                </c:pt>
                <c:pt idx="552">
                  <c:v>94.7</c:v>
                </c:pt>
                <c:pt idx="553">
                  <c:v>93.5</c:v>
                </c:pt>
                <c:pt idx="554">
                  <c:v>90</c:v>
                </c:pt>
                <c:pt idx="555">
                  <c:v>89.8</c:v>
                </c:pt>
                <c:pt idx="556">
                  <c:v>91.2</c:v>
                </c:pt>
                <c:pt idx="557">
                  <c:v>87.2</c:v>
                </c:pt>
                <c:pt idx="558">
                  <c:v>93.8</c:v>
                </c:pt>
                <c:pt idx="559">
                  <c:v>98.2</c:v>
                </c:pt>
                <c:pt idx="560">
                  <c:v>98.5</c:v>
                </c:pt>
                <c:pt idx="561">
                  <c:v>96.3</c:v>
                </c:pt>
                <c:pt idx="562">
                  <c:v>96.9</c:v>
                </c:pt>
                <c:pt idx="563">
                  <c:v>97</c:v>
                </c:pt>
                <c:pt idx="564">
                  <c:v>97.1</c:v>
                </c:pt>
                <c:pt idx="565">
                  <c:v>95</c:v>
                </c:pt>
                <c:pt idx="566">
                  <c:v>93.4</c:v>
                </c:pt>
                <c:pt idx="567">
                  <c:v>96.8</c:v>
                </c:pt>
                <c:pt idx="568">
                  <c:v>95.1</c:v>
                </c:pt>
                <c:pt idx="569">
                  <c:v>100.7</c:v>
                </c:pt>
                <c:pt idx="570">
                  <c:v>98.5</c:v>
                </c:pt>
                <c:pt idx="571">
                  <c:v>95.9</c:v>
                </c:pt>
                <c:pt idx="572">
                  <c:v>95.7</c:v>
                </c:pt>
                <c:pt idx="573">
                  <c:v>99.7</c:v>
                </c:pt>
                <c:pt idx="574">
                  <c:v>101.4</c:v>
                </c:pt>
                <c:pt idx="575">
                  <c:v>98.8</c:v>
                </c:pt>
                <c:pt idx="576">
                  <c:v>98</c:v>
                </c:pt>
                <c:pt idx="577">
                  <c:v>98.2</c:v>
                </c:pt>
                <c:pt idx="578">
                  <c:v>97.9</c:v>
                </c:pt>
                <c:pt idx="579">
                  <c:v>96.2</c:v>
                </c:pt>
                <c:pt idx="580">
                  <c:v>100.1</c:v>
                </c:pt>
                <c:pt idx="581">
                  <c:v>98.6</c:v>
                </c:pt>
                <c:pt idx="582">
                  <c:v>97.5</c:v>
                </c:pt>
                <c:pt idx="583">
                  <c:v>98.3</c:v>
                </c:pt>
                <c:pt idx="584">
                  <c:v>91.2</c:v>
                </c:pt>
                <c:pt idx="585">
                  <c:v>93.8</c:v>
                </c:pt>
                <c:pt idx="586">
                  <c:v>98.4</c:v>
                </c:pt>
                <c:pt idx="587">
                  <c:v>97.2</c:v>
                </c:pt>
                <c:pt idx="588">
                  <c:v>100</c:v>
                </c:pt>
                <c:pt idx="589">
                  <c:v>98.2</c:v>
                </c:pt>
                <c:pt idx="590">
                  <c:v>98.4</c:v>
                </c:pt>
                <c:pt idx="591">
                  <c:v>89.8</c:v>
                </c:pt>
                <c:pt idx="592">
                  <c:v>93.2</c:v>
                </c:pt>
                <c:pt idx="593">
                  <c:v>95.5</c:v>
                </c:pt>
                <c:pt idx="594">
                  <c:v>96.8</c:v>
                </c:pt>
                <c:pt idx="595">
                  <c:v>99.3</c:v>
                </c:pt>
                <c:pt idx="596">
                  <c:v>99.8</c:v>
                </c:pt>
                <c:pt idx="597">
                  <c:v>101</c:v>
                </c:pt>
                <c:pt idx="598">
                  <c:v>89.1</c:v>
                </c:pt>
                <c:pt idx="599">
                  <c:v>71.8</c:v>
                </c:pt>
                <c:pt idx="600">
                  <c:v>72.3</c:v>
                </c:pt>
                <c:pt idx="601">
                  <c:v>78.099999999999994</c:v>
                </c:pt>
                <c:pt idx="602">
                  <c:v>72.5</c:v>
                </c:pt>
                <c:pt idx="603">
                  <c:v>74.099999999999994</c:v>
                </c:pt>
                <c:pt idx="604">
                  <c:v>80.400000000000006</c:v>
                </c:pt>
                <c:pt idx="605">
                  <c:v>81.8</c:v>
                </c:pt>
                <c:pt idx="606">
                  <c:v>76.900000000000006</c:v>
                </c:pt>
                <c:pt idx="607">
                  <c:v>80.7</c:v>
                </c:pt>
                <c:pt idx="608">
                  <c:v>79</c:v>
                </c:pt>
                <c:pt idx="609">
                  <c:v>76.8</c:v>
                </c:pt>
                <c:pt idx="610">
                  <c:v>84.9</c:v>
                </c:pt>
                <c:pt idx="611">
                  <c:v>88.3</c:v>
                </c:pt>
                <c:pt idx="612">
                  <c:v>82.9</c:v>
                </c:pt>
                <c:pt idx="613">
                  <c:v>85.5</c:v>
                </c:pt>
                <c:pt idx="614">
                  <c:v>81.2</c:v>
                </c:pt>
                <c:pt idx="615">
                  <c:v>70.3</c:v>
                </c:pt>
                <c:pt idx="616">
                  <c:v>72.8</c:v>
                </c:pt>
                <c:pt idx="617">
                  <c:v>71.7</c:v>
                </c:pt>
                <c:pt idx="618">
                  <c:v>67.400000000000006</c:v>
                </c:pt>
                <c:pt idx="619">
                  <c:v>70.599999999999994</c:v>
                </c:pt>
                <c:pt idx="620">
                  <c:v>67.2</c:v>
                </c:pt>
                <c:pt idx="621">
                  <c:v>62.8</c:v>
                </c:pt>
                <c:pt idx="622">
                  <c:v>59.4</c:v>
                </c:pt>
                <c:pt idx="623">
                  <c:v>65.2</c:v>
                </c:pt>
                <c:pt idx="624">
                  <c:v>58.4</c:v>
                </c:pt>
                <c:pt idx="625">
                  <c:v>50</c:v>
                </c:pt>
                <c:pt idx="626">
                  <c:v>51.5</c:v>
                </c:pt>
                <c:pt idx="627">
                  <c:v>58.2</c:v>
                </c:pt>
                <c:pt idx="628">
                  <c:v>58.6</c:v>
                </c:pt>
                <c:pt idx="629">
                  <c:v>59.9</c:v>
                </c:pt>
                <c:pt idx="630">
                  <c:v>56.7</c:v>
                </c:pt>
                <c:pt idx="631">
                  <c:v>59.8</c:v>
                </c:pt>
                <c:pt idx="632">
                  <c:v>64.900000000000006</c:v>
                </c:pt>
                <c:pt idx="633">
                  <c:v>66.900000000000006</c:v>
                </c:pt>
                <c:pt idx="634">
                  <c:v>62</c:v>
                </c:pt>
                <c:pt idx="635">
                  <c:v>63.7</c:v>
                </c:pt>
                <c:pt idx="636">
                  <c:v>59</c:v>
                </c:pt>
                <c:pt idx="637">
                  <c:v>64.2</c:v>
                </c:pt>
                <c:pt idx="638">
                  <c:v>71.5</c:v>
                </c:pt>
                <c:pt idx="639">
                  <c:v>69.400000000000006</c:v>
                </c:pt>
                <c:pt idx="640">
                  <c:v>67.8</c:v>
                </c:pt>
                <c:pt idx="641">
                  <c:v>63.8</c:v>
                </c:pt>
                <c:pt idx="642">
                  <c:v>61.3</c:v>
                </c:pt>
                <c:pt idx="643">
                  <c:v>69.7</c:v>
                </c:pt>
                <c:pt idx="644">
                  <c:v>79</c:v>
                </c:pt>
                <c:pt idx="645">
                  <c:v>76.900000000000006</c:v>
                </c:pt>
                <c:pt idx="646">
                  <c:v>79.400000000000006</c:v>
                </c:pt>
                <c:pt idx="647">
                  <c:v>77.2</c:v>
                </c:pt>
                <c:pt idx="648">
                  <c:v>69.099999999999994</c:v>
                </c:pt>
                <c:pt idx="649">
                  <c:v>68.2</c:v>
                </c:pt>
                <c:pt idx="650">
                  <c:v>66.400000000000006</c:v>
                </c:pt>
                <c:pt idx="651">
                  <c:v>67.900000000000006</c:v>
                </c:pt>
                <c:pt idx="652">
                  <c:v>70.099999999999994</c:v>
                </c:pt>
                <c:pt idx="653">
                  <c:v>70.5</c:v>
                </c:pt>
                <c:pt idx="654">
                  <c:v>71.8</c:v>
                </c:pt>
                <c:pt idx="655">
                  <c:v>74</c:v>
                </c:pt>
                <c:pt idx="656">
                  <c:v>71.7</c:v>
                </c:pt>
                <c:pt idx="657">
                  <c:v>64.7</c:v>
                </c:pt>
                <c:pt idx="658">
                  <c:v>57</c:v>
                </c:pt>
                <c:pt idx="659">
                  <c:v>52.2</c:v>
                </c:pt>
                <c:pt idx="660">
                  <c:v>52.2</c:v>
                </c:pt>
                <c:pt idx="661">
                  <c:v>60.7</c:v>
                </c:pt>
                <c:pt idx="662">
                  <c:v>61.7</c:v>
                </c:pt>
                <c:pt idx="663">
                  <c:v>58.2</c:v>
                </c:pt>
                <c:pt idx="664">
                  <c:v>55.1</c:v>
                </c:pt>
                <c:pt idx="665">
                  <c:v>53.6</c:v>
                </c:pt>
                <c:pt idx="666">
                  <c:v>51</c:v>
                </c:pt>
                <c:pt idx="667">
                  <c:v>52.9</c:v>
                </c:pt>
                <c:pt idx="668">
                  <c:v>56.4</c:v>
                </c:pt>
                <c:pt idx="669">
                  <c:v>56.6</c:v>
                </c:pt>
                <c:pt idx="670">
                  <c:v>53.3</c:v>
                </c:pt>
                <c:pt idx="671">
                  <c:v>49.8</c:v>
                </c:pt>
                <c:pt idx="672">
                  <c:v>44.8</c:v>
                </c:pt>
                <c:pt idx="673">
                  <c:v>49.5</c:v>
                </c:pt>
                <c:pt idx="674">
                  <c:v>55.2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CD7-4A31-BB7F-519EE08012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42162624"/>
        <c:axId val="645007"/>
      </c:lineChart>
      <c:dateAx>
        <c:axId val="1242162624"/>
        <c:scaling>
          <c:orientation val="minMax"/>
        </c:scaling>
        <c:delete val="0"/>
        <c:axPos val="b"/>
        <c:numFmt formatCode="yy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595959"/>
                </a:solidFill>
                <a:latin typeface="Aptos Narrow"/>
                <a:ea typeface="Aptos Narrow"/>
                <a:cs typeface="Aptos Narrow"/>
              </a:defRPr>
            </a:pPr>
            <a:endParaRPr lang="en-US"/>
          </a:p>
        </c:txPr>
        <c:crossAx val="645007"/>
        <c:crosses val="autoZero"/>
        <c:auto val="0"/>
        <c:lblOffset val="100"/>
        <c:baseTimeUnit val="months"/>
      </c:dateAx>
      <c:valAx>
        <c:axId val="645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D9D9D9"/>
              </a:solidFill>
              <a:prstDash val="solid"/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595959"/>
                </a:solidFill>
                <a:latin typeface="Aptos Narrow"/>
                <a:ea typeface="Aptos Narrow"/>
                <a:cs typeface="Aptos Narrow"/>
              </a:defRPr>
            </a:pPr>
            <a:endParaRPr lang="en-US"/>
          </a:p>
        </c:txPr>
        <c:crossAx val="1242162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rgbClr val="D9D9D9"/>
      </a:solidFill>
      <a:prstDash val="solid"/>
      <a:round/>
    </a:ln>
    <a:effectLst/>
  </c:spPr>
  <c:txPr>
    <a:bodyPr/>
    <a:lstStyle/>
    <a:p>
      <a:pPr>
        <a:defRPr sz="900">
          <a:solidFill>
            <a:srgbClr val="595959"/>
          </a:solidFill>
          <a:latin typeface="Aptos Narrow"/>
          <a:ea typeface="Aptos Narrow"/>
          <a:cs typeface="Aptos Narrow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1F4E79"/>
                </a:solidFill>
                <a:latin typeface="Aptos Narrow"/>
                <a:ea typeface="Aptos Narrow"/>
                <a:cs typeface="Aptos Narrow"/>
              </a:defRPr>
            </a:pPr>
            <a:r>
              <a:rPr lang="en-US"/>
              <a:t>UMCSI — Chg MoM (pts) (bars) vs level (line, rhs)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1F4E79"/>
              </a:solidFill>
              <a:latin typeface="Aptos Narrow"/>
              <a:ea typeface="Aptos Narrow"/>
              <a:cs typeface="Aptos Narrow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UMCSI!$I$12</c:f>
              <c:strCache>
                <c:ptCount val="1"/>
                <c:pt idx="0">
                  <c:v>Frequency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UMCSI!$H$13:$H$24</c:f>
              <c:numCache>
                <c:formatCode>0.0000</c:formatCode>
                <c:ptCount val="12"/>
                <c:pt idx="0">
                  <c:v>-14.416666666666664</c:v>
                </c:pt>
                <c:pt idx="1">
                  <c:v>-11.533333333333331</c:v>
                </c:pt>
                <c:pt idx="2">
                  <c:v>-8.6499999999999986</c:v>
                </c:pt>
                <c:pt idx="3">
                  <c:v>-5.7666666666666657</c:v>
                </c:pt>
                <c:pt idx="4">
                  <c:v>-2.8833333333333329</c:v>
                </c:pt>
                <c:pt idx="5">
                  <c:v>0</c:v>
                </c:pt>
                <c:pt idx="6">
                  <c:v>2.8833333333333329</c:v>
                </c:pt>
                <c:pt idx="7">
                  <c:v>5.7666666666666657</c:v>
                </c:pt>
                <c:pt idx="8">
                  <c:v>8.6499999999999986</c:v>
                </c:pt>
                <c:pt idx="9">
                  <c:v>11.533333333333331</c:v>
                </c:pt>
                <c:pt idx="10">
                  <c:v>14.416666666666664</c:v>
                </c:pt>
                <c:pt idx="11">
                  <c:v>17.299999999999997</c:v>
                </c:pt>
              </c:numCache>
            </c:numRef>
          </c:cat>
          <c:val>
            <c:numRef>
              <c:f>UMCSI!$I$13:$I$24</c:f>
              <c:numCache>
                <c:formatCode>#,##0</c:formatCode>
                <c:ptCount val="12"/>
                <c:pt idx="0">
                  <c:v>2</c:v>
                </c:pt>
                <c:pt idx="1">
                  <c:v>5</c:v>
                </c:pt>
                <c:pt idx="2">
                  <c:v>13</c:v>
                </c:pt>
                <c:pt idx="3">
                  <c:v>28</c:v>
                </c:pt>
                <c:pt idx="4">
                  <c:v>101</c:v>
                </c:pt>
                <c:pt idx="5">
                  <c:v>199</c:v>
                </c:pt>
                <c:pt idx="6">
                  <c:v>170</c:v>
                </c:pt>
                <c:pt idx="7">
                  <c:v>101</c:v>
                </c:pt>
                <c:pt idx="8">
                  <c:v>43</c:v>
                </c:pt>
                <c:pt idx="9">
                  <c:v>9</c:v>
                </c:pt>
                <c:pt idx="10">
                  <c:v>1</c:v>
                </c:pt>
                <c:pt idx="1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3AD-493B-9D67-2D3BA8CE33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42161696"/>
        <c:axId val="1246802832"/>
      </c:barChart>
      <c:catAx>
        <c:axId val="1242161696"/>
        <c:scaling>
          <c:orientation val="minMax"/>
        </c:scaling>
        <c:delete val="0"/>
        <c:axPos val="b"/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595959"/>
                </a:solidFill>
                <a:latin typeface="Aptos Narrow"/>
                <a:ea typeface="Aptos Narrow"/>
                <a:cs typeface="Aptos Narrow"/>
              </a:defRPr>
            </a:pPr>
            <a:endParaRPr lang="en-US"/>
          </a:p>
        </c:txPr>
        <c:crossAx val="1246802832"/>
        <c:crosses val="autoZero"/>
        <c:auto val="1"/>
        <c:lblAlgn val="ctr"/>
        <c:lblOffset val="100"/>
        <c:noMultiLvlLbl val="1"/>
      </c:catAx>
      <c:valAx>
        <c:axId val="1246802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D9D9D9"/>
              </a:solidFill>
              <a:prstDash val="solid"/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595959"/>
                </a:solidFill>
                <a:latin typeface="Aptos Narrow"/>
                <a:ea typeface="Aptos Narrow"/>
                <a:cs typeface="Aptos Narrow"/>
              </a:defRPr>
            </a:pPr>
            <a:endParaRPr lang="en-US"/>
          </a:p>
        </c:txPr>
        <c:crossAx val="1242161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595959"/>
              </a:solidFill>
              <a:latin typeface="Aptos Narrow"/>
              <a:ea typeface="Aptos Narrow"/>
              <a:cs typeface="Aptos Narrow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rgbClr val="D9D9D9"/>
      </a:solidFill>
      <a:prstDash val="solid"/>
      <a:round/>
    </a:ln>
    <a:effectLst/>
  </c:spPr>
  <c:txPr>
    <a:bodyPr/>
    <a:lstStyle/>
    <a:p>
      <a:pPr>
        <a:defRPr sz="900">
          <a:solidFill>
            <a:srgbClr val="595959"/>
          </a:solidFill>
          <a:latin typeface="Aptos Narrow"/>
          <a:ea typeface="Aptos Narrow"/>
          <a:cs typeface="Aptos Narrow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1F4E79"/>
                </a:solidFill>
                <a:latin typeface="Aptos Narrow"/>
                <a:ea typeface="Aptos Narrow"/>
                <a:cs typeface="Aptos Narrow"/>
              </a:defRPr>
            </a:pPr>
            <a:r>
              <a:rPr lang="en-US"/>
              <a:t>UMCSI — distribution of Chg MoM (pts) (histogram)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1F4E79"/>
              </a:solidFill>
              <a:latin typeface="Aptos Narrow"/>
              <a:ea typeface="Aptos Narrow"/>
              <a:cs typeface="Aptos Narrow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UMCSI!$V$8</c:f>
              <c:strCache>
                <c:ptCount val="1"/>
                <c:pt idx="0">
                  <c:v>Actual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UMCSI!$U$9:$U$11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cat>
          <c:val>
            <c:numRef>
              <c:f>UMCSI!$V$9:$V$11</c:f>
              <c:numCache>
                <c:formatCode>0.0%</c:formatCode>
                <c:ptCount val="3"/>
                <c:pt idx="0">
                  <c:v>0.70623145400593468</c:v>
                </c:pt>
                <c:pt idx="1">
                  <c:v>0.94955489614243327</c:v>
                </c:pt>
                <c:pt idx="2">
                  <c:v>0.99406528189910981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836-4AC2-8061-6067BADAE3E9}"/>
            </c:ext>
          </c:extLst>
        </c:ser>
        <c:ser>
          <c:idx val="1"/>
          <c:order val="1"/>
          <c:tx>
            <c:strRef>
              <c:f>UMCSI!$W$8</c:f>
              <c:strCache>
                <c:ptCount val="1"/>
                <c:pt idx="0">
                  <c:v>Normal %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UMCSI!$U$9:$U$11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cat>
          <c:val>
            <c:numRef>
              <c:f>UMCSI!$W$9:$W$11</c:f>
              <c:numCache>
                <c:formatCode>0.0%</c:formatCode>
                <c:ptCount val="3"/>
                <c:pt idx="0">
                  <c:v>0.68200000000000005</c:v>
                </c:pt>
                <c:pt idx="1">
                  <c:v>0.95399999999999996</c:v>
                </c:pt>
                <c:pt idx="2">
                  <c:v>0.997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1D-47E4-AB13-35FBD3F4DA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"/>
        <c:overlap val="-27"/>
        <c:axId val="1242159840"/>
        <c:axId val="1246810512"/>
      </c:barChart>
      <c:catAx>
        <c:axId val="1242159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595959"/>
                </a:solidFill>
                <a:latin typeface="Aptos Narrow"/>
                <a:ea typeface="Aptos Narrow"/>
                <a:cs typeface="Aptos Narrow"/>
              </a:defRPr>
            </a:pPr>
            <a:endParaRPr lang="en-US"/>
          </a:p>
        </c:txPr>
        <c:crossAx val="1246810512"/>
        <c:crosses val="autoZero"/>
        <c:auto val="1"/>
        <c:lblAlgn val="ctr"/>
        <c:lblOffset val="100"/>
        <c:noMultiLvlLbl val="0"/>
      </c:catAx>
      <c:valAx>
        <c:axId val="1246810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D9D9D9"/>
              </a:solidFill>
              <a:prstDash val="solid"/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595959"/>
                </a:solidFill>
                <a:latin typeface="Aptos Narrow"/>
                <a:ea typeface="Aptos Narrow"/>
                <a:cs typeface="Aptos Narrow"/>
              </a:defRPr>
            </a:pPr>
            <a:endParaRPr lang="en-US"/>
          </a:p>
        </c:txPr>
        <c:crossAx val="1242159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595959"/>
              </a:solidFill>
              <a:latin typeface="Aptos Narrow"/>
              <a:ea typeface="Aptos Narrow"/>
              <a:cs typeface="Aptos Narrow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rgbClr val="D9D9D9"/>
      </a:solidFill>
      <a:prstDash val="solid"/>
      <a:round/>
    </a:ln>
    <a:effectLst/>
  </c:spPr>
  <c:txPr>
    <a:bodyPr/>
    <a:lstStyle/>
    <a:p>
      <a:pPr>
        <a:defRPr sz="900">
          <a:solidFill>
            <a:srgbClr val="595959"/>
          </a:solidFill>
          <a:latin typeface="Aptos Narrow"/>
          <a:ea typeface="Aptos Narrow"/>
          <a:cs typeface="Aptos Narrow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1F4E79"/>
                </a:solidFill>
                <a:latin typeface="Aptos Narrow"/>
                <a:ea typeface="Aptos Narrow"/>
                <a:cs typeface="Aptos Narrow"/>
              </a:defRPr>
            </a:pPr>
            <a:r>
              <a:rPr lang="en-US"/>
              <a:t>Chicago Fed National Activity Index — level, 1967–present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1F4E79"/>
              </a:solidFill>
              <a:latin typeface="Aptos Narrow"/>
              <a:ea typeface="Aptos Narrow"/>
              <a:cs typeface="Aptos Narrow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CHIPMI!$B$4</c:f>
              <c:strCache>
                <c:ptCount val="1"/>
                <c:pt idx="0">
                  <c:v>Value</c:v>
                </c:pt>
              </c:strCache>
            </c:strRef>
          </c:tx>
          <c:spPr>
            <a:ln w="25400" cap="rnd">
              <a:solidFill>
                <a:srgbClr val="1F4E79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CHIPMI!$A$5:$A$716</c:f>
              <c:numCache>
                <c:formatCode>yyyy/mm/dd</c:formatCode>
                <c:ptCount val="712"/>
                <c:pt idx="0">
                  <c:v>24532</c:v>
                </c:pt>
                <c:pt idx="1">
                  <c:v>24563</c:v>
                </c:pt>
                <c:pt idx="2">
                  <c:v>24593</c:v>
                </c:pt>
                <c:pt idx="3">
                  <c:v>24624</c:v>
                </c:pt>
                <c:pt idx="4">
                  <c:v>24654</c:v>
                </c:pt>
                <c:pt idx="5">
                  <c:v>24685</c:v>
                </c:pt>
                <c:pt idx="6">
                  <c:v>24716</c:v>
                </c:pt>
                <c:pt idx="7">
                  <c:v>24746</c:v>
                </c:pt>
                <c:pt idx="8">
                  <c:v>24777</c:v>
                </c:pt>
                <c:pt idx="9">
                  <c:v>24807</c:v>
                </c:pt>
                <c:pt idx="10">
                  <c:v>24838</c:v>
                </c:pt>
                <c:pt idx="11">
                  <c:v>24869</c:v>
                </c:pt>
                <c:pt idx="12">
                  <c:v>24898</c:v>
                </c:pt>
                <c:pt idx="13">
                  <c:v>24929</c:v>
                </c:pt>
                <c:pt idx="14">
                  <c:v>24959</c:v>
                </c:pt>
                <c:pt idx="15">
                  <c:v>24990</c:v>
                </c:pt>
                <c:pt idx="16">
                  <c:v>25020</c:v>
                </c:pt>
                <c:pt idx="17">
                  <c:v>25051</c:v>
                </c:pt>
                <c:pt idx="18">
                  <c:v>25082</c:v>
                </c:pt>
                <c:pt idx="19">
                  <c:v>25112</c:v>
                </c:pt>
                <c:pt idx="20">
                  <c:v>25143</c:v>
                </c:pt>
                <c:pt idx="21">
                  <c:v>25173</c:v>
                </c:pt>
                <c:pt idx="22">
                  <c:v>25204</c:v>
                </c:pt>
                <c:pt idx="23">
                  <c:v>25235</c:v>
                </c:pt>
                <c:pt idx="24">
                  <c:v>25263</c:v>
                </c:pt>
                <c:pt idx="25">
                  <c:v>25294</c:v>
                </c:pt>
                <c:pt idx="26">
                  <c:v>25324</c:v>
                </c:pt>
                <c:pt idx="27">
                  <c:v>25355</c:v>
                </c:pt>
                <c:pt idx="28">
                  <c:v>25385</c:v>
                </c:pt>
                <c:pt idx="29">
                  <c:v>25416</c:v>
                </c:pt>
                <c:pt idx="30">
                  <c:v>25447</c:v>
                </c:pt>
                <c:pt idx="31">
                  <c:v>25477</c:v>
                </c:pt>
                <c:pt idx="32">
                  <c:v>25508</c:v>
                </c:pt>
                <c:pt idx="33">
                  <c:v>25538</c:v>
                </c:pt>
                <c:pt idx="34">
                  <c:v>25569</c:v>
                </c:pt>
                <c:pt idx="35">
                  <c:v>25600</c:v>
                </c:pt>
                <c:pt idx="36">
                  <c:v>25628</c:v>
                </c:pt>
                <c:pt idx="37">
                  <c:v>25659</c:v>
                </c:pt>
                <c:pt idx="38">
                  <c:v>25689</c:v>
                </c:pt>
                <c:pt idx="39">
                  <c:v>25720</c:v>
                </c:pt>
                <c:pt idx="40">
                  <c:v>25750</c:v>
                </c:pt>
                <c:pt idx="41">
                  <c:v>25781</c:v>
                </c:pt>
                <c:pt idx="42">
                  <c:v>25812</c:v>
                </c:pt>
                <c:pt idx="43">
                  <c:v>25842</c:v>
                </c:pt>
                <c:pt idx="44">
                  <c:v>25873</c:v>
                </c:pt>
                <c:pt idx="45">
                  <c:v>25903</c:v>
                </c:pt>
                <c:pt idx="46">
                  <c:v>25934</c:v>
                </c:pt>
                <c:pt idx="47">
                  <c:v>25965</c:v>
                </c:pt>
                <c:pt idx="48">
                  <c:v>25993</c:v>
                </c:pt>
                <c:pt idx="49">
                  <c:v>26024</c:v>
                </c:pt>
                <c:pt idx="50">
                  <c:v>26054</c:v>
                </c:pt>
                <c:pt idx="51">
                  <c:v>26085</c:v>
                </c:pt>
                <c:pt idx="52">
                  <c:v>26115</c:v>
                </c:pt>
                <c:pt idx="53">
                  <c:v>26146</c:v>
                </c:pt>
                <c:pt idx="54">
                  <c:v>26177</c:v>
                </c:pt>
                <c:pt idx="55">
                  <c:v>26207</c:v>
                </c:pt>
                <c:pt idx="56">
                  <c:v>26238</c:v>
                </c:pt>
                <c:pt idx="57">
                  <c:v>26268</c:v>
                </c:pt>
                <c:pt idx="58">
                  <c:v>26299</c:v>
                </c:pt>
                <c:pt idx="59">
                  <c:v>26330</c:v>
                </c:pt>
                <c:pt idx="60">
                  <c:v>26359</c:v>
                </c:pt>
                <c:pt idx="61">
                  <c:v>26390</c:v>
                </c:pt>
                <c:pt idx="62">
                  <c:v>26420</c:v>
                </c:pt>
                <c:pt idx="63">
                  <c:v>26451</c:v>
                </c:pt>
                <c:pt idx="64">
                  <c:v>26481</c:v>
                </c:pt>
                <c:pt idx="65">
                  <c:v>26512</c:v>
                </c:pt>
                <c:pt idx="66">
                  <c:v>26543</c:v>
                </c:pt>
                <c:pt idx="67">
                  <c:v>26573</c:v>
                </c:pt>
                <c:pt idx="68">
                  <c:v>26604</c:v>
                </c:pt>
                <c:pt idx="69">
                  <c:v>26634</c:v>
                </c:pt>
                <c:pt idx="70">
                  <c:v>26665</c:v>
                </c:pt>
                <c:pt idx="71">
                  <c:v>26696</c:v>
                </c:pt>
                <c:pt idx="72">
                  <c:v>26724</c:v>
                </c:pt>
                <c:pt idx="73">
                  <c:v>26755</c:v>
                </c:pt>
                <c:pt idx="74">
                  <c:v>26785</c:v>
                </c:pt>
                <c:pt idx="75">
                  <c:v>26816</c:v>
                </c:pt>
                <c:pt idx="76">
                  <c:v>26846</c:v>
                </c:pt>
                <c:pt idx="77">
                  <c:v>26877</c:v>
                </c:pt>
                <c:pt idx="78">
                  <c:v>26908</c:v>
                </c:pt>
                <c:pt idx="79">
                  <c:v>26938</c:v>
                </c:pt>
                <c:pt idx="80">
                  <c:v>26969</c:v>
                </c:pt>
                <c:pt idx="81">
                  <c:v>26999</c:v>
                </c:pt>
                <c:pt idx="82">
                  <c:v>27030</c:v>
                </c:pt>
                <c:pt idx="83">
                  <c:v>27061</c:v>
                </c:pt>
                <c:pt idx="84">
                  <c:v>27089</c:v>
                </c:pt>
                <c:pt idx="85">
                  <c:v>27120</c:v>
                </c:pt>
                <c:pt idx="86">
                  <c:v>27150</c:v>
                </c:pt>
                <c:pt idx="87">
                  <c:v>27181</c:v>
                </c:pt>
                <c:pt idx="88">
                  <c:v>27211</c:v>
                </c:pt>
                <c:pt idx="89">
                  <c:v>27242</c:v>
                </c:pt>
                <c:pt idx="90">
                  <c:v>27273</c:v>
                </c:pt>
                <c:pt idx="91">
                  <c:v>27303</c:v>
                </c:pt>
                <c:pt idx="92">
                  <c:v>27334</c:v>
                </c:pt>
                <c:pt idx="93">
                  <c:v>27364</c:v>
                </c:pt>
                <c:pt idx="94">
                  <c:v>27395</c:v>
                </c:pt>
                <c:pt idx="95">
                  <c:v>27426</c:v>
                </c:pt>
                <c:pt idx="96">
                  <c:v>27454</c:v>
                </c:pt>
                <c:pt idx="97">
                  <c:v>27485</c:v>
                </c:pt>
                <c:pt idx="98">
                  <c:v>27515</c:v>
                </c:pt>
                <c:pt idx="99">
                  <c:v>27546</c:v>
                </c:pt>
                <c:pt idx="100">
                  <c:v>27576</c:v>
                </c:pt>
                <c:pt idx="101">
                  <c:v>27607</c:v>
                </c:pt>
                <c:pt idx="102">
                  <c:v>27638</c:v>
                </c:pt>
                <c:pt idx="103">
                  <c:v>27668</c:v>
                </c:pt>
                <c:pt idx="104">
                  <c:v>27699</c:v>
                </c:pt>
                <c:pt idx="105">
                  <c:v>27729</c:v>
                </c:pt>
                <c:pt idx="106">
                  <c:v>27760</c:v>
                </c:pt>
                <c:pt idx="107">
                  <c:v>27791</c:v>
                </c:pt>
                <c:pt idx="108">
                  <c:v>27820</c:v>
                </c:pt>
                <c:pt idx="109">
                  <c:v>27851</c:v>
                </c:pt>
                <c:pt idx="110">
                  <c:v>27881</c:v>
                </c:pt>
                <c:pt idx="111">
                  <c:v>27912</c:v>
                </c:pt>
                <c:pt idx="112">
                  <c:v>27942</c:v>
                </c:pt>
                <c:pt idx="113">
                  <c:v>27973</c:v>
                </c:pt>
                <c:pt idx="114">
                  <c:v>28004</c:v>
                </c:pt>
                <c:pt idx="115">
                  <c:v>28034</c:v>
                </c:pt>
                <c:pt idx="116">
                  <c:v>28065</c:v>
                </c:pt>
                <c:pt idx="117">
                  <c:v>28095</c:v>
                </c:pt>
                <c:pt idx="118">
                  <c:v>28126</c:v>
                </c:pt>
                <c:pt idx="119">
                  <c:v>28157</c:v>
                </c:pt>
                <c:pt idx="120">
                  <c:v>28185</c:v>
                </c:pt>
                <c:pt idx="121">
                  <c:v>28216</c:v>
                </c:pt>
                <c:pt idx="122">
                  <c:v>28246</c:v>
                </c:pt>
                <c:pt idx="123">
                  <c:v>28277</c:v>
                </c:pt>
                <c:pt idx="124">
                  <c:v>28307</c:v>
                </c:pt>
                <c:pt idx="125">
                  <c:v>28338</c:v>
                </c:pt>
                <c:pt idx="126">
                  <c:v>28369</c:v>
                </c:pt>
                <c:pt idx="127">
                  <c:v>28399</c:v>
                </c:pt>
                <c:pt idx="128">
                  <c:v>28430</c:v>
                </c:pt>
                <c:pt idx="129">
                  <c:v>28460</c:v>
                </c:pt>
                <c:pt idx="130">
                  <c:v>28491</c:v>
                </c:pt>
                <c:pt idx="131">
                  <c:v>28522</c:v>
                </c:pt>
                <c:pt idx="132">
                  <c:v>28550</c:v>
                </c:pt>
                <c:pt idx="133">
                  <c:v>28581</c:v>
                </c:pt>
                <c:pt idx="134">
                  <c:v>28611</c:v>
                </c:pt>
                <c:pt idx="135">
                  <c:v>28642</c:v>
                </c:pt>
                <c:pt idx="136">
                  <c:v>28672</c:v>
                </c:pt>
                <c:pt idx="137">
                  <c:v>28703</c:v>
                </c:pt>
                <c:pt idx="138">
                  <c:v>28734</c:v>
                </c:pt>
                <c:pt idx="139">
                  <c:v>28764</c:v>
                </c:pt>
                <c:pt idx="140">
                  <c:v>28795</c:v>
                </c:pt>
                <c:pt idx="141">
                  <c:v>28825</c:v>
                </c:pt>
                <c:pt idx="142">
                  <c:v>28856</c:v>
                </c:pt>
                <c:pt idx="143">
                  <c:v>28887</c:v>
                </c:pt>
                <c:pt idx="144">
                  <c:v>28915</c:v>
                </c:pt>
                <c:pt idx="145">
                  <c:v>28946</c:v>
                </c:pt>
                <c:pt idx="146">
                  <c:v>28976</c:v>
                </c:pt>
                <c:pt idx="147">
                  <c:v>29007</c:v>
                </c:pt>
                <c:pt idx="148">
                  <c:v>29037</c:v>
                </c:pt>
                <c:pt idx="149">
                  <c:v>29068</c:v>
                </c:pt>
                <c:pt idx="150">
                  <c:v>29099</c:v>
                </c:pt>
                <c:pt idx="151">
                  <c:v>29129</c:v>
                </c:pt>
                <c:pt idx="152">
                  <c:v>29160</c:v>
                </c:pt>
                <c:pt idx="153">
                  <c:v>29190</c:v>
                </c:pt>
                <c:pt idx="154">
                  <c:v>29221</c:v>
                </c:pt>
                <c:pt idx="155">
                  <c:v>29252</c:v>
                </c:pt>
                <c:pt idx="156">
                  <c:v>29281</c:v>
                </c:pt>
                <c:pt idx="157">
                  <c:v>29312</c:v>
                </c:pt>
                <c:pt idx="158">
                  <c:v>29342</c:v>
                </c:pt>
                <c:pt idx="159">
                  <c:v>29373</c:v>
                </c:pt>
                <c:pt idx="160">
                  <c:v>29403</c:v>
                </c:pt>
                <c:pt idx="161">
                  <c:v>29434</c:v>
                </c:pt>
                <c:pt idx="162">
                  <c:v>29465</c:v>
                </c:pt>
                <c:pt idx="163">
                  <c:v>29495</c:v>
                </c:pt>
                <c:pt idx="164">
                  <c:v>29526</c:v>
                </c:pt>
                <c:pt idx="165">
                  <c:v>29556</c:v>
                </c:pt>
                <c:pt idx="166">
                  <c:v>29587</c:v>
                </c:pt>
                <c:pt idx="167">
                  <c:v>29618</c:v>
                </c:pt>
                <c:pt idx="168">
                  <c:v>29646</c:v>
                </c:pt>
                <c:pt idx="169">
                  <c:v>29677</c:v>
                </c:pt>
                <c:pt idx="170">
                  <c:v>29707</c:v>
                </c:pt>
                <c:pt idx="171">
                  <c:v>29738</c:v>
                </c:pt>
                <c:pt idx="172">
                  <c:v>29768</c:v>
                </c:pt>
                <c:pt idx="173">
                  <c:v>29799</c:v>
                </c:pt>
                <c:pt idx="174">
                  <c:v>29830</c:v>
                </c:pt>
                <c:pt idx="175">
                  <c:v>29860</c:v>
                </c:pt>
                <c:pt idx="176">
                  <c:v>29891</c:v>
                </c:pt>
                <c:pt idx="177">
                  <c:v>29921</c:v>
                </c:pt>
                <c:pt idx="178">
                  <c:v>29952</c:v>
                </c:pt>
                <c:pt idx="179">
                  <c:v>29983</c:v>
                </c:pt>
                <c:pt idx="180">
                  <c:v>30011</c:v>
                </c:pt>
                <c:pt idx="181">
                  <c:v>30042</c:v>
                </c:pt>
                <c:pt idx="182">
                  <c:v>30072</c:v>
                </c:pt>
                <c:pt idx="183">
                  <c:v>30103</c:v>
                </c:pt>
                <c:pt idx="184">
                  <c:v>30133</c:v>
                </c:pt>
                <c:pt idx="185">
                  <c:v>30164</c:v>
                </c:pt>
                <c:pt idx="186">
                  <c:v>30195</c:v>
                </c:pt>
                <c:pt idx="187">
                  <c:v>30225</c:v>
                </c:pt>
                <c:pt idx="188">
                  <c:v>30256</c:v>
                </c:pt>
                <c:pt idx="189">
                  <c:v>30286</c:v>
                </c:pt>
                <c:pt idx="190">
                  <c:v>30317</c:v>
                </c:pt>
                <c:pt idx="191">
                  <c:v>30348</c:v>
                </c:pt>
                <c:pt idx="192">
                  <c:v>30376</c:v>
                </c:pt>
                <c:pt idx="193">
                  <c:v>30407</c:v>
                </c:pt>
                <c:pt idx="194">
                  <c:v>30437</c:v>
                </c:pt>
                <c:pt idx="195">
                  <c:v>30468</c:v>
                </c:pt>
                <c:pt idx="196">
                  <c:v>30498</c:v>
                </c:pt>
                <c:pt idx="197">
                  <c:v>30529</c:v>
                </c:pt>
                <c:pt idx="198">
                  <c:v>30560</c:v>
                </c:pt>
                <c:pt idx="199">
                  <c:v>30590</c:v>
                </c:pt>
                <c:pt idx="200">
                  <c:v>30621</c:v>
                </c:pt>
                <c:pt idx="201">
                  <c:v>30651</c:v>
                </c:pt>
                <c:pt idx="202">
                  <c:v>30682</c:v>
                </c:pt>
                <c:pt idx="203">
                  <c:v>30713</c:v>
                </c:pt>
                <c:pt idx="204">
                  <c:v>30742</c:v>
                </c:pt>
                <c:pt idx="205">
                  <c:v>30773</c:v>
                </c:pt>
                <c:pt idx="206">
                  <c:v>30803</c:v>
                </c:pt>
                <c:pt idx="207">
                  <c:v>30834</c:v>
                </c:pt>
                <c:pt idx="208">
                  <c:v>30864</c:v>
                </c:pt>
                <c:pt idx="209">
                  <c:v>30895</c:v>
                </c:pt>
                <c:pt idx="210">
                  <c:v>30926</c:v>
                </c:pt>
                <c:pt idx="211">
                  <c:v>30956</c:v>
                </c:pt>
                <c:pt idx="212">
                  <c:v>30987</c:v>
                </c:pt>
                <c:pt idx="213">
                  <c:v>31017</c:v>
                </c:pt>
                <c:pt idx="214">
                  <c:v>31048</c:v>
                </c:pt>
                <c:pt idx="215">
                  <c:v>31079</c:v>
                </c:pt>
                <c:pt idx="216">
                  <c:v>31107</c:v>
                </c:pt>
                <c:pt idx="217">
                  <c:v>31138</c:v>
                </c:pt>
                <c:pt idx="218">
                  <c:v>31168</c:v>
                </c:pt>
                <c:pt idx="219">
                  <c:v>31199</c:v>
                </c:pt>
                <c:pt idx="220">
                  <c:v>31229</c:v>
                </c:pt>
                <c:pt idx="221">
                  <c:v>31260</c:v>
                </c:pt>
                <c:pt idx="222">
                  <c:v>31291</c:v>
                </c:pt>
                <c:pt idx="223">
                  <c:v>31321</c:v>
                </c:pt>
                <c:pt idx="224">
                  <c:v>31352</c:v>
                </c:pt>
                <c:pt idx="225">
                  <c:v>31382</c:v>
                </c:pt>
                <c:pt idx="226">
                  <c:v>31413</c:v>
                </c:pt>
                <c:pt idx="227">
                  <c:v>31444</c:v>
                </c:pt>
                <c:pt idx="228">
                  <c:v>31472</c:v>
                </c:pt>
                <c:pt idx="229">
                  <c:v>31503</c:v>
                </c:pt>
                <c:pt idx="230">
                  <c:v>31533</c:v>
                </c:pt>
                <c:pt idx="231">
                  <c:v>31564</c:v>
                </c:pt>
                <c:pt idx="232">
                  <c:v>31594</c:v>
                </c:pt>
                <c:pt idx="233">
                  <c:v>31625</c:v>
                </c:pt>
                <c:pt idx="234">
                  <c:v>31656</c:v>
                </c:pt>
                <c:pt idx="235">
                  <c:v>31686</c:v>
                </c:pt>
                <c:pt idx="236">
                  <c:v>31717</c:v>
                </c:pt>
                <c:pt idx="237">
                  <c:v>31747</c:v>
                </c:pt>
                <c:pt idx="238">
                  <c:v>31778</c:v>
                </c:pt>
                <c:pt idx="239">
                  <c:v>31809</c:v>
                </c:pt>
                <c:pt idx="240">
                  <c:v>31837</c:v>
                </c:pt>
                <c:pt idx="241">
                  <c:v>31868</c:v>
                </c:pt>
                <c:pt idx="242">
                  <c:v>31898</c:v>
                </c:pt>
                <c:pt idx="243">
                  <c:v>31929</c:v>
                </c:pt>
                <c:pt idx="244">
                  <c:v>31959</c:v>
                </c:pt>
                <c:pt idx="245">
                  <c:v>31990</c:v>
                </c:pt>
                <c:pt idx="246">
                  <c:v>32021</c:v>
                </c:pt>
                <c:pt idx="247">
                  <c:v>32051</c:v>
                </c:pt>
                <c:pt idx="248">
                  <c:v>32082</c:v>
                </c:pt>
                <c:pt idx="249">
                  <c:v>32112</c:v>
                </c:pt>
                <c:pt idx="250">
                  <c:v>32143</c:v>
                </c:pt>
                <c:pt idx="251">
                  <c:v>32174</c:v>
                </c:pt>
                <c:pt idx="252">
                  <c:v>32203</c:v>
                </c:pt>
                <c:pt idx="253">
                  <c:v>32234</c:v>
                </c:pt>
                <c:pt idx="254">
                  <c:v>32264</c:v>
                </c:pt>
                <c:pt idx="255">
                  <c:v>32295</c:v>
                </c:pt>
                <c:pt idx="256">
                  <c:v>32325</c:v>
                </c:pt>
                <c:pt idx="257">
                  <c:v>32356</c:v>
                </c:pt>
                <c:pt idx="258">
                  <c:v>32387</c:v>
                </c:pt>
                <c:pt idx="259">
                  <c:v>32417</c:v>
                </c:pt>
                <c:pt idx="260">
                  <c:v>32448</c:v>
                </c:pt>
                <c:pt idx="261">
                  <c:v>32478</c:v>
                </c:pt>
                <c:pt idx="262">
                  <c:v>32509</c:v>
                </c:pt>
                <c:pt idx="263">
                  <c:v>32540</c:v>
                </c:pt>
                <c:pt idx="264">
                  <c:v>32568</c:v>
                </c:pt>
                <c:pt idx="265">
                  <c:v>32599</c:v>
                </c:pt>
                <c:pt idx="266">
                  <c:v>32629</c:v>
                </c:pt>
                <c:pt idx="267">
                  <c:v>32660</c:v>
                </c:pt>
                <c:pt idx="268">
                  <c:v>32690</c:v>
                </c:pt>
                <c:pt idx="269">
                  <c:v>32721</c:v>
                </c:pt>
                <c:pt idx="270">
                  <c:v>32752</c:v>
                </c:pt>
                <c:pt idx="271">
                  <c:v>32782</c:v>
                </c:pt>
                <c:pt idx="272">
                  <c:v>32813</c:v>
                </c:pt>
                <c:pt idx="273">
                  <c:v>32843</c:v>
                </c:pt>
                <c:pt idx="274">
                  <c:v>32874</c:v>
                </c:pt>
                <c:pt idx="275">
                  <c:v>32905</c:v>
                </c:pt>
                <c:pt idx="276">
                  <c:v>32933</c:v>
                </c:pt>
                <c:pt idx="277">
                  <c:v>32964</c:v>
                </c:pt>
                <c:pt idx="278">
                  <c:v>32994</c:v>
                </c:pt>
                <c:pt idx="279">
                  <c:v>33025</c:v>
                </c:pt>
                <c:pt idx="280">
                  <c:v>33055</c:v>
                </c:pt>
                <c:pt idx="281">
                  <c:v>33086</c:v>
                </c:pt>
                <c:pt idx="282">
                  <c:v>33117</c:v>
                </c:pt>
                <c:pt idx="283">
                  <c:v>33147</c:v>
                </c:pt>
                <c:pt idx="284">
                  <c:v>33178</c:v>
                </c:pt>
                <c:pt idx="285">
                  <c:v>33208</c:v>
                </c:pt>
                <c:pt idx="286">
                  <c:v>33239</c:v>
                </c:pt>
                <c:pt idx="287">
                  <c:v>33270</c:v>
                </c:pt>
                <c:pt idx="288">
                  <c:v>33298</c:v>
                </c:pt>
                <c:pt idx="289">
                  <c:v>33329</c:v>
                </c:pt>
                <c:pt idx="290">
                  <c:v>33359</c:v>
                </c:pt>
                <c:pt idx="291">
                  <c:v>33390</c:v>
                </c:pt>
                <c:pt idx="292">
                  <c:v>33420</c:v>
                </c:pt>
                <c:pt idx="293">
                  <c:v>33451</c:v>
                </c:pt>
                <c:pt idx="294">
                  <c:v>33482</c:v>
                </c:pt>
                <c:pt idx="295">
                  <c:v>33512</c:v>
                </c:pt>
                <c:pt idx="296">
                  <c:v>33543</c:v>
                </c:pt>
                <c:pt idx="297">
                  <c:v>33573</c:v>
                </c:pt>
                <c:pt idx="298">
                  <c:v>33604</c:v>
                </c:pt>
                <c:pt idx="299">
                  <c:v>33635</c:v>
                </c:pt>
                <c:pt idx="300">
                  <c:v>33664</c:v>
                </c:pt>
                <c:pt idx="301">
                  <c:v>33695</c:v>
                </c:pt>
                <c:pt idx="302">
                  <c:v>33725</c:v>
                </c:pt>
                <c:pt idx="303">
                  <c:v>33756</c:v>
                </c:pt>
                <c:pt idx="304">
                  <c:v>33786</c:v>
                </c:pt>
                <c:pt idx="305">
                  <c:v>33817</c:v>
                </c:pt>
                <c:pt idx="306">
                  <c:v>33848</c:v>
                </c:pt>
                <c:pt idx="307">
                  <c:v>33878</c:v>
                </c:pt>
                <c:pt idx="308">
                  <c:v>33909</c:v>
                </c:pt>
                <c:pt idx="309">
                  <c:v>33939</c:v>
                </c:pt>
                <c:pt idx="310">
                  <c:v>33970</c:v>
                </c:pt>
                <c:pt idx="311">
                  <c:v>34001</c:v>
                </c:pt>
                <c:pt idx="312">
                  <c:v>34029</c:v>
                </c:pt>
                <c:pt idx="313">
                  <c:v>34060</c:v>
                </c:pt>
                <c:pt idx="314">
                  <c:v>34090</c:v>
                </c:pt>
                <c:pt idx="315">
                  <c:v>34121</c:v>
                </c:pt>
                <c:pt idx="316">
                  <c:v>34151</c:v>
                </c:pt>
                <c:pt idx="317">
                  <c:v>34182</c:v>
                </c:pt>
                <c:pt idx="318">
                  <c:v>34213</c:v>
                </c:pt>
                <c:pt idx="319">
                  <c:v>34243</c:v>
                </c:pt>
                <c:pt idx="320">
                  <c:v>34274</c:v>
                </c:pt>
                <c:pt idx="321">
                  <c:v>34304</c:v>
                </c:pt>
                <c:pt idx="322">
                  <c:v>34335</c:v>
                </c:pt>
                <c:pt idx="323">
                  <c:v>34366</c:v>
                </c:pt>
                <c:pt idx="324">
                  <c:v>34394</c:v>
                </c:pt>
                <c:pt idx="325">
                  <c:v>34425</c:v>
                </c:pt>
                <c:pt idx="326">
                  <c:v>34455</c:v>
                </c:pt>
                <c:pt idx="327">
                  <c:v>34486</c:v>
                </c:pt>
                <c:pt idx="328">
                  <c:v>34516</c:v>
                </c:pt>
                <c:pt idx="329">
                  <c:v>34547</c:v>
                </c:pt>
                <c:pt idx="330">
                  <c:v>34578</c:v>
                </c:pt>
                <c:pt idx="331">
                  <c:v>34608</c:v>
                </c:pt>
                <c:pt idx="332">
                  <c:v>34639</c:v>
                </c:pt>
                <c:pt idx="333">
                  <c:v>34669</c:v>
                </c:pt>
                <c:pt idx="334">
                  <c:v>34700</c:v>
                </c:pt>
                <c:pt idx="335">
                  <c:v>34731</c:v>
                </c:pt>
                <c:pt idx="336">
                  <c:v>34759</c:v>
                </c:pt>
                <c:pt idx="337">
                  <c:v>34790</c:v>
                </c:pt>
                <c:pt idx="338">
                  <c:v>34820</c:v>
                </c:pt>
                <c:pt idx="339">
                  <c:v>34851</c:v>
                </c:pt>
                <c:pt idx="340">
                  <c:v>34881</c:v>
                </c:pt>
                <c:pt idx="341">
                  <c:v>34912</c:v>
                </c:pt>
                <c:pt idx="342">
                  <c:v>34943</c:v>
                </c:pt>
                <c:pt idx="343">
                  <c:v>34973</c:v>
                </c:pt>
                <c:pt idx="344">
                  <c:v>35004</c:v>
                </c:pt>
                <c:pt idx="345">
                  <c:v>35034</c:v>
                </c:pt>
                <c:pt idx="346">
                  <c:v>35065</c:v>
                </c:pt>
                <c:pt idx="347">
                  <c:v>35096</c:v>
                </c:pt>
                <c:pt idx="348">
                  <c:v>35125</c:v>
                </c:pt>
                <c:pt idx="349">
                  <c:v>35156</c:v>
                </c:pt>
                <c:pt idx="350">
                  <c:v>35186</c:v>
                </c:pt>
                <c:pt idx="351">
                  <c:v>35217</c:v>
                </c:pt>
                <c:pt idx="352">
                  <c:v>35247</c:v>
                </c:pt>
                <c:pt idx="353">
                  <c:v>35278</c:v>
                </c:pt>
                <c:pt idx="354">
                  <c:v>35309</c:v>
                </c:pt>
                <c:pt idx="355">
                  <c:v>35339</c:v>
                </c:pt>
                <c:pt idx="356">
                  <c:v>35370</c:v>
                </c:pt>
                <c:pt idx="357">
                  <c:v>35400</c:v>
                </c:pt>
                <c:pt idx="358">
                  <c:v>35431</c:v>
                </c:pt>
                <c:pt idx="359">
                  <c:v>35462</c:v>
                </c:pt>
                <c:pt idx="360">
                  <c:v>35490</c:v>
                </c:pt>
                <c:pt idx="361">
                  <c:v>35521</c:v>
                </c:pt>
                <c:pt idx="362">
                  <c:v>35551</c:v>
                </c:pt>
                <c:pt idx="363">
                  <c:v>35582</c:v>
                </c:pt>
                <c:pt idx="364">
                  <c:v>35612</c:v>
                </c:pt>
                <c:pt idx="365">
                  <c:v>35643</c:v>
                </c:pt>
                <c:pt idx="366">
                  <c:v>35674</c:v>
                </c:pt>
                <c:pt idx="367">
                  <c:v>35704</c:v>
                </c:pt>
                <c:pt idx="368">
                  <c:v>35735</c:v>
                </c:pt>
                <c:pt idx="369">
                  <c:v>35765</c:v>
                </c:pt>
                <c:pt idx="370">
                  <c:v>35796</c:v>
                </c:pt>
                <c:pt idx="371">
                  <c:v>35827</c:v>
                </c:pt>
                <c:pt idx="372">
                  <c:v>35855</c:v>
                </c:pt>
                <c:pt idx="373">
                  <c:v>35886</c:v>
                </c:pt>
                <c:pt idx="374">
                  <c:v>35916</c:v>
                </c:pt>
                <c:pt idx="375">
                  <c:v>35947</c:v>
                </c:pt>
                <c:pt idx="376">
                  <c:v>35977</c:v>
                </c:pt>
                <c:pt idx="377">
                  <c:v>36008</c:v>
                </c:pt>
                <c:pt idx="378">
                  <c:v>36039</c:v>
                </c:pt>
                <c:pt idx="379">
                  <c:v>36069</c:v>
                </c:pt>
                <c:pt idx="380">
                  <c:v>36100</c:v>
                </c:pt>
                <c:pt idx="381">
                  <c:v>36130</c:v>
                </c:pt>
                <c:pt idx="382">
                  <c:v>36161</c:v>
                </c:pt>
                <c:pt idx="383">
                  <c:v>36192</c:v>
                </c:pt>
                <c:pt idx="384">
                  <c:v>36220</c:v>
                </c:pt>
                <c:pt idx="385">
                  <c:v>36251</c:v>
                </c:pt>
                <c:pt idx="386">
                  <c:v>36281</c:v>
                </c:pt>
                <c:pt idx="387">
                  <c:v>36312</c:v>
                </c:pt>
                <c:pt idx="388">
                  <c:v>36342</c:v>
                </c:pt>
                <c:pt idx="389">
                  <c:v>36373</c:v>
                </c:pt>
                <c:pt idx="390">
                  <c:v>36404</c:v>
                </c:pt>
                <c:pt idx="391">
                  <c:v>36434</c:v>
                </c:pt>
                <c:pt idx="392">
                  <c:v>36465</c:v>
                </c:pt>
                <c:pt idx="393">
                  <c:v>36495</c:v>
                </c:pt>
                <c:pt idx="394">
                  <c:v>36526</c:v>
                </c:pt>
                <c:pt idx="395">
                  <c:v>36557</c:v>
                </c:pt>
                <c:pt idx="396">
                  <c:v>36586</c:v>
                </c:pt>
                <c:pt idx="397">
                  <c:v>36617</c:v>
                </c:pt>
                <c:pt idx="398">
                  <c:v>36647</c:v>
                </c:pt>
                <c:pt idx="399">
                  <c:v>36678</c:v>
                </c:pt>
                <c:pt idx="400">
                  <c:v>36708</c:v>
                </c:pt>
                <c:pt idx="401">
                  <c:v>36739</c:v>
                </c:pt>
                <c:pt idx="402">
                  <c:v>36770</c:v>
                </c:pt>
                <c:pt idx="403">
                  <c:v>36800</c:v>
                </c:pt>
                <c:pt idx="404">
                  <c:v>36831</c:v>
                </c:pt>
                <c:pt idx="405">
                  <c:v>36861</c:v>
                </c:pt>
                <c:pt idx="406">
                  <c:v>36892</c:v>
                </c:pt>
                <c:pt idx="407">
                  <c:v>36923</c:v>
                </c:pt>
                <c:pt idx="408">
                  <c:v>36951</c:v>
                </c:pt>
                <c:pt idx="409">
                  <c:v>36982</c:v>
                </c:pt>
                <c:pt idx="410">
                  <c:v>37012</c:v>
                </c:pt>
                <c:pt idx="411">
                  <c:v>37043</c:v>
                </c:pt>
                <c:pt idx="412">
                  <c:v>37073</c:v>
                </c:pt>
                <c:pt idx="413">
                  <c:v>37104</c:v>
                </c:pt>
                <c:pt idx="414">
                  <c:v>37135</c:v>
                </c:pt>
                <c:pt idx="415">
                  <c:v>37165</c:v>
                </c:pt>
                <c:pt idx="416">
                  <c:v>37196</c:v>
                </c:pt>
                <c:pt idx="417">
                  <c:v>37226</c:v>
                </c:pt>
                <c:pt idx="418">
                  <c:v>37257</c:v>
                </c:pt>
                <c:pt idx="419">
                  <c:v>37288</c:v>
                </c:pt>
                <c:pt idx="420">
                  <c:v>37316</c:v>
                </c:pt>
                <c:pt idx="421">
                  <c:v>37347</c:v>
                </c:pt>
                <c:pt idx="422">
                  <c:v>37377</c:v>
                </c:pt>
                <c:pt idx="423">
                  <c:v>37408</c:v>
                </c:pt>
                <c:pt idx="424">
                  <c:v>37438</c:v>
                </c:pt>
                <c:pt idx="425">
                  <c:v>37469</c:v>
                </c:pt>
                <c:pt idx="426">
                  <c:v>37500</c:v>
                </c:pt>
                <c:pt idx="427">
                  <c:v>37530</c:v>
                </c:pt>
                <c:pt idx="428">
                  <c:v>37561</c:v>
                </c:pt>
                <c:pt idx="429">
                  <c:v>37591</c:v>
                </c:pt>
                <c:pt idx="430">
                  <c:v>37622</c:v>
                </c:pt>
                <c:pt idx="431">
                  <c:v>37653</c:v>
                </c:pt>
                <c:pt idx="432">
                  <c:v>37681</c:v>
                </c:pt>
                <c:pt idx="433">
                  <c:v>37712</c:v>
                </c:pt>
                <c:pt idx="434">
                  <c:v>37742</c:v>
                </c:pt>
                <c:pt idx="435">
                  <c:v>37773</c:v>
                </c:pt>
                <c:pt idx="436">
                  <c:v>37803</c:v>
                </c:pt>
                <c:pt idx="437">
                  <c:v>37834</c:v>
                </c:pt>
                <c:pt idx="438">
                  <c:v>37865</c:v>
                </c:pt>
                <c:pt idx="439">
                  <c:v>37895</c:v>
                </c:pt>
                <c:pt idx="440">
                  <c:v>37926</c:v>
                </c:pt>
                <c:pt idx="441">
                  <c:v>37956</c:v>
                </c:pt>
                <c:pt idx="442">
                  <c:v>37987</c:v>
                </c:pt>
                <c:pt idx="443">
                  <c:v>38018</c:v>
                </c:pt>
                <c:pt idx="444">
                  <c:v>38047</c:v>
                </c:pt>
                <c:pt idx="445">
                  <c:v>38078</c:v>
                </c:pt>
                <c:pt idx="446">
                  <c:v>38108</c:v>
                </c:pt>
                <c:pt idx="447">
                  <c:v>38139</c:v>
                </c:pt>
                <c:pt idx="448">
                  <c:v>38169</c:v>
                </c:pt>
                <c:pt idx="449">
                  <c:v>38200</c:v>
                </c:pt>
                <c:pt idx="450">
                  <c:v>38231</c:v>
                </c:pt>
                <c:pt idx="451">
                  <c:v>38261</c:v>
                </c:pt>
                <c:pt idx="452">
                  <c:v>38292</c:v>
                </c:pt>
                <c:pt idx="453">
                  <c:v>38322</c:v>
                </c:pt>
                <c:pt idx="454">
                  <c:v>38353</c:v>
                </c:pt>
                <c:pt idx="455">
                  <c:v>38384</c:v>
                </c:pt>
                <c:pt idx="456">
                  <c:v>38412</c:v>
                </c:pt>
                <c:pt idx="457">
                  <c:v>38443</c:v>
                </c:pt>
                <c:pt idx="458">
                  <c:v>38473</c:v>
                </c:pt>
                <c:pt idx="459">
                  <c:v>38504</c:v>
                </c:pt>
                <c:pt idx="460">
                  <c:v>38534</c:v>
                </c:pt>
                <c:pt idx="461">
                  <c:v>38565</c:v>
                </c:pt>
                <c:pt idx="462">
                  <c:v>38596</c:v>
                </c:pt>
                <c:pt idx="463">
                  <c:v>38626</c:v>
                </c:pt>
                <c:pt idx="464">
                  <c:v>38657</c:v>
                </c:pt>
                <c:pt idx="465">
                  <c:v>38687</c:v>
                </c:pt>
                <c:pt idx="466">
                  <c:v>38718</c:v>
                </c:pt>
                <c:pt idx="467">
                  <c:v>38749</c:v>
                </c:pt>
                <c:pt idx="468">
                  <c:v>38777</c:v>
                </c:pt>
                <c:pt idx="469">
                  <c:v>38808</c:v>
                </c:pt>
                <c:pt idx="470">
                  <c:v>38838</c:v>
                </c:pt>
                <c:pt idx="471">
                  <c:v>38869</c:v>
                </c:pt>
                <c:pt idx="472">
                  <c:v>38899</c:v>
                </c:pt>
                <c:pt idx="473">
                  <c:v>38930</c:v>
                </c:pt>
                <c:pt idx="474">
                  <c:v>38961</c:v>
                </c:pt>
                <c:pt idx="475">
                  <c:v>38991</c:v>
                </c:pt>
                <c:pt idx="476">
                  <c:v>39022</c:v>
                </c:pt>
                <c:pt idx="477">
                  <c:v>39052</c:v>
                </c:pt>
                <c:pt idx="478">
                  <c:v>39083</c:v>
                </c:pt>
                <c:pt idx="479">
                  <c:v>39114</c:v>
                </c:pt>
                <c:pt idx="480">
                  <c:v>39142</c:v>
                </c:pt>
                <c:pt idx="481">
                  <c:v>39173</c:v>
                </c:pt>
                <c:pt idx="482">
                  <c:v>39203</c:v>
                </c:pt>
                <c:pt idx="483">
                  <c:v>39234</c:v>
                </c:pt>
                <c:pt idx="484">
                  <c:v>39264</c:v>
                </c:pt>
                <c:pt idx="485">
                  <c:v>39295</c:v>
                </c:pt>
                <c:pt idx="486">
                  <c:v>39326</c:v>
                </c:pt>
                <c:pt idx="487">
                  <c:v>39356</c:v>
                </c:pt>
                <c:pt idx="488">
                  <c:v>39387</c:v>
                </c:pt>
                <c:pt idx="489">
                  <c:v>39417</c:v>
                </c:pt>
                <c:pt idx="490">
                  <c:v>39448</c:v>
                </c:pt>
                <c:pt idx="491">
                  <c:v>39479</c:v>
                </c:pt>
                <c:pt idx="492">
                  <c:v>39508</c:v>
                </c:pt>
                <c:pt idx="493">
                  <c:v>39539</c:v>
                </c:pt>
                <c:pt idx="494">
                  <c:v>39569</c:v>
                </c:pt>
                <c:pt idx="495">
                  <c:v>39600</c:v>
                </c:pt>
                <c:pt idx="496">
                  <c:v>39630</c:v>
                </c:pt>
                <c:pt idx="497">
                  <c:v>39661</c:v>
                </c:pt>
                <c:pt idx="498">
                  <c:v>39692</c:v>
                </c:pt>
                <c:pt idx="499">
                  <c:v>39722</c:v>
                </c:pt>
                <c:pt idx="500">
                  <c:v>39753</c:v>
                </c:pt>
                <c:pt idx="501">
                  <c:v>39783</c:v>
                </c:pt>
                <c:pt idx="502">
                  <c:v>39814</c:v>
                </c:pt>
                <c:pt idx="503">
                  <c:v>39845</c:v>
                </c:pt>
                <c:pt idx="504">
                  <c:v>39873</c:v>
                </c:pt>
                <c:pt idx="505">
                  <c:v>39904</c:v>
                </c:pt>
                <c:pt idx="506">
                  <c:v>39934</c:v>
                </c:pt>
                <c:pt idx="507">
                  <c:v>39965</c:v>
                </c:pt>
                <c:pt idx="508">
                  <c:v>39995</c:v>
                </c:pt>
                <c:pt idx="509">
                  <c:v>40026</c:v>
                </c:pt>
                <c:pt idx="510">
                  <c:v>40057</c:v>
                </c:pt>
                <c:pt idx="511">
                  <c:v>40087</c:v>
                </c:pt>
                <c:pt idx="512">
                  <c:v>40118</c:v>
                </c:pt>
                <c:pt idx="513">
                  <c:v>40148</c:v>
                </c:pt>
                <c:pt idx="514">
                  <c:v>40179</c:v>
                </c:pt>
                <c:pt idx="515">
                  <c:v>40210</c:v>
                </c:pt>
                <c:pt idx="516">
                  <c:v>40238</c:v>
                </c:pt>
                <c:pt idx="517">
                  <c:v>40269</c:v>
                </c:pt>
                <c:pt idx="518">
                  <c:v>40299</c:v>
                </c:pt>
                <c:pt idx="519">
                  <c:v>40330</c:v>
                </c:pt>
                <c:pt idx="520">
                  <c:v>40360</c:v>
                </c:pt>
                <c:pt idx="521">
                  <c:v>40391</c:v>
                </c:pt>
                <c:pt idx="522">
                  <c:v>40422</c:v>
                </c:pt>
                <c:pt idx="523">
                  <c:v>40452</c:v>
                </c:pt>
                <c:pt idx="524">
                  <c:v>40483</c:v>
                </c:pt>
                <c:pt idx="525">
                  <c:v>40513</c:v>
                </c:pt>
                <c:pt idx="526">
                  <c:v>40544</c:v>
                </c:pt>
                <c:pt idx="527">
                  <c:v>40575</c:v>
                </c:pt>
                <c:pt idx="528">
                  <c:v>40603</c:v>
                </c:pt>
                <c:pt idx="529">
                  <c:v>40634</c:v>
                </c:pt>
                <c:pt idx="530">
                  <c:v>40664</c:v>
                </c:pt>
                <c:pt idx="531">
                  <c:v>40695</c:v>
                </c:pt>
                <c:pt idx="532">
                  <c:v>40725</c:v>
                </c:pt>
                <c:pt idx="533">
                  <c:v>40756</c:v>
                </c:pt>
                <c:pt idx="534">
                  <c:v>40787</c:v>
                </c:pt>
                <c:pt idx="535">
                  <c:v>40817</c:v>
                </c:pt>
                <c:pt idx="536">
                  <c:v>40848</c:v>
                </c:pt>
                <c:pt idx="537">
                  <c:v>40878</c:v>
                </c:pt>
                <c:pt idx="538">
                  <c:v>40909</c:v>
                </c:pt>
                <c:pt idx="539">
                  <c:v>40940</c:v>
                </c:pt>
                <c:pt idx="540">
                  <c:v>40969</c:v>
                </c:pt>
                <c:pt idx="541">
                  <c:v>41000</c:v>
                </c:pt>
                <c:pt idx="542">
                  <c:v>41030</c:v>
                </c:pt>
                <c:pt idx="543">
                  <c:v>41061</c:v>
                </c:pt>
                <c:pt idx="544">
                  <c:v>41091</c:v>
                </c:pt>
                <c:pt idx="545">
                  <c:v>41122</c:v>
                </c:pt>
                <c:pt idx="546">
                  <c:v>41153</c:v>
                </c:pt>
                <c:pt idx="547">
                  <c:v>41183</c:v>
                </c:pt>
                <c:pt idx="548">
                  <c:v>41214</c:v>
                </c:pt>
                <c:pt idx="549">
                  <c:v>41244</c:v>
                </c:pt>
                <c:pt idx="550">
                  <c:v>41275</c:v>
                </c:pt>
                <c:pt idx="551">
                  <c:v>41306</c:v>
                </c:pt>
                <c:pt idx="552">
                  <c:v>41334</c:v>
                </c:pt>
                <c:pt idx="553">
                  <c:v>41365</c:v>
                </c:pt>
                <c:pt idx="554">
                  <c:v>41395</c:v>
                </c:pt>
                <c:pt idx="555">
                  <c:v>41426</c:v>
                </c:pt>
                <c:pt idx="556">
                  <c:v>41456</c:v>
                </c:pt>
                <c:pt idx="557">
                  <c:v>41487</c:v>
                </c:pt>
                <c:pt idx="558">
                  <c:v>41518</c:v>
                </c:pt>
                <c:pt idx="559">
                  <c:v>41548</c:v>
                </c:pt>
                <c:pt idx="560">
                  <c:v>41579</c:v>
                </c:pt>
                <c:pt idx="561">
                  <c:v>41609</c:v>
                </c:pt>
                <c:pt idx="562">
                  <c:v>41640</c:v>
                </c:pt>
                <c:pt idx="563">
                  <c:v>41671</c:v>
                </c:pt>
                <c:pt idx="564">
                  <c:v>41699</c:v>
                </c:pt>
                <c:pt idx="565">
                  <c:v>41730</c:v>
                </c:pt>
                <c:pt idx="566">
                  <c:v>41760</c:v>
                </c:pt>
                <c:pt idx="567">
                  <c:v>41791</c:v>
                </c:pt>
                <c:pt idx="568">
                  <c:v>41821</c:v>
                </c:pt>
                <c:pt idx="569">
                  <c:v>41852</c:v>
                </c:pt>
                <c:pt idx="570">
                  <c:v>41883</c:v>
                </c:pt>
                <c:pt idx="571">
                  <c:v>41913</c:v>
                </c:pt>
                <c:pt idx="572">
                  <c:v>41944</c:v>
                </c:pt>
                <c:pt idx="573">
                  <c:v>41974</c:v>
                </c:pt>
                <c:pt idx="574">
                  <c:v>42005</c:v>
                </c:pt>
                <c:pt idx="575">
                  <c:v>42036</c:v>
                </c:pt>
                <c:pt idx="576">
                  <c:v>42064</c:v>
                </c:pt>
                <c:pt idx="577">
                  <c:v>42095</c:v>
                </c:pt>
                <c:pt idx="578">
                  <c:v>42125</c:v>
                </c:pt>
                <c:pt idx="579">
                  <c:v>42156</c:v>
                </c:pt>
                <c:pt idx="580">
                  <c:v>42186</c:v>
                </c:pt>
                <c:pt idx="581">
                  <c:v>42217</c:v>
                </c:pt>
                <c:pt idx="582">
                  <c:v>42248</c:v>
                </c:pt>
                <c:pt idx="583">
                  <c:v>42278</c:v>
                </c:pt>
                <c:pt idx="584">
                  <c:v>42309</c:v>
                </c:pt>
                <c:pt idx="585">
                  <c:v>42339</c:v>
                </c:pt>
                <c:pt idx="586">
                  <c:v>42370</c:v>
                </c:pt>
                <c:pt idx="587">
                  <c:v>42401</c:v>
                </c:pt>
                <c:pt idx="588">
                  <c:v>42430</c:v>
                </c:pt>
                <c:pt idx="589">
                  <c:v>42461</c:v>
                </c:pt>
                <c:pt idx="590">
                  <c:v>42491</c:v>
                </c:pt>
                <c:pt idx="591">
                  <c:v>42522</c:v>
                </c:pt>
                <c:pt idx="592">
                  <c:v>42552</c:v>
                </c:pt>
                <c:pt idx="593">
                  <c:v>42583</c:v>
                </c:pt>
                <c:pt idx="594">
                  <c:v>42614</c:v>
                </c:pt>
                <c:pt idx="595">
                  <c:v>42644</c:v>
                </c:pt>
                <c:pt idx="596">
                  <c:v>42675</c:v>
                </c:pt>
                <c:pt idx="597">
                  <c:v>42705</c:v>
                </c:pt>
                <c:pt idx="598">
                  <c:v>42736</c:v>
                </c:pt>
                <c:pt idx="599">
                  <c:v>42767</c:v>
                </c:pt>
                <c:pt idx="600">
                  <c:v>42795</c:v>
                </c:pt>
                <c:pt idx="601">
                  <c:v>42826</c:v>
                </c:pt>
                <c:pt idx="602">
                  <c:v>42856</c:v>
                </c:pt>
                <c:pt idx="603">
                  <c:v>42887</c:v>
                </c:pt>
                <c:pt idx="604">
                  <c:v>42917</c:v>
                </c:pt>
                <c:pt idx="605">
                  <c:v>42948</c:v>
                </c:pt>
                <c:pt idx="606">
                  <c:v>42979</c:v>
                </c:pt>
                <c:pt idx="607">
                  <c:v>43009</c:v>
                </c:pt>
                <c:pt idx="608">
                  <c:v>43040</c:v>
                </c:pt>
                <c:pt idx="609">
                  <c:v>43070</c:v>
                </c:pt>
                <c:pt idx="610">
                  <c:v>43101</c:v>
                </c:pt>
                <c:pt idx="611">
                  <c:v>43132</c:v>
                </c:pt>
                <c:pt idx="612">
                  <c:v>43160</c:v>
                </c:pt>
                <c:pt idx="613">
                  <c:v>43191</c:v>
                </c:pt>
                <c:pt idx="614">
                  <c:v>43221</c:v>
                </c:pt>
                <c:pt idx="615">
                  <c:v>43252</c:v>
                </c:pt>
                <c:pt idx="616">
                  <c:v>43282</c:v>
                </c:pt>
                <c:pt idx="617">
                  <c:v>43313</c:v>
                </c:pt>
                <c:pt idx="618">
                  <c:v>43344</c:v>
                </c:pt>
                <c:pt idx="619">
                  <c:v>43374</c:v>
                </c:pt>
                <c:pt idx="620">
                  <c:v>43405</c:v>
                </c:pt>
                <c:pt idx="621">
                  <c:v>43435</c:v>
                </c:pt>
                <c:pt idx="622">
                  <c:v>43466</c:v>
                </c:pt>
                <c:pt idx="623">
                  <c:v>43497</c:v>
                </c:pt>
                <c:pt idx="624">
                  <c:v>43525</c:v>
                </c:pt>
                <c:pt idx="625">
                  <c:v>43556</c:v>
                </c:pt>
                <c:pt idx="626">
                  <c:v>43586</c:v>
                </c:pt>
                <c:pt idx="627">
                  <c:v>43617</c:v>
                </c:pt>
                <c:pt idx="628">
                  <c:v>43647</c:v>
                </c:pt>
                <c:pt idx="629">
                  <c:v>43678</c:v>
                </c:pt>
                <c:pt idx="630">
                  <c:v>43709</c:v>
                </c:pt>
                <c:pt idx="631">
                  <c:v>43739</c:v>
                </c:pt>
                <c:pt idx="632">
                  <c:v>43770</c:v>
                </c:pt>
                <c:pt idx="633">
                  <c:v>43800</c:v>
                </c:pt>
                <c:pt idx="634">
                  <c:v>43831</c:v>
                </c:pt>
                <c:pt idx="635">
                  <c:v>43862</c:v>
                </c:pt>
                <c:pt idx="636">
                  <c:v>43891</c:v>
                </c:pt>
                <c:pt idx="637">
                  <c:v>43922</c:v>
                </c:pt>
                <c:pt idx="638">
                  <c:v>43952</c:v>
                </c:pt>
                <c:pt idx="639">
                  <c:v>43983</c:v>
                </c:pt>
                <c:pt idx="640">
                  <c:v>44013</c:v>
                </c:pt>
                <c:pt idx="641">
                  <c:v>44044</c:v>
                </c:pt>
                <c:pt idx="642">
                  <c:v>44075</c:v>
                </c:pt>
                <c:pt idx="643">
                  <c:v>44105</c:v>
                </c:pt>
                <c:pt idx="644">
                  <c:v>44136</c:v>
                </c:pt>
                <c:pt idx="645">
                  <c:v>44166</c:v>
                </c:pt>
                <c:pt idx="646">
                  <c:v>44197</c:v>
                </c:pt>
                <c:pt idx="647">
                  <c:v>44228</c:v>
                </c:pt>
                <c:pt idx="648">
                  <c:v>44256</c:v>
                </c:pt>
                <c:pt idx="649">
                  <c:v>44287</c:v>
                </c:pt>
                <c:pt idx="650">
                  <c:v>44317</c:v>
                </c:pt>
                <c:pt idx="651">
                  <c:v>44348</c:v>
                </c:pt>
                <c:pt idx="652">
                  <c:v>44378</c:v>
                </c:pt>
                <c:pt idx="653">
                  <c:v>44409</c:v>
                </c:pt>
                <c:pt idx="654">
                  <c:v>44440</c:v>
                </c:pt>
                <c:pt idx="655">
                  <c:v>44470</c:v>
                </c:pt>
                <c:pt idx="656">
                  <c:v>44501</c:v>
                </c:pt>
                <c:pt idx="657">
                  <c:v>44531</c:v>
                </c:pt>
                <c:pt idx="658">
                  <c:v>44562</c:v>
                </c:pt>
                <c:pt idx="659">
                  <c:v>44593</c:v>
                </c:pt>
                <c:pt idx="660">
                  <c:v>44621</c:v>
                </c:pt>
                <c:pt idx="661">
                  <c:v>44652</c:v>
                </c:pt>
                <c:pt idx="662">
                  <c:v>44682</c:v>
                </c:pt>
                <c:pt idx="663">
                  <c:v>44713</c:v>
                </c:pt>
                <c:pt idx="664">
                  <c:v>44743</c:v>
                </c:pt>
                <c:pt idx="665">
                  <c:v>44774</c:v>
                </c:pt>
                <c:pt idx="666">
                  <c:v>44805</c:v>
                </c:pt>
                <c:pt idx="667">
                  <c:v>44835</c:v>
                </c:pt>
                <c:pt idx="668">
                  <c:v>44866</c:v>
                </c:pt>
                <c:pt idx="669">
                  <c:v>44896</c:v>
                </c:pt>
                <c:pt idx="670">
                  <c:v>44927</c:v>
                </c:pt>
                <c:pt idx="671">
                  <c:v>44958</c:v>
                </c:pt>
                <c:pt idx="672">
                  <c:v>44986</c:v>
                </c:pt>
                <c:pt idx="673">
                  <c:v>45017</c:v>
                </c:pt>
                <c:pt idx="674">
                  <c:v>45047</c:v>
                </c:pt>
                <c:pt idx="675">
                  <c:v>45078</c:v>
                </c:pt>
                <c:pt idx="676">
                  <c:v>45108</c:v>
                </c:pt>
                <c:pt idx="677">
                  <c:v>45139</c:v>
                </c:pt>
                <c:pt idx="678">
                  <c:v>45170</c:v>
                </c:pt>
                <c:pt idx="679">
                  <c:v>45200</c:v>
                </c:pt>
                <c:pt idx="680">
                  <c:v>45231</c:v>
                </c:pt>
                <c:pt idx="681">
                  <c:v>45261</c:v>
                </c:pt>
                <c:pt idx="682">
                  <c:v>45292</c:v>
                </c:pt>
                <c:pt idx="683">
                  <c:v>45323</c:v>
                </c:pt>
                <c:pt idx="684">
                  <c:v>45352</c:v>
                </c:pt>
                <c:pt idx="685">
                  <c:v>45383</c:v>
                </c:pt>
                <c:pt idx="686">
                  <c:v>45413</c:v>
                </c:pt>
                <c:pt idx="687">
                  <c:v>45444</c:v>
                </c:pt>
                <c:pt idx="688">
                  <c:v>45474</c:v>
                </c:pt>
                <c:pt idx="689">
                  <c:v>45505</c:v>
                </c:pt>
                <c:pt idx="690">
                  <c:v>45536</c:v>
                </c:pt>
                <c:pt idx="691">
                  <c:v>45566</c:v>
                </c:pt>
                <c:pt idx="692">
                  <c:v>45597</c:v>
                </c:pt>
                <c:pt idx="693">
                  <c:v>45627</c:v>
                </c:pt>
                <c:pt idx="694">
                  <c:v>45658</c:v>
                </c:pt>
                <c:pt idx="695">
                  <c:v>45689</c:v>
                </c:pt>
                <c:pt idx="696">
                  <c:v>45717</c:v>
                </c:pt>
                <c:pt idx="697">
                  <c:v>45748</c:v>
                </c:pt>
                <c:pt idx="698">
                  <c:v>45778</c:v>
                </c:pt>
                <c:pt idx="699">
                  <c:v>45809</c:v>
                </c:pt>
                <c:pt idx="700">
                  <c:v>45839</c:v>
                </c:pt>
                <c:pt idx="701">
                  <c:v>45870</c:v>
                </c:pt>
                <c:pt idx="702">
                  <c:v>45901</c:v>
                </c:pt>
                <c:pt idx="703">
                  <c:v>45931</c:v>
                </c:pt>
                <c:pt idx="704">
                  <c:v>45962</c:v>
                </c:pt>
                <c:pt idx="705">
                  <c:v>45992</c:v>
                </c:pt>
                <c:pt idx="706">
                  <c:v>46023</c:v>
                </c:pt>
                <c:pt idx="707">
                  <c:v>46054</c:v>
                </c:pt>
                <c:pt idx="708">
                  <c:v>46082</c:v>
                </c:pt>
                <c:pt idx="709">
                  <c:v>46113</c:v>
                </c:pt>
                <c:pt idx="710">
                  <c:v>46143</c:v>
                </c:pt>
                <c:pt idx="711">
                  <c:v>46174</c:v>
                </c:pt>
              </c:numCache>
            </c:numRef>
          </c:cat>
          <c:val>
            <c:numRef>
              <c:f>CHIPMI!$B$5:$B$716</c:f>
              <c:numCache>
                <c:formatCode>0.00</c:formatCode>
                <c:ptCount val="712"/>
                <c:pt idx="0">
                  <c:v>-0.35</c:v>
                </c:pt>
                <c:pt idx="1">
                  <c:v>0</c:v>
                </c:pt>
                <c:pt idx="2">
                  <c:v>-0.56000000000000005</c:v>
                </c:pt>
                <c:pt idx="3">
                  <c:v>0.04</c:v>
                </c:pt>
                <c:pt idx="4">
                  <c:v>-0.32</c:v>
                </c:pt>
                <c:pt idx="5">
                  <c:v>1.04</c:v>
                </c:pt>
                <c:pt idx="6">
                  <c:v>-0.05</c:v>
                </c:pt>
                <c:pt idx="7">
                  <c:v>0.03</c:v>
                </c:pt>
                <c:pt idx="8">
                  <c:v>1.36</c:v>
                </c:pt>
                <c:pt idx="9">
                  <c:v>1.01</c:v>
                </c:pt>
                <c:pt idx="10">
                  <c:v>-0.46</c:v>
                </c:pt>
                <c:pt idx="11">
                  <c:v>0.43</c:v>
                </c:pt>
                <c:pt idx="12">
                  <c:v>0.39</c:v>
                </c:pt>
                <c:pt idx="13">
                  <c:v>0.13</c:v>
                </c:pt>
                <c:pt idx="14">
                  <c:v>0.67</c:v>
                </c:pt>
                <c:pt idx="15">
                  <c:v>0.27</c:v>
                </c:pt>
                <c:pt idx="16">
                  <c:v>0.23</c:v>
                </c:pt>
                <c:pt idx="17">
                  <c:v>0.02</c:v>
                </c:pt>
                <c:pt idx="18">
                  <c:v>0.49</c:v>
                </c:pt>
                <c:pt idx="19">
                  <c:v>0.56000000000000005</c:v>
                </c:pt>
                <c:pt idx="20">
                  <c:v>0.82</c:v>
                </c:pt>
                <c:pt idx="21">
                  <c:v>0.01</c:v>
                </c:pt>
                <c:pt idx="22">
                  <c:v>0.34</c:v>
                </c:pt>
                <c:pt idx="23">
                  <c:v>0.51</c:v>
                </c:pt>
                <c:pt idx="24">
                  <c:v>0.5</c:v>
                </c:pt>
                <c:pt idx="25">
                  <c:v>0.05</c:v>
                </c:pt>
                <c:pt idx="26">
                  <c:v>-0.02</c:v>
                </c:pt>
                <c:pt idx="27">
                  <c:v>0.38</c:v>
                </c:pt>
                <c:pt idx="28">
                  <c:v>0.17</c:v>
                </c:pt>
                <c:pt idx="29">
                  <c:v>0.45</c:v>
                </c:pt>
                <c:pt idx="30">
                  <c:v>-0.09</c:v>
                </c:pt>
                <c:pt idx="31">
                  <c:v>0.2</c:v>
                </c:pt>
                <c:pt idx="32">
                  <c:v>-0.81</c:v>
                </c:pt>
                <c:pt idx="33">
                  <c:v>-0.23</c:v>
                </c:pt>
                <c:pt idx="34">
                  <c:v>-1.36</c:v>
                </c:pt>
                <c:pt idx="35">
                  <c:v>-0.15</c:v>
                </c:pt>
                <c:pt idx="36">
                  <c:v>-0.56999999999999995</c:v>
                </c:pt>
                <c:pt idx="37">
                  <c:v>-0.7</c:v>
                </c:pt>
                <c:pt idx="38">
                  <c:v>-0.32</c:v>
                </c:pt>
                <c:pt idx="39">
                  <c:v>-0.27</c:v>
                </c:pt>
                <c:pt idx="40">
                  <c:v>0</c:v>
                </c:pt>
                <c:pt idx="41">
                  <c:v>-0.56000000000000005</c:v>
                </c:pt>
                <c:pt idx="42">
                  <c:v>-0.64</c:v>
                </c:pt>
                <c:pt idx="43">
                  <c:v>-1.81</c:v>
                </c:pt>
                <c:pt idx="44">
                  <c:v>-1.03</c:v>
                </c:pt>
                <c:pt idx="45">
                  <c:v>1.66</c:v>
                </c:pt>
                <c:pt idx="46">
                  <c:v>0.56999999999999995</c:v>
                </c:pt>
                <c:pt idx="47">
                  <c:v>0</c:v>
                </c:pt>
                <c:pt idx="48">
                  <c:v>-0.05</c:v>
                </c:pt>
                <c:pt idx="49">
                  <c:v>0.47</c:v>
                </c:pt>
                <c:pt idx="50">
                  <c:v>0.44</c:v>
                </c:pt>
                <c:pt idx="51">
                  <c:v>0.41</c:v>
                </c:pt>
                <c:pt idx="52">
                  <c:v>-0.13</c:v>
                </c:pt>
                <c:pt idx="53">
                  <c:v>-0.05</c:v>
                </c:pt>
                <c:pt idx="54">
                  <c:v>1.02</c:v>
                </c:pt>
                <c:pt idx="55">
                  <c:v>0.44</c:v>
                </c:pt>
                <c:pt idx="56">
                  <c:v>0.66</c:v>
                </c:pt>
                <c:pt idx="57">
                  <c:v>0.86</c:v>
                </c:pt>
                <c:pt idx="58">
                  <c:v>1.44</c:v>
                </c:pt>
                <c:pt idx="59">
                  <c:v>0.4</c:v>
                </c:pt>
                <c:pt idx="60">
                  <c:v>1.05</c:v>
                </c:pt>
                <c:pt idx="61">
                  <c:v>0.76</c:v>
                </c:pt>
                <c:pt idx="62">
                  <c:v>0.52</c:v>
                </c:pt>
                <c:pt idx="63">
                  <c:v>0.52</c:v>
                </c:pt>
                <c:pt idx="64">
                  <c:v>-0.05</c:v>
                </c:pt>
                <c:pt idx="65">
                  <c:v>1.52</c:v>
                </c:pt>
                <c:pt idx="66">
                  <c:v>0.91</c:v>
                </c:pt>
                <c:pt idx="67">
                  <c:v>1.39</c:v>
                </c:pt>
                <c:pt idx="68">
                  <c:v>1.32</c:v>
                </c:pt>
                <c:pt idx="69">
                  <c:v>1.23</c:v>
                </c:pt>
                <c:pt idx="70">
                  <c:v>1.0900000000000001</c:v>
                </c:pt>
                <c:pt idx="71">
                  <c:v>1.26</c:v>
                </c:pt>
                <c:pt idx="72">
                  <c:v>0.48</c:v>
                </c:pt>
                <c:pt idx="73">
                  <c:v>0.09</c:v>
                </c:pt>
                <c:pt idx="74">
                  <c:v>0.47</c:v>
                </c:pt>
                <c:pt idx="75">
                  <c:v>0.24</c:v>
                </c:pt>
                <c:pt idx="76">
                  <c:v>0.53</c:v>
                </c:pt>
                <c:pt idx="77">
                  <c:v>-0.38</c:v>
                </c:pt>
                <c:pt idx="78">
                  <c:v>0.66</c:v>
                </c:pt>
                <c:pt idx="79">
                  <c:v>1.0900000000000001</c:v>
                </c:pt>
                <c:pt idx="80">
                  <c:v>0.82</c:v>
                </c:pt>
                <c:pt idx="81">
                  <c:v>-0.4</c:v>
                </c:pt>
                <c:pt idx="82">
                  <c:v>-0.22</c:v>
                </c:pt>
                <c:pt idx="83">
                  <c:v>-0.26</c:v>
                </c:pt>
                <c:pt idx="84">
                  <c:v>0.08</c:v>
                </c:pt>
                <c:pt idx="85">
                  <c:v>-0.36</c:v>
                </c:pt>
                <c:pt idx="86">
                  <c:v>0.49</c:v>
                </c:pt>
                <c:pt idx="87">
                  <c:v>-0.28999999999999998</c:v>
                </c:pt>
                <c:pt idx="88">
                  <c:v>-0.27</c:v>
                </c:pt>
                <c:pt idx="89">
                  <c:v>-0.73</c:v>
                </c:pt>
                <c:pt idx="90">
                  <c:v>-0.86</c:v>
                </c:pt>
                <c:pt idx="91">
                  <c:v>-1.1000000000000001</c:v>
                </c:pt>
                <c:pt idx="92">
                  <c:v>-2.48</c:v>
                </c:pt>
                <c:pt idx="93">
                  <c:v>-3.36</c:v>
                </c:pt>
                <c:pt idx="94">
                  <c:v>-1.82</c:v>
                </c:pt>
                <c:pt idx="95">
                  <c:v>-2.11</c:v>
                </c:pt>
                <c:pt idx="96">
                  <c:v>-2.0499999999999998</c:v>
                </c:pt>
                <c:pt idx="97">
                  <c:v>-0.24</c:v>
                </c:pt>
                <c:pt idx="98">
                  <c:v>-0.22</c:v>
                </c:pt>
                <c:pt idx="99">
                  <c:v>0.13</c:v>
                </c:pt>
                <c:pt idx="100">
                  <c:v>0.65</c:v>
                </c:pt>
                <c:pt idx="101">
                  <c:v>0.71</c:v>
                </c:pt>
                <c:pt idx="102">
                  <c:v>0.63</c:v>
                </c:pt>
                <c:pt idx="103">
                  <c:v>0.28999999999999998</c:v>
                </c:pt>
                <c:pt idx="104">
                  <c:v>0.14000000000000001</c:v>
                </c:pt>
                <c:pt idx="105">
                  <c:v>0.89</c:v>
                </c:pt>
                <c:pt idx="106">
                  <c:v>1.4</c:v>
                </c:pt>
                <c:pt idx="107">
                  <c:v>0.82</c:v>
                </c:pt>
                <c:pt idx="108">
                  <c:v>0.42</c:v>
                </c:pt>
                <c:pt idx="109">
                  <c:v>0.33</c:v>
                </c:pt>
                <c:pt idx="110">
                  <c:v>0.21</c:v>
                </c:pt>
                <c:pt idx="111">
                  <c:v>0.22</c:v>
                </c:pt>
                <c:pt idx="112">
                  <c:v>0.31</c:v>
                </c:pt>
                <c:pt idx="113">
                  <c:v>0.28000000000000003</c:v>
                </c:pt>
                <c:pt idx="114">
                  <c:v>0.35</c:v>
                </c:pt>
                <c:pt idx="115">
                  <c:v>-0.33</c:v>
                </c:pt>
                <c:pt idx="116">
                  <c:v>1</c:v>
                </c:pt>
                <c:pt idx="117">
                  <c:v>1.1200000000000001</c:v>
                </c:pt>
                <c:pt idx="118">
                  <c:v>-0.19</c:v>
                </c:pt>
                <c:pt idx="119">
                  <c:v>1.1499999999999999</c:v>
                </c:pt>
                <c:pt idx="120">
                  <c:v>1.1000000000000001</c:v>
                </c:pt>
                <c:pt idx="121">
                  <c:v>0.66</c:v>
                </c:pt>
                <c:pt idx="122">
                  <c:v>0.68</c:v>
                </c:pt>
                <c:pt idx="123">
                  <c:v>0.73</c:v>
                </c:pt>
                <c:pt idx="124">
                  <c:v>0.37</c:v>
                </c:pt>
                <c:pt idx="125">
                  <c:v>0.28999999999999998</c:v>
                </c:pt>
                <c:pt idx="126">
                  <c:v>0.43</c:v>
                </c:pt>
                <c:pt idx="127">
                  <c:v>0.44</c:v>
                </c:pt>
                <c:pt idx="128">
                  <c:v>0.53</c:v>
                </c:pt>
                <c:pt idx="129">
                  <c:v>0.8</c:v>
                </c:pt>
                <c:pt idx="130">
                  <c:v>-1.24</c:v>
                </c:pt>
                <c:pt idx="131">
                  <c:v>1.04</c:v>
                </c:pt>
                <c:pt idx="132">
                  <c:v>1.33</c:v>
                </c:pt>
                <c:pt idx="133">
                  <c:v>1.81</c:v>
                </c:pt>
                <c:pt idx="134">
                  <c:v>0.37</c:v>
                </c:pt>
                <c:pt idx="135">
                  <c:v>0.82</c:v>
                </c:pt>
                <c:pt idx="136">
                  <c:v>-0.1</c:v>
                </c:pt>
                <c:pt idx="137">
                  <c:v>0.71</c:v>
                </c:pt>
                <c:pt idx="138">
                  <c:v>0.28999999999999998</c:v>
                </c:pt>
                <c:pt idx="139">
                  <c:v>0.75</c:v>
                </c:pt>
                <c:pt idx="140">
                  <c:v>0.73</c:v>
                </c:pt>
                <c:pt idx="141">
                  <c:v>0.53</c:v>
                </c:pt>
                <c:pt idx="142">
                  <c:v>-0.38</c:v>
                </c:pt>
                <c:pt idx="143">
                  <c:v>0.14000000000000001</c:v>
                </c:pt>
                <c:pt idx="144">
                  <c:v>1.03</c:v>
                </c:pt>
                <c:pt idx="145">
                  <c:v>-1.42</c:v>
                </c:pt>
                <c:pt idx="146">
                  <c:v>1.17</c:v>
                </c:pt>
                <c:pt idx="147">
                  <c:v>-0.04</c:v>
                </c:pt>
                <c:pt idx="148">
                  <c:v>-0.14000000000000001</c:v>
                </c:pt>
                <c:pt idx="149">
                  <c:v>-0.45</c:v>
                </c:pt>
                <c:pt idx="150">
                  <c:v>-0.06</c:v>
                </c:pt>
                <c:pt idx="151">
                  <c:v>0.01</c:v>
                </c:pt>
                <c:pt idx="152">
                  <c:v>-0.32</c:v>
                </c:pt>
                <c:pt idx="153">
                  <c:v>-0.17</c:v>
                </c:pt>
                <c:pt idx="154">
                  <c:v>0.13</c:v>
                </c:pt>
                <c:pt idx="155">
                  <c:v>-0.54</c:v>
                </c:pt>
                <c:pt idx="156">
                  <c:v>-1.17</c:v>
                </c:pt>
                <c:pt idx="157">
                  <c:v>-2.25</c:v>
                </c:pt>
                <c:pt idx="158">
                  <c:v>-2.39</c:v>
                </c:pt>
                <c:pt idx="159">
                  <c:v>-1.25</c:v>
                </c:pt>
                <c:pt idx="160">
                  <c:v>-0.63</c:v>
                </c:pt>
                <c:pt idx="161">
                  <c:v>0.31</c:v>
                </c:pt>
                <c:pt idx="162">
                  <c:v>1</c:v>
                </c:pt>
                <c:pt idx="163">
                  <c:v>1.1299999999999999</c:v>
                </c:pt>
                <c:pt idx="164">
                  <c:v>0.64</c:v>
                </c:pt>
                <c:pt idx="165">
                  <c:v>0.35</c:v>
                </c:pt>
                <c:pt idx="166">
                  <c:v>-0.27</c:v>
                </c:pt>
                <c:pt idx="167">
                  <c:v>-0.43</c:v>
                </c:pt>
                <c:pt idx="168">
                  <c:v>-0.09</c:v>
                </c:pt>
                <c:pt idx="169">
                  <c:v>-0.04</c:v>
                </c:pt>
                <c:pt idx="170">
                  <c:v>-0.05</c:v>
                </c:pt>
                <c:pt idx="171">
                  <c:v>-0.28000000000000003</c:v>
                </c:pt>
                <c:pt idx="172">
                  <c:v>0.06</c:v>
                </c:pt>
                <c:pt idx="173">
                  <c:v>-0.46</c:v>
                </c:pt>
                <c:pt idx="174">
                  <c:v>-0.97</c:v>
                </c:pt>
                <c:pt idx="175">
                  <c:v>-1.3</c:v>
                </c:pt>
                <c:pt idx="176">
                  <c:v>-1.35</c:v>
                </c:pt>
                <c:pt idx="177">
                  <c:v>-1.57</c:v>
                </c:pt>
                <c:pt idx="178">
                  <c:v>-1.83</c:v>
                </c:pt>
                <c:pt idx="179">
                  <c:v>0.91</c:v>
                </c:pt>
                <c:pt idx="180">
                  <c:v>-0.96</c:v>
                </c:pt>
                <c:pt idx="181">
                  <c:v>-1.08</c:v>
                </c:pt>
                <c:pt idx="182">
                  <c:v>-0.62</c:v>
                </c:pt>
                <c:pt idx="183">
                  <c:v>-1.17</c:v>
                </c:pt>
                <c:pt idx="184">
                  <c:v>-0.78</c:v>
                </c:pt>
                <c:pt idx="185">
                  <c:v>-1.08</c:v>
                </c:pt>
                <c:pt idx="186">
                  <c:v>-0.57999999999999996</c:v>
                </c:pt>
                <c:pt idx="187">
                  <c:v>-1.27</c:v>
                </c:pt>
                <c:pt idx="188">
                  <c:v>-0.54</c:v>
                </c:pt>
                <c:pt idx="189">
                  <c:v>-0.53</c:v>
                </c:pt>
                <c:pt idx="190">
                  <c:v>1.1299999999999999</c:v>
                </c:pt>
                <c:pt idx="191">
                  <c:v>-0.46</c:v>
                </c:pt>
                <c:pt idx="192">
                  <c:v>0.72</c:v>
                </c:pt>
                <c:pt idx="193">
                  <c:v>0.68</c:v>
                </c:pt>
                <c:pt idx="194">
                  <c:v>0.93</c:v>
                </c:pt>
                <c:pt idx="195">
                  <c:v>1.1499999999999999</c:v>
                </c:pt>
                <c:pt idx="196">
                  <c:v>1.07</c:v>
                </c:pt>
                <c:pt idx="197">
                  <c:v>0.45</c:v>
                </c:pt>
                <c:pt idx="198">
                  <c:v>1.59</c:v>
                </c:pt>
                <c:pt idx="199">
                  <c:v>0.98</c:v>
                </c:pt>
                <c:pt idx="200">
                  <c:v>0.77</c:v>
                </c:pt>
                <c:pt idx="201">
                  <c:v>0.98</c:v>
                </c:pt>
                <c:pt idx="202">
                  <c:v>1.28</c:v>
                </c:pt>
                <c:pt idx="203">
                  <c:v>0.68</c:v>
                </c:pt>
                <c:pt idx="204">
                  <c:v>0.44</c:v>
                </c:pt>
                <c:pt idx="205">
                  <c:v>0.59</c:v>
                </c:pt>
                <c:pt idx="206">
                  <c:v>0.6</c:v>
                </c:pt>
                <c:pt idx="207">
                  <c:v>0.61</c:v>
                </c:pt>
                <c:pt idx="208">
                  <c:v>0.1</c:v>
                </c:pt>
                <c:pt idx="209">
                  <c:v>-0.01</c:v>
                </c:pt>
                <c:pt idx="210">
                  <c:v>-0.06</c:v>
                </c:pt>
                <c:pt idx="211">
                  <c:v>0.17</c:v>
                </c:pt>
                <c:pt idx="212">
                  <c:v>0.42</c:v>
                </c:pt>
                <c:pt idx="213">
                  <c:v>0.06</c:v>
                </c:pt>
                <c:pt idx="214">
                  <c:v>-0.09</c:v>
                </c:pt>
                <c:pt idx="215">
                  <c:v>-0.04</c:v>
                </c:pt>
                <c:pt idx="216">
                  <c:v>0.36</c:v>
                </c:pt>
                <c:pt idx="217">
                  <c:v>-0.28000000000000003</c:v>
                </c:pt>
                <c:pt idx="218">
                  <c:v>0.38</c:v>
                </c:pt>
                <c:pt idx="219">
                  <c:v>-0.53</c:v>
                </c:pt>
                <c:pt idx="220">
                  <c:v>-0.2</c:v>
                </c:pt>
                <c:pt idx="221">
                  <c:v>0.54</c:v>
                </c:pt>
                <c:pt idx="222">
                  <c:v>0.24</c:v>
                </c:pt>
                <c:pt idx="223">
                  <c:v>-0.38</c:v>
                </c:pt>
                <c:pt idx="224">
                  <c:v>0.33</c:v>
                </c:pt>
                <c:pt idx="225">
                  <c:v>0.28000000000000003</c:v>
                </c:pt>
                <c:pt idx="226">
                  <c:v>0.61</c:v>
                </c:pt>
                <c:pt idx="227">
                  <c:v>-0.53</c:v>
                </c:pt>
                <c:pt idx="228">
                  <c:v>-0.2</c:v>
                </c:pt>
                <c:pt idx="229">
                  <c:v>0.52</c:v>
                </c:pt>
                <c:pt idx="230">
                  <c:v>-0.15</c:v>
                </c:pt>
                <c:pt idx="231">
                  <c:v>-0.13</c:v>
                </c:pt>
                <c:pt idx="232">
                  <c:v>0.34</c:v>
                </c:pt>
                <c:pt idx="233">
                  <c:v>0.08</c:v>
                </c:pt>
                <c:pt idx="234">
                  <c:v>0.65</c:v>
                </c:pt>
                <c:pt idx="235">
                  <c:v>-0.26</c:v>
                </c:pt>
                <c:pt idx="236">
                  <c:v>0.02</c:v>
                </c:pt>
                <c:pt idx="237">
                  <c:v>0.95</c:v>
                </c:pt>
                <c:pt idx="238">
                  <c:v>-0.97</c:v>
                </c:pt>
                <c:pt idx="239">
                  <c:v>1.51</c:v>
                </c:pt>
                <c:pt idx="240">
                  <c:v>0.14000000000000001</c:v>
                </c:pt>
                <c:pt idx="241">
                  <c:v>0.25</c:v>
                </c:pt>
                <c:pt idx="242">
                  <c:v>0.43</c:v>
                </c:pt>
                <c:pt idx="243">
                  <c:v>0.28999999999999998</c:v>
                </c:pt>
                <c:pt idx="244">
                  <c:v>0.67</c:v>
                </c:pt>
                <c:pt idx="245">
                  <c:v>0.32</c:v>
                </c:pt>
                <c:pt idx="246">
                  <c:v>0.47</c:v>
                </c:pt>
                <c:pt idx="247">
                  <c:v>0.71</c:v>
                </c:pt>
                <c:pt idx="248">
                  <c:v>0.26</c:v>
                </c:pt>
                <c:pt idx="249">
                  <c:v>0.55000000000000004</c:v>
                </c:pt>
                <c:pt idx="250">
                  <c:v>-0.16</c:v>
                </c:pt>
                <c:pt idx="251">
                  <c:v>0.52</c:v>
                </c:pt>
                <c:pt idx="252">
                  <c:v>0.45</c:v>
                </c:pt>
                <c:pt idx="253">
                  <c:v>0.27</c:v>
                </c:pt>
                <c:pt idx="254">
                  <c:v>-0.03</c:v>
                </c:pt>
                <c:pt idx="255">
                  <c:v>0.46</c:v>
                </c:pt>
                <c:pt idx="256">
                  <c:v>-0.02</c:v>
                </c:pt>
                <c:pt idx="257">
                  <c:v>0.04</c:v>
                </c:pt>
                <c:pt idx="258">
                  <c:v>0.06</c:v>
                </c:pt>
                <c:pt idx="259">
                  <c:v>0.49</c:v>
                </c:pt>
                <c:pt idx="260">
                  <c:v>0.25</c:v>
                </c:pt>
                <c:pt idx="261">
                  <c:v>0.56999999999999995</c:v>
                </c:pt>
                <c:pt idx="262">
                  <c:v>0.26</c:v>
                </c:pt>
                <c:pt idx="263">
                  <c:v>-0.45</c:v>
                </c:pt>
                <c:pt idx="264">
                  <c:v>-0.16</c:v>
                </c:pt>
                <c:pt idx="265">
                  <c:v>0.12</c:v>
                </c:pt>
                <c:pt idx="266">
                  <c:v>-0.6</c:v>
                </c:pt>
                <c:pt idx="267">
                  <c:v>-0.21</c:v>
                </c:pt>
                <c:pt idx="268">
                  <c:v>-0.83</c:v>
                </c:pt>
                <c:pt idx="269">
                  <c:v>0.66</c:v>
                </c:pt>
                <c:pt idx="270">
                  <c:v>-0.51</c:v>
                </c:pt>
                <c:pt idx="271">
                  <c:v>-0.42</c:v>
                </c:pt>
                <c:pt idx="272">
                  <c:v>0.15</c:v>
                </c:pt>
                <c:pt idx="273">
                  <c:v>-0.02</c:v>
                </c:pt>
                <c:pt idx="274">
                  <c:v>-0.23</c:v>
                </c:pt>
                <c:pt idx="275">
                  <c:v>0.55000000000000004</c:v>
                </c:pt>
                <c:pt idx="276">
                  <c:v>0.17</c:v>
                </c:pt>
                <c:pt idx="277">
                  <c:v>-0.71</c:v>
                </c:pt>
                <c:pt idx="278">
                  <c:v>0.02</c:v>
                </c:pt>
                <c:pt idx="279">
                  <c:v>-0.04</c:v>
                </c:pt>
                <c:pt idx="280">
                  <c:v>-0.57999999999999996</c:v>
                </c:pt>
                <c:pt idx="281">
                  <c:v>-0.22</c:v>
                </c:pt>
                <c:pt idx="282">
                  <c:v>-0.81</c:v>
                </c:pt>
                <c:pt idx="283">
                  <c:v>-0.92</c:v>
                </c:pt>
                <c:pt idx="284">
                  <c:v>-1.4</c:v>
                </c:pt>
                <c:pt idx="285">
                  <c:v>-0.96</c:v>
                </c:pt>
                <c:pt idx="286">
                  <c:v>-1.0900000000000001</c:v>
                </c:pt>
                <c:pt idx="287">
                  <c:v>-0.86</c:v>
                </c:pt>
                <c:pt idx="288">
                  <c:v>-0.9</c:v>
                </c:pt>
                <c:pt idx="289">
                  <c:v>0.02</c:v>
                </c:pt>
                <c:pt idx="290">
                  <c:v>-0.05</c:v>
                </c:pt>
                <c:pt idx="291">
                  <c:v>0.03</c:v>
                </c:pt>
                <c:pt idx="292">
                  <c:v>0.15</c:v>
                </c:pt>
                <c:pt idx="293">
                  <c:v>-0.34</c:v>
                </c:pt>
                <c:pt idx="294">
                  <c:v>0.26</c:v>
                </c:pt>
                <c:pt idx="295">
                  <c:v>-0.36</c:v>
                </c:pt>
                <c:pt idx="296">
                  <c:v>-0.4</c:v>
                </c:pt>
                <c:pt idx="297">
                  <c:v>-0.81</c:v>
                </c:pt>
                <c:pt idx="298">
                  <c:v>-7.0000000000000007E-2</c:v>
                </c:pt>
                <c:pt idx="299">
                  <c:v>0.1</c:v>
                </c:pt>
                <c:pt idx="300">
                  <c:v>0.44</c:v>
                </c:pt>
                <c:pt idx="301">
                  <c:v>0.23</c:v>
                </c:pt>
                <c:pt idx="302">
                  <c:v>-0.06</c:v>
                </c:pt>
                <c:pt idx="303">
                  <c:v>0.05</c:v>
                </c:pt>
                <c:pt idx="304">
                  <c:v>0.42</c:v>
                </c:pt>
                <c:pt idx="305">
                  <c:v>-0.61</c:v>
                </c:pt>
                <c:pt idx="306">
                  <c:v>0.09</c:v>
                </c:pt>
                <c:pt idx="307">
                  <c:v>0.2</c:v>
                </c:pt>
                <c:pt idx="308">
                  <c:v>0.1</c:v>
                </c:pt>
                <c:pt idx="309">
                  <c:v>0.46</c:v>
                </c:pt>
                <c:pt idx="310">
                  <c:v>0.21</c:v>
                </c:pt>
                <c:pt idx="311">
                  <c:v>0.16</c:v>
                </c:pt>
                <c:pt idx="312">
                  <c:v>-0.46</c:v>
                </c:pt>
                <c:pt idx="313">
                  <c:v>0.26</c:v>
                </c:pt>
                <c:pt idx="314">
                  <c:v>-0.12</c:v>
                </c:pt>
                <c:pt idx="315">
                  <c:v>0.04</c:v>
                </c:pt>
                <c:pt idx="316">
                  <c:v>-0.01</c:v>
                </c:pt>
                <c:pt idx="317">
                  <c:v>-0.03</c:v>
                </c:pt>
                <c:pt idx="318">
                  <c:v>0.4</c:v>
                </c:pt>
                <c:pt idx="319">
                  <c:v>0.36</c:v>
                </c:pt>
                <c:pt idx="320">
                  <c:v>0.28999999999999998</c:v>
                </c:pt>
                <c:pt idx="321">
                  <c:v>0.5</c:v>
                </c:pt>
                <c:pt idx="322">
                  <c:v>7.0000000000000007E-2</c:v>
                </c:pt>
                <c:pt idx="323">
                  <c:v>0.21</c:v>
                </c:pt>
                <c:pt idx="324">
                  <c:v>0.98</c:v>
                </c:pt>
                <c:pt idx="325">
                  <c:v>0.26</c:v>
                </c:pt>
                <c:pt idx="326">
                  <c:v>0.41</c:v>
                </c:pt>
                <c:pt idx="327">
                  <c:v>0.45</c:v>
                </c:pt>
                <c:pt idx="328">
                  <c:v>0.05</c:v>
                </c:pt>
                <c:pt idx="329">
                  <c:v>0.82</c:v>
                </c:pt>
                <c:pt idx="330">
                  <c:v>0.12</c:v>
                </c:pt>
                <c:pt idx="331">
                  <c:v>0.63</c:v>
                </c:pt>
                <c:pt idx="332">
                  <c:v>0.53</c:v>
                </c:pt>
                <c:pt idx="333">
                  <c:v>0.62</c:v>
                </c:pt>
                <c:pt idx="334">
                  <c:v>0.12</c:v>
                </c:pt>
                <c:pt idx="335">
                  <c:v>-0.25</c:v>
                </c:pt>
                <c:pt idx="336">
                  <c:v>-7.0000000000000007E-2</c:v>
                </c:pt>
                <c:pt idx="337">
                  <c:v>-0.55000000000000004</c:v>
                </c:pt>
                <c:pt idx="338">
                  <c:v>0.02</c:v>
                </c:pt>
                <c:pt idx="339">
                  <c:v>0.23</c:v>
                </c:pt>
                <c:pt idx="340">
                  <c:v>-0.59</c:v>
                </c:pt>
                <c:pt idx="341">
                  <c:v>0.74</c:v>
                </c:pt>
                <c:pt idx="342">
                  <c:v>0.13</c:v>
                </c:pt>
                <c:pt idx="343">
                  <c:v>-0.28999999999999998</c:v>
                </c:pt>
                <c:pt idx="344">
                  <c:v>0.03</c:v>
                </c:pt>
                <c:pt idx="345">
                  <c:v>7.0000000000000007E-2</c:v>
                </c:pt>
                <c:pt idx="346">
                  <c:v>-0.87</c:v>
                </c:pt>
                <c:pt idx="347">
                  <c:v>0.74</c:v>
                </c:pt>
                <c:pt idx="348">
                  <c:v>-0.14000000000000001</c:v>
                </c:pt>
                <c:pt idx="349">
                  <c:v>0.43</c:v>
                </c:pt>
                <c:pt idx="350">
                  <c:v>0.39</c:v>
                </c:pt>
                <c:pt idx="351">
                  <c:v>0.35</c:v>
                </c:pt>
                <c:pt idx="352">
                  <c:v>0.06</c:v>
                </c:pt>
                <c:pt idx="353">
                  <c:v>0.22</c:v>
                </c:pt>
                <c:pt idx="354">
                  <c:v>0.3</c:v>
                </c:pt>
                <c:pt idx="355">
                  <c:v>0.05</c:v>
                </c:pt>
                <c:pt idx="356">
                  <c:v>0.49</c:v>
                </c:pt>
                <c:pt idx="357">
                  <c:v>0.06</c:v>
                </c:pt>
                <c:pt idx="358">
                  <c:v>0.27</c:v>
                </c:pt>
                <c:pt idx="359">
                  <c:v>0.82</c:v>
                </c:pt>
                <c:pt idx="360">
                  <c:v>0.3</c:v>
                </c:pt>
                <c:pt idx="361">
                  <c:v>0.08</c:v>
                </c:pt>
                <c:pt idx="362">
                  <c:v>0.22</c:v>
                </c:pt>
                <c:pt idx="363">
                  <c:v>0.38</c:v>
                </c:pt>
                <c:pt idx="364">
                  <c:v>0.65</c:v>
                </c:pt>
                <c:pt idx="365">
                  <c:v>0.28999999999999998</c:v>
                </c:pt>
                <c:pt idx="366">
                  <c:v>0.63</c:v>
                </c:pt>
                <c:pt idx="367">
                  <c:v>0.44</c:v>
                </c:pt>
                <c:pt idx="368">
                  <c:v>0.61</c:v>
                </c:pt>
                <c:pt idx="369">
                  <c:v>0.06</c:v>
                </c:pt>
                <c:pt idx="370">
                  <c:v>0.31</c:v>
                </c:pt>
                <c:pt idx="371">
                  <c:v>0.33</c:v>
                </c:pt>
                <c:pt idx="372">
                  <c:v>-0.01</c:v>
                </c:pt>
                <c:pt idx="373">
                  <c:v>0.24</c:v>
                </c:pt>
                <c:pt idx="374">
                  <c:v>0.28000000000000003</c:v>
                </c:pt>
                <c:pt idx="375">
                  <c:v>-0.44</c:v>
                </c:pt>
                <c:pt idx="376">
                  <c:v>-0.47</c:v>
                </c:pt>
                <c:pt idx="377">
                  <c:v>1.06</c:v>
                </c:pt>
                <c:pt idx="378">
                  <c:v>-0.01</c:v>
                </c:pt>
                <c:pt idx="379">
                  <c:v>0.28000000000000003</c:v>
                </c:pt>
                <c:pt idx="380">
                  <c:v>0.05</c:v>
                </c:pt>
                <c:pt idx="381">
                  <c:v>0.25</c:v>
                </c:pt>
                <c:pt idx="382">
                  <c:v>0.11</c:v>
                </c:pt>
                <c:pt idx="383">
                  <c:v>0.54</c:v>
                </c:pt>
                <c:pt idx="384">
                  <c:v>-0.08</c:v>
                </c:pt>
                <c:pt idx="385">
                  <c:v>0</c:v>
                </c:pt>
                <c:pt idx="386">
                  <c:v>0.56000000000000005</c:v>
                </c:pt>
                <c:pt idx="387">
                  <c:v>-0.08</c:v>
                </c:pt>
                <c:pt idx="388">
                  <c:v>0.18</c:v>
                </c:pt>
                <c:pt idx="389">
                  <c:v>0.34</c:v>
                </c:pt>
                <c:pt idx="390">
                  <c:v>-0.19</c:v>
                </c:pt>
                <c:pt idx="391">
                  <c:v>0.75</c:v>
                </c:pt>
                <c:pt idx="392">
                  <c:v>0.36</c:v>
                </c:pt>
                <c:pt idx="393">
                  <c:v>0.6</c:v>
                </c:pt>
                <c:pt idx="394">
                  <c:v>0.16</c:v>
                </c:pt>
                <c:pt idx="395">
                  <c:v>-0.23</c:v>
                </c:pt>
                <c:pt idx="396">
                  <c:v>0.44</c:v>
                </c:pt>
                <c:pt idx="397">
                  <c:v>0.42</c:v>
                </c:pt>
                <c:pt idx="398">
                  <c:v>-0.35</c:v>
                </c:pt>
                <c:pt idx="399">
                  <c:v>0.12</c:v>
                </c:pt>
                <c:pt idx="400">
                  <c:v>-0.28999999999999998</c:v>
                </c:pt>
                <c:pt idx="401">
                  <c:v>-0.36</c:v>
                </c:pt>
                <c:pt idx="402">
                  <c:v>0.36</c:v>
                </c:pt>
                <c:pt idx="403">
                  <c:v>-0.52</c:v>
                </c:pt>
                <c:pt idx="404">
                  <c:v>-0.36</c:v>
                </c:pt>
                <c:pt idx="405">
                  <c:v>-0.27</c:v>
                </c:pt>
                <c:pt idx="406">
                  <c:v>-0.66</c:v>
                </c:pt>
                <c:pt idx="407">
                  <c:v>-0.56999999999999995</c:v>
                </c:pt>
                <c:pt idx="408">
                  <c:v>-0.69</c:v>
                </c:pt>
                <c:pt idx="409">
                  <c:v>-0.89</c:v>
                </c:pt>
                <c:pt idx="410">
                  <c:v>-0.43</c:v>
                </c:pt>
                <c:pt idx="411">
                  <c:v>-0.92</c:v>
                </c:pt>
                <c:pt idx="412">
                  <c:v>-0.52</c:v>
                </c:pt>
                <c:pt idx="413">
                  <c:v>-0.43</c:v>
                </c:pt>
                <c:pt idx="414">
                  <c:v>-1.1200000000000001</c:v>
                </c:pt>
                <c:pt idx="415">
                  <c:v>-0.18</c:v>
                </c:pt>
                <c:pt idx="416">
                  <c:v>-0.81</c:v>
                </c:pt>
                <c:pt idx="417">
                  <c:v>-0.32</c:v>
                </c:pt>
                <c:pt idx="418">
                  <c:v>-0.05</c:v>
                </c:pt>
                <c:pt idx="419">
                  <c:v>-0.1</c:v>
                </c:pt>
                <c:pt idx="420">
                  <c:v>-0.03</c:v>
                </c:pt>
                <c:pt idx="421">
                  <c:v>0.16</c:v>
                </c:pt>
                <c:pt idx="422">
                  <c:v>7.0000000000000007E-2</c:v>
                </c:pt>
                <c:pt idx="423">
                  <c:v>0.28999999999999998</c:v>
                </c:pt>
                <c:pt idx="424">
                  <c:v>-0.27</c:v>
                </c:pt>
                <c:pt idx="425">
                  <c:v>-0.06</c:v>
                </c:pt>
                <c:pt idx="426">
                  <c:v>-0.34</c:v>
                </c:pt>
                <c:pt idx="427">
                  <c:v>-0.35</c:v>
                </c:pt>
                <c:pt idx="428">
                  <c:v>0.14000000000000001</c:v>
                </c:pt>
                <c:pt idx="429">
                  <c:v>-0.59</c:v>
                </c:pt>
                <c:pt idx="430">
                  <c:v>0.39</c:v>
                </c:pt>
                <c:pt idx="431">
                  <c:v>-0.47</c:v>
                </c:pt>
                <c:pt idx="432">
                  <c:v>-0.18</c:v>
                </c:pt>
                <c:pt idx="433">
                  <c:v>-0.63</c:v>
                </c:pt>
                <c:pt idx="434">
                  <c:v>0.01</c:v>
                </c:pt>
                <c:pt idx="435">
                  <c:v>0.14000000000000001</c:v>
                </c:pt>
                <c:pt idx="436">
                  <c:v>0.09</c:v>
                </c:pt>
                <c:pt idx="437">
                  <c:v>-0.15</c:v>
                </c:pt>
                <c:pt idx="438">
                  <c:v>0.35</c:v>
                </c:pt>
                <c:pt idx="439">
                  <c:v>0.14000000000000001</c:v>
                </c:pt>
                <c:pt idx="440">
                  <c:v>0.48</c:v>
                </c:pt>
                <c:pt idx="441">
                  <c:v>0.04</c:v>
                </c:pt>
                <c:pt idx="442">
                  <c:v>0.05</c:v>
                </c:pt>
                <c:pt idx="443">
                  <c:v>0.46</c:v>
                </c:pt>
                <c:pt idx="444">
                  <c:v>0.55000000000000004</c:v>
                </c:pt>
                <c:pt idx="445">
                  <c:v>0.08</c:v>
                </c:pt>
                <c:pt idx="446">
                  <c:v>0.56000000000000005</c:v>
                </c:pt>
                <c:pt idx="447">
                  <c:v>-0.28000000000000003</c:v>
                </c:pt>
                <c:pt idx="448">
                  <c:v>0.47</c:v>
                </c:pt>
                <c:pt idx="449">
                  <c:v>0.3</c:v>
                </c:pt>
                <c:pt idx="450">
                  <c:v>0.17</c:v>
                </c:pt>
                <c:pt idx="451">
                  <c:v>0.44</c:v>
                </c:pt>
                <c:pt idx="452">
                  <c:v>0.04</c:v>
                </c:pt>
                <c:pt idx="453">
                  <c:v>0.85</c:v>
                </c:pt>
                <c:pt idx="454">
                  <c:v>0.19</c:v>
                </c:pt>
                <c:pt idx="455">
                  <c:v>0.4</c:v>
                </c:pt>
                <c:pt idx="456">
                  <c:v>-0.28000000000000003</c:v>
                </c:pt>
                <c:pt idx="457">
                  <c:v>0.56999999999999995</c:v>
                </c:pt>
                <c:pt idx="458">
                  <c:v>-0.02</c:v>
                </c:pt>
                <c:pt idx="459">
                  <c:v>0.41</c:v>
                </c:pt>
                <c:pt idx="460">
                  <c:v>-0.05</c:v>
                </c:pt>
                <c:pt idx="461">
                  <c:v>0.21</c:v>
                </c:pt>
                <c:pt idx="462">
                  <c:v>-0.62</c:v>
                </c:pt>
                <c:pt idx="463">
                  <c:v>0.65</c:v>
                </c:pt>
                <c:pt idx="464">
                  <c:v>0.75</c:v>
                </c:pt>
                <c:pt idx="465">
                  <c:v>0.33</c:v>
                </c:pt>
                <c:pt idx="466">
                  <c:v>0.48</c:v>
                </c:pt>
                <c:pt idx="467">
                  <c:v>0.1</c:v>
                </c:pt>
                <c:pt idx="468">
                  <c:v>0.23</c:v>
                </c:pt>
                <c:pt idx="469">
                  <c:v>-0.09</c:v>
                </c:pt>
                <c:pt idx="470">
                  <c:v>0.02</c:v>
                </c:pt>
                <c:pt idx="471">
                  <c:v>0.03</c:v>
                </c:pt>
                <c:pt idx="472">
                  <c:v>-0.28000000000000003</c:v>
                </c:pt>
                <c:pt idx="473">
                  <c:v>0.18</c:v>
                </c:pt>
                <c:pt idx="474">
                  <c:v>0</c:v>
                </c:pt>
                <c:pt idx="475">
                  <c:v>-0.27</c:v>
                </c:pt>
                <c:pt idx="476">
                  <c:v>-0.11</c:v>
                </c:pt>
                <c:pt idx="477">
                  <c:v>0.77</c:v>
                </c:pt>
                <c:pt idx="478">
                  <c:v>-0.48</c:v>
                </c:pt>
                <c:pt idx="479">
                  <c:v>0.2</c:v>
                </c:pt>
                <c:pt idx="480">
                  <c:v>0.24</c:v>
                </c:pt>
                <c:pt idx="481">
                  <c:v>-0.09</c:v>
                </c:pt>
                <c:pt idx="482">
                  <c:v>0.05</c:v>
                </c:pt>
                <c:pt idx="483">
                  <c:v>-0.02</c:v>
                </c:pt>
                <c:pt idx="484">
                  <c:v>-0.4</c:v>
                </c:pt>
                <c:pt idx="485">
                  <c:v>-7.0000000000000007E-2</c:v>
                </c:pt>
                <c:pt idx="486">
                  <c:v>-0.08</c:v>
                </c:pt>
                <c:pt idx="487">
                  <c:v>-0.27</c:v>
                </c:pt>
                <c:pt idx="488">
                  <c:v>-0.08</c:v>
                </c:pt>
                <c:pt idx="489">
                  <c:v>-0.45</c:v>
                </c:pt>
                <c:pt idx="490">
                  <c:v>-0.23</c:v>
                </c:pt>
                <c:pt idx="491">
                  <c:v>-0.8</c:v>
                </c:pt>
                <c:pt idx="492">
                  <c:v>-0.79</c:v>
                </c:pt>
                <c:pt idx="493">
                  <c:v>-0.67</c:v>
                </c:pt>
                <c:pt idx="494">
                  <c:v>-0.84</c:v>
                </c:pt>
                <c:pt idx="495">
                  <c:v>-0.72</c:v>
                </c:pt>
                <c:pt idx="496">
                  <c:v>-1.21</c:v>
                </c:pt>
                <c:pt idx="497">
                  <c:v>-1.26</c:v>
                </c:pt>
                <c:pt idx="498">
                  <c:v>-2.58</c:v>
                </c:pt>
                <c:pt idx="499">
                  <c:v>-1.1299999999999999</c:v>
                </c:pt>
                <c:pt idx="500">
                  <c:v>-2.35</c:v>
                </c:pt>
                <c:pt idx="501">
                  <c:v>-2.68</c:v>
                </c:pt>
                <c:pt idx="502">
                  <c:v>-3.04</c:v>
                </c:pt>
                <c:pt idx="503">
                  <c:v>-1.24</c:v>
                </c:pt>
                <c:pt idx="504">
                  <c:v>-2.35</c:v>
                </c:pt>
                <c:pt idx="505">
                  <c:v>-1.61</c:v>
                </c:pt>
                <c:pt idx="506">
                  <c:v>-1.2</c:v>
                </c:pt>
                <c:pt idx="507">
                  <c:v>-0.93</c:v>
                </c:pt>
                <c:pt idx="508">
                  <c:v>0.14000000000000001</c:v>
                </c:pt>
                <c:pt idx="509">
                  <c:v>-0.01</c:v>
                </c:pt>
                <c:pt idx="510">
                  <c:v>-0.21</c:v>
                </c:pt>
                <c:pt idx="511">
                  <c:v>-0.28999999999999998</c:v>
                </c:pt>
                <c:pt idx="512">
                  <c:v>0.06</c:v>
                </c:pt>
                <c:pt idx="513">
                  <c:v>-0.28999999999999998</c:v>
                </c:pt>
                <c:pt idx="514">
                  <c:v>0.16</c:v>
                </c:pt>
                <c:pt idx="515">
                  <c:v>-0.35</c:v>
                </c:pt>
                <c:pt idx="516">
                  <c:v>0.48</c:v>
                </c:pt>
                <c:pt idx="517">
                  <c:v>0.4</c:v>
                </c:pt>
                <c:pt idx="518">
                  <c:v>0.3</c:v>
                </c:pt>
                <c:pt idx="519">
                  <c:v>-0.17</c:v>
                </c:pt>
                <c:pt idx="520">
                  <c:v>0.15</c:v>
                </c:pt>
                <c:pt idx="521">
                  <c:v>-0.16</c:v>
                </c:pt>
                <c:pt idx="522">
                  <c:v>-0.19</c:v>
                </c:pt>
                <c:pt idx="523">
                  <c:v>-0.12</c:v>
                </c:pt>
                <c:pt idx="524">
                  <c:v>-0.19</c:v>
                </c:pt>
                <c:pt idx="525">
                  <c:v>0.09</c:v>
                </c:pt>
                <c:pt idx="526">
                  <c:v>0.02</c:v>
                </c:pt>
                <c:pt idx="527">
                  <c:v>-0.38</c:v>
                </c:pt>
                <c:pt idx="528">
                  <c:v>0.41</c:v>
                </c:pt>
                <c:pt idx="529">
                  <c:v>-0.48</c:v>
                </c:pt>
                <c:pt idx="530">
                  <c:v>-0.34</c:v>
                </c:pt>
                <c:pt idx="531">
                  <c:v>0.01</c:v>
                </c:pt>
                <c:pt idx="532">
                  <c:v>0.17</c:v>
                </c:pt>
                <c:pt idx="533">
                  <c:v>0.01</c:v>
                </c:pt>
                <c:pt idx="534">
                  <c:v>-0.27</c:v>
                </c:pt>
                <c:pt idx="535">
                  <c:v>0.16</c:v>
                </c:pt>
                <c:pt idx="536">
                  <c:v>-0.35</c:v>
                </c:pt>
                <c:pt idx="537">
                  <c:v>0.28000000000000003</c:v>
                </c:pt>
                <c:pt idx="538">
                  <c:v>0.37</c:v>
                </c:pt>
                <c:pt idx="539">
                  <c:v>0</c:v>
                </c:pt>
                <c:pt idx="540">
                  <c:v>-0.39</c:v>
                </c:pt>
                <c:pt idx="541">
                  <c:v>0.06</c:v>
                </c:pt>
                <c:pt idx="542">
                  <c:v>-0.17</c:v>
                </c:pt>
                <c:pt idx="543">
                  <c:v>-0.33</c:v>
                </c:pt>
                <c:pt idx="544">
                  <c:v>-0.28000000000000003</c:v>
                </c:pt>
                <c:pt idx="545">
                  <c:v>-0.45</c:v>
                </c:pt>
                <c:pt idx="546">
                  <c:v>-0.11</c:v>
                </c:pt>
                <c:pt idx="547">
                  <c:v>-0.26</c:v>
                </c:pt>
                <c:pt idx="548">
                  <c:v>0.28000000000000003</c:v>
                </c:pt>
                <c:pt idx="549">
                  <c:v>0.14000000000000001</c:v>
                </c:pt>
                <c:pt idx="550">
                  <c:v>-0.33</c:v>
                </c:pt>
                <c:pt idx="551">
                  <c:v>0.23</c:v>
                </c:pt>
                <c:pt idx="552">
                  <c:v>-0.26</c:v>
                </c:pt>
                <c:pt idx="553">
                  <c:v>-0.28999999999999998</c:v>
                </c:pt>
                <c:pt idx="554">
                  <c:v>0.14000000000000001</c:v>
                </c:pt>
                <c:pt idx="555">
                  <c:v>-0.14000000000000001</c:v>
                </c:pt>
                <c:pt idx="556">
                  <c:v>-0.52</c:v>
                </c:pt>
                <c:pt idx="557">
                  <c:v>0.3</c:v>
                </c:pt>
                <c:pt idx="558">
                  <c:v>0.1</c:v>
                </c:pt>
                <c:pt idx="559">
                  <c:v>0.01</c:v>
                </c:pt>
                <c:pt idx="560">
                  <c:v>0.3</c:v>
                </c:pt>
                <c:pt idx="561">
                  <c:v>-0.15</c:v>
                </c:pt>
                <c:pt idx="562">
                  <c:v>-0.7</c:v>
                </c:pt>
                <c:pt idx="563">
                  <c:v>0.44</c:v>
                </c:pt>
                <c:pt idx="564">
                  <c:v>0.48</c:v>
                </c:pt>
                <c:pt idx="565">
                  <c:v>0.05</c:v>
                </c:pt>
                <c:pt idx="566">
                  <c:v>0.12</c:v>
                </c:pt>
                <c:pt idx="567">
                  <c:v>0.14000000000000001</c:v>
                </c:pt>
                <c:pt idx="568">
                  <c:v>0.3</c:v>
                </c:pt>
                <c:pt idx="569">
                  <c:v>-0.23</c:v>
                </c:pt>
                <c:pt idx="570">
                  <c:v>0.01</c:v>
                </c:pt>
                <c:pt idx="571">
                  <c:v>0.04</c:v>
                </c:pt>
                <c:pt idx="572">
                  <c:v>0.27</c:v>
                </c:pt>
                <c:pt idx="573">
                  <c:v>0.06</c:v>
                </c:pt>
                <c:pt idx="574">
                  <c:v>-0.26</c:v>
                </c:pt>
                <c:pt idx="575">
                  <c:v>-0.48</c:v>
                </c:pt>
                <c:pt idx="576">
                  <c:v>0.01</c:v>
                </c:pt>
                <c:pt idx="577">
                  <c:v>0</c:v>
                </c:pt>
                <c:pt idx="578">
                  <c:v>-0.34</c:v>
                </c:pt>
                <c:pt idx="579">
                  <c:v>-0.14000000000000001</c:v>
                </c:pt>
                <c:pt idx="580">
                  <c:v>0.35</c:v>
                </c:pt>
                <c:pt idx="581">
                  <c:v>-0.28000000000000003</c:v>
                </c:pt>
                <c:pt idx="582">
                  <c:v>-0.12</c:v>
                </c:pt>
                <c:pt idx="583">
                  <c:v>-0.26</c:v>
                </c:pt>
                <c:pt idx="584">
                  <c:v>-0.36</c:v>
                </c:pt>
                <c:pt idx="585">
                  <c:v>-0.3</c:v>
                </c:pt>
                <c:pt idx="586">
                  <c:v>0.09</c:v>
                </c:pt>
                <c:pt idx="587">
                  <c:v>-0.23</c:v>
                </c:pt>
                <c:pt idx="588">
                  <c:v>-0.33</c:v>
                </c:pt>
                <c:pt idx="589">
                  <c:v>-0.1</c:v>
                </c:pt>
                <c:pt idx="590">
                  <c:v>-0.35</c:v>
                </c:pt>
                <c:pt idx="591">
                  <c:v>0.13</c:v>
                </c:pt>
                <c:pt idx="592">
                  <c:v>0.05</c:v>
                </c:pt>
                <c:pt idx="593">
                  <c:v>-0.22</c:v>
                </c:pt>
                <c:pt idx="594">
                  <c:v>-0.09</c:v>
                </c:pt>
                <c:pt idx="595">
                  <c:v>-7.0000000000000007E-2</c:v>
                </c:pt>
                <c:pt idx="596">
                  <c:v>-0.22</c:v>
                </c:pt>
                <c:pt idx="597">
                  <c:v>0.38</c:v>
                </c:pt>
                <c:pt idx="598">
                  <c:v>-0.11</c:v>
                </c:pt>
                <c:pt idx="599">
                  <c:v>-0.09</c:v>
                </c:pt>
                <c:pt idx="600">
                  <c:v>0.02</c:v>
                </c:pt>
                <c:pt idx="601">
                  <c:v>0.34</c:v>
                </c:pt>
                <c:pt idx="602">
                  <c:v>0.02</c:v>
                </c:pt>
                <c:pt idx="603">
                  <c:v>0.16</c:v>
                </c:pt>
                <c:pt idx="604">
                  <c:v>-0.16</c:v>
                </c:pt>
                <c:pt idx="605">
                  <c:v>0.01</c:v>
                </c:pt>
                <c:pt idx="606">
                  <c:v>0.18</c:v>
                </c:pt>
                <c:pt idx="607">
                  <c:v>0.54</c:v>
                </c:pt>
                <c:pt idx="608">
                  <c:v>0.23</c:v>
                </c:pt>
                <c:pt idx="609">
                  <c:v>0.2</c:v>
                </c:pt>
                <c:pt idx="610">
                  <c:v>-0.23</c:v>
                </c:pt>
                <c:pt idx="611">
                  <c:v>0.47</c:v>
                </c:pt>
                <c:pt idx="612">
                  <c:v>0.1</c:v>
                </c:pt>
                <c:pt idx="613">
                  <c:v>0.39</c:v>
                </c:pt>
                <c:pt idx="614">
                  <c:v>-0.14000000000000001</c:v>
                </c:pt>
                <c:pt idx="615">
                  <c:v>0.22</c:v>
                </c:pt>
                <c:pt idx="616">
                  <c:v>0.05</c:v>
                </c:pt>
                <c:pt idx="617">
                  <c:v>0.3</c:v>
                </c:pt>
                <c:pt idx="618">
                  <c:v>0.02</c:v>
                </c:pt>
                <c:pt idx="619">
                  <c:v>-0.21</c:v>
                </c:pt>
                <c:pt idx="620">
                  <c:v>0.01</c:v>
                </c:pt>
                <c:pt idx="621">
                  <c:v>-0.13</c:v>
                </c:pt>
                <c:pt idx="622">
                  <c:v>-0.36</c:v>
                </c:pt>
                <c:pt idx="623">
                  <c:v>-0.41</c:v>
                </c:pt>
                <c:pt idx="624">
                  <c:v>-0.1</c:v>
                </c:pt>
                <c:pt idx="625">
                  <c:v>-0.51</c:v>
                </c:pt>
                <c:pt idx="626">
                  <c:v>0.02</c:v>
                </c:pt>
                <c:pt idx="627">
                  <c:v>0.04</c:v>
                </c:pt>
                <c:pt idx="628">
                  <c:v>-0.36</c:v>
                </c:pt>
                <c:pt idx="629">
                  <c:v>0.17</c:v>
                </c:pt>
                <c:pt idx="630">
                  <c:v>-0.43</c:v>
                </c:pt>
                <c:pt idx="631">
                  <c:v>-0.78</c:v>
                </c:pt>
                <c:pt idx="632">
                  <c:v>0.2</c:v>
                </c:pt>
                <c:pt idx="633">
                  <c:v>-0.35</c:v>
                </c:pt>
                <c:pt idx="634">
                  <c:v>-0.25</c:v>
                </c:pt>
                <c:pt idx="635">
                  <c:v>7.0000000000000007E-2</c:v>
                </c:pt>
                <c:pt idx="636">
                  <c:v>-4.38</c:v>
                </c:pt>
                <c:pt idx="637">
                  <c:v>-18.309999999999999</c:v>
                </c:pt>
                <c:pt idx="638">
                  <c:v>4.76</c:v>
                </c:pt>
                <c:pt idx="639">
                  <c:v>6.32</c:v>
                </c:pt>
                <c:pt idx="640">
                  <c:v>2.64</c:v>
                </c:pt>
                <c:pt idx="641">
                  <c:v>1.26</c:v>
                </c:pt>
                <c:pt idx="642">
                  <c:v>0.5</c:v>
                </c:pt>
                <c:pt idx="643">
                  <c:v>1.01</c:v>
                </c:pt>
                <c:pt idx="644">
                  <c:v>0.28000000000000003</c:v>
                </c:pt>
                <c:pt idx="645">
                  <c:v>0.68</c:v>
                </c:pt>
                <c:pt idx="646">
                  <c:v>0.86</c:v>
                </c:pt>
                <c:pt idx="647">
                  <c:v>-1.84</c:v>
                </c:pt>
                <c:pt idx="648">
                  <c:v>2.4</c:v>
                </c:pt>
                <c:pt idx="649">
                  <c:v>0.12</c:v>
                </c:pt>
                <c:pt idx="650">
                  <c:v>0.23</c:v>
                </c:pt>
                <c:pt idx="651">
                  <c:v>0.33</c:v>
                </c:pt>
                <c:pt idx="652">
                  <c:v>0.75</c:v>
                </c:pt>
                <c:pt idx="653">
                  <c:v>-0.04</c:v>
                </c:pt>
                <c:pt idx="654">
                  <c:v>-0.13</c:v>
                </c:pt>
                <c:pt idx="655">
                  <c:v>0.93</c:v>
                </c:pt>
                <c:pt idx="656">
                  <c:v>0.65</c:v>
                </c:pt>
                <c:pt idx="657">
                  <c:v>0.17</c:v>
                </c:pt>
                <c:pt idx="658">
                  <c:v>-0.04</c:v>
                </c:pt>
                <c:pt idx="659">
                  <c:v>0.4</c:v>
                </c:pt>
                <c:pt idx="660">
                  <c:v>0.43</c:v>
                </c:pt>
                <c:pt idx="661">
                  <c:v>0</c:v>
                </c:pt>
                <c:pt idx="662">
                  <c:v>-0.41</c:v>
                </c:pt>
                <c:pt idx="663">
                  <c:v>-0.25</c:v>
                </c:pt>
                <c:pt idx="664">
                  <c:v>0.2</c:v>
                </c:pt>
                <c:pt idx="665">
                  <c:v>0.04</c:v>
                </c:pt>
                <c:pt idx="666">
                  <c:v>0</c:v>
                </c:pt>
                <c:pt idx="667">
                  <c:v>0.04</c:v>
                </c:pt>
                <c:pt idx="668">
                  <c:v>-0.6</c:v>
                </c:pt>
                <c:pt idx="669">
                  <c:v>-0.46</c:v>
                </c:pt>
                <c:pt idx="670">
                  <c:v>0.56999999999999995</c:v>
                </c:pt>
                <c:pt idx="671">
                  <c:v>-0.43</c:v>
                </c:pt>
                <c:pt idx="672">
                  <c:v>-0.41</c:v>
                </c:pt>
                <c:pt idx="673">
                  <c:v>0.04</c:v>
                </c:pt>
                <c:pt idx="674">
                  <c:v>-0.18</c:v>
                </c:pt>
                <c:pt idx="675">
                  <c:v>-0.41</c:v>
                </c:pt>
                <c:pt idx="676">
                  <c:v>0.13</c:v>
                </c:pt>
                <c:pt idx="677">
                  <c:v>-0.17</c:v>
                </c:pt>
                <c:pt idx="678">
                  <c:v>-0.03</c:v>
                </c:pt>
                <c:pt idx="679">
                  <c:v>-0.51</c:v>
                </c:pt>
                <c:pt idx="680">
                  <c:v>0.14000000000000001</c:v>
                </c:pt>
                <c:pt idx="681">
                  <c:v>-0.12</c:v>
                </c:pt>
                <c:pt idx="682">
                  <c:v>-0.99</c:v>
                </c:pt>
                <c:pt idx="683">
                  <c:v>0.26</c:v>
                </c:pt>
                <c:pt idx="684">
                  <c:v>-0.13</c:v>
                </c:pt>
                <c:pt idx="685">
                  <c:v>-0.38</c:v>
                </c:pt>
                <c:pt idx="686">
                  <c:v>0.16</c:v>
                </c:pt>
                <c:pt idx="687">
                  <c:v>-0.22</c:v>
                </c:pt>
                <c:pt idx="688">
                  <c:v>-0.39</c:v>
                </c:pt>
                <c:pt idx="689">
                  <c:v>-0.08</c:v>
                </c:pt>
                <c:pt idx="690">
                  <c:v>-0.28999999999999998</c:v>
                </c:pt>
                <c:pt idx="691">
                  <c:v>-0.56000000000000005</c:v>
                </c:pt>
                <c:pt idx="692">
                  <c:v>-0.06</c:v>
                </c:pt>
                <c:pt idx="693">
                  <c:v>0.33</c:v>
                </c:pt>
                <c:pt idx="694">
                  <c:v>-0.5</c:v>
                </c:pt>
                <c:pt idx="695">
                  <c:v>0.39</c:v>
                </c:pt>
                <c:pt idx="696">
                  <c:v>0.16</c:v>
                </c:pt>
                <c:pt idx="697">
                  <c:v>-0.36</c:v>
                </c:pt>
                <c:pt idx="698">
                  <c:v>-0.3</c:v>
                </c:pt>
                <c:pt idx="699">
                  <c:v>-7.0000000000000007E-2</c:v>
                </c:pt>
                <c:pt idx="700">
                  <c:v>0.01</c:v>
                </c:pt>
                <c:pt idx="701">
                  <c:v>-0.36</c:v>
                </c:pt>
                <c:pt idx="702">
                  <c:v>-0.31</c:v>
                </c:pt>
                <c:pt idx="703">
                  <c:v>-0.5</c:v>
                </c:pt>
                <c:pt idx="704">
                  <c:v>-0.3</c:v>
                </c:pt>
                <c:pt idx="705">
                  <c:v>-0.06</c:v>
                </c:pt>
                <c:pt idx="706">
                  <c:v>-7.0000000000000007E-2</c:v>
                </c:pt>
                <c:pt idx="707">
                  <c:v>0.22</c:v>
                </c:pt>
                <c:pt idx="708">
                  <c:v>-0.17</c:v>
                </c:pt>
                <c:pt idx="709">
                  <c:v>0.05</c:v>
                </c:pt>
                <c:pt idx="710">
                  <c:v>-0.19</c:v>
                </c:pt>
                <c:pt idx="711">
                  <c:v>-0.02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457-4AD3-8993-CC1E45E3B3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42198352"/>
        <c:axId val="1246797552"/>
      </c:lineChart>
      <c:dateAx>
        <c:axId val="1242198352"/>
        <c:scaling>
          <c:orientation val="minMax"/>
        </c:scaling>
        <c:delete val="0"/>
        <c:axPos val="b"/>
        <c:numFmt formatCode="yyyy/mm/dd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595959"/>
                </a:solidFill>
                <a:latin typeface="Aptos Narrow"/>
                <a:ea typeface="Aptos Narrow"/>
                <a:cs typeface="Aptos Narrow"/>
              </a:defRPr>
            </a:pPr>
            <a:endParaRPr lang="en-US"/>
          </a:p>
        </c:txPr>
        <c:crossAx val="1246797552"/>
        <c:crosses val="autoZero"/>
        <c:auto val="0"/>
        <c:lblOffset val="100"/>
        <c:baseTimeUnit val="months"/>
      </c:dateAx>
      <c:valAx>
        <c:axId val="1246797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D9D9D9"/>
              </a:solidFill>
              <a:prstDash val="solid"/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595959"/>
                </a:solidFill>
                <a:latin typeface="Aptos Narrow"/>
                <a:ea typeface="Aptos Narrow"/>
                <a:cs typeface="Aptos Narrow"/>
              </a:defRPr>
            </a:pPr>
            <a:endParaRPr lang="en-US"/>
          </a:p>
        </c:txPr>
        <c:crossAx val="1242198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rgbClr val="D9D9D9"/>
      </a:solidFill>
      <a:prstDash val="solid"/>
      <a:round/>
    </a:ln>
    <a:effectLst/>
  </c:spPr>
  <c:txPr>
    <a:bodyPr/>
    <a:lstStyle/>
    <a:p>
      <a:pPr>
        <a:defRPr sz="900">
          <a:solidFill>
            <a:srgbClr val="595959"/>
          </a:solidFill>
          <a:latin typeface="Aptos Narrow"/>
          <a:ea typeface="Aptos Narrow"/>
          <a:cs typeface="Aptos Narrow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1F4E79"/>
                </a:solidFill>
                <a:latin typeface="Aptos Narrow"/>
                <a:ea typeface="Aptos Narrow"/>
                <a:cs typeface="Aptos Narrow"/>
              </a:defRPr>
            </a:pPr>
            <a:r>
              <a:rPr lang="en-US"/>
              <a:t>CHIPMI — Chg MoM (bars) vs level (line, rhs)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1F4E79"/>
              </a:solidFill>
              <a:latin typeface="Aptos Narrow"/>
              <a:ea typeface="Aptos Narrow"/>
              <a:cs typeface="Aptos Narrow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CHIPMI!$I$12</c:f>
              <c:strCache>
                <c:ptCount val="1"/>
                <c:pt idx="0">
                  <c:v>Frequency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CHIPMI!$H$13:$H$24</c:f>
              <c:numCache>
                <c:formatCode>0.0000</c:formatCode>
                <c:ptCount val="12"/>
                <c:pt idx="0">
                  <c:v>-10.846666666666666</c:v>
                </c:pt>
                <c:pt idx="1">
                  <c:v>-7.7633333333333328</c:v>
                </c:pt>
                <c:pt idx="2">
                  <c:v>-4.68</c:v>
                </c:pt>
                <c:pt idx="3">
                  <c:v>-1.5966666666666658</c:v>
                </c:pt>
                <c:pt idx="4">
                  <c:v>1.4866666666666681</c:v>
                </c:pt>
                <c:pt idx="5">
                  <c:v>4.57</c:v>
                </c:pt>
                <c:pt idx="6">
                  <c:v>7.653333333333336</c:v>
                </c:pt>
                <c:pt idx="7">
                  <c:v>10.736666666666668</c:v>
                </c:pt>
                <c:pt idx="8">
                  <c:v>13.82</c:v>
                </c:pt>
                <c:pt idx="9">
                  <c:v>16.903333333333336</c:v>
                </c:pt>
                <c:pt idx="10">
                  <c:v>19.986666666666672</c:v>
                </c:pt>
                <c:pt idx="11">
                  <c:v>23.07</c:v>
                </c:pt>
              </c:numCache>
            </c:numRef>
          </c:cat>
          <c:val>
            <c:numRef>
              <c:f>CHIPMI!$I$13:$I$24</c:f>
              <c:numCache>
                <c:formatCode>General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8</c:v>
                </c:pt>
                <c:pt idx="4">
                  <c:v>686</c:v>
                </c:pt>
                <c:pt idx="5">
                  <c:v>15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6A-4C8B-8620-B48DBF4849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42196032"/>
        <c:axId val="1246802352"/>
      </c:barChart>
      <c:catAx>
        <c:axId val="1242196032"/>
        <c:scaling>
          <c:orientation val="minMax"/>
        </c:scaling>
        <c:delete val="0"/>
        <c:axPos val="b"/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595959"/>
                </a:solidFill>
                <a:latin typeface="Aptos Narrow"/>
                <a:ea typeface="Aptos Narrow"/>
                <a:cs typeface="Aptos Narrow"/>
              </a:defRPr>
            </a:pPr>
            <a:endParaRPr lang="en-US"/>
          </a:p>
        </c:txPr>
        <c:crossAx val="1246802352"/>
        <c:crosses val="autoZero"/>
        <c:auto val="1"/>
        <c:lblAlgn val="ctr"/>
        <c:lblOffset val="100"/>
        <c:noMultiLvlLbl val="1"/>
      </c:catAx>
      <c:valAx>
        <c:axId val="1246802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D9D9D9"/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595959"/>
                </a:solidFill>
                <a:latin typeface="Aptos Narrow"/>
                <a:ea typeface="Aptos Narrow"/>
                <a:cs typeface="Aptos Narrow"/>
              </a:defRPr>
            </a:pPr>
            <a:endParaRPr lang="en-US"/>
          </a:p>
        </c:txPr>
        <c:crossAx val="1242196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595959"/>
              </a:solidFill>
              <a:latin typeface="Aptos Narrow"/>
              <a:ea typeface="Aptos Narrow"/>
              <a:cs typeface="Aptos Narrow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rgbClr val="D9D9D9"/>
      </a:solidFill>
      <a:prstDash val="solid"/>
      <a:round/>
    </a:ln>
    <a:effectLst/>
  </c:spPr>
  <c:txPr>
    <a:bodyPr/>
    <a:lstStyle/>
    <a:p>
      <a:pPr>
        <a:defRPr sz="900">
          <a:solidFill>
            <a:srgbClr val="595959"/>
          </a:solidFill>
          <a:latin typeface="Aptos Narrow"/>
          <a:ea typeface="Aptos Narrow"/>
          <a:cs typeface="Aptos Narrow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1F4E79"/>
                </a:solidFill>
                <a:latin typeface="Aptos Narrow"/>
                <a:ea typeface="Aptos Narrow"/>
                <a:cs typeface="Aptos Narrow"/>
              </a:defRPr>
            </a:pPr>
            <a:r>
              <a:rPr lang="en-US"/>
              <a:t>CHIPMI — distribution of Chg MoM (histogram)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1F4E79"/>
              </a:solidFill>
              <a:latin typeface="Aptos Narrow"/>
              <a:ea typeface="Aptos Narrow"/>
              <a:cs typeface="Aptos Narrow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CHIPMI!$V$8</c:f>
              <c:strCache>
                <c:ptCount val="1"/>
                <c:pt idx="0">
                  <c:v>Actual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CHIPMI!$U$9:$U$11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cat>
          <c:val>
            <c:numRef>
              <c:f>CHIPMI!$V$9:$V$11</c:f>
              <c:numCache>
                <c:formatCode>0.0%</c:formatCode>
                <c:ptCount val="3"/>
                <c:pt idx="0">
                  <c:v>0.93530239099859358</c:v>
                </c:pt>
                <c:pt idx="1">
                  <c:v>0.98452883263009849</c:v>
                </c:pt>
                <c:pt idx="2">
                  <c:v>0.99296765119549935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E30-40A1-AFEF-78DFA65D8143}"/>
            </c:ext>
          </c:extLst>
        </c:ser>
        <c:ser>
          <c:idx val="1"/>
          <c:order val="1"/>
          <c:tx>
            <c:strRef>
              <c:f>CHIPMI!$W$8</c:f>
              <c:strCache>
                <c:ptCount val="1"/>
                <c:pt idx="0">
                  <c:v>Normal %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CHIPMI!$U$9:$U$11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cat>
          <c:val>
            <c:numRef>
              <c:f>CHIPMI!$W$9:$W$11</c:f>
              <c:numCache>
                <c:formatCode>0.0%</c:formatCode>
                <c:ptCount val="3"/>
                <c:pt idx="0">
                  <c:v>0.68200000000000005</c:v>
                </c:pt>
                <c:pt idx="1">
                  <c:v>0.95399999999999996</c:v>
                </c:pt>
                <c:pt idx="2">
                  <c:v>0.997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2B-4749-874D-27309E0AEA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"/>
        <c:overlap val="-27"/>
        <c:axId val="1242170512"/>
        <c:axId val="1246807632"/>
      </c:barChart>
      <c:catAx>
        <c:axId val="1242170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595959"/>
                </a:solidFill>
                <a:latin typeface="Aptos Narrow"/>
                <a:ea typeface="Aptos Narrow"/>
                <a:cs typeface="Aptos Narrow"/>
              </a:defRPr>
            </a:pPr>
            <a:endParaRPr lang="en-US"/>
          </a:p>
        </c:txPr>
        <c:crossAx val="1246807632"/>
        <c:crosses val="autoZero"/>
        <c:auto val="1"/>
        <c:lblAlgn val="ctr"/>
        <c:lblOffset val="100"/>
        <c:noMultiLvlLbl val="0"/>
      </c:catAx>
      <c:valAx>
        <c:axId val="1246807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D9D9D9"/>
              </a:solidFill>
              <a:prstDash val="solid"/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595959"/>
                </a:solidFill>
                <a:latin typeface="Aptos Narrow"/>
                <a:ea typeface="Aptos Narrow"/>
                <a:cs typeface="Aptos Narrow"/>
              </a:defRPr>
            </a:pPr>
            <a:endParaRPr lang="en-US"/>
          </a:p>
        </c:txPr>
        <c:crossAx val="1242170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595959"/>
              </a:solidFill>
              <a:latin typeface="Aptos Narrow"/>
              <a:ea typeface="Aptos Narrow"/>
              <a:cs typeface="Aptos Narrow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rgbClr val="D9D9D9"/>
      </a:solidFill>
      <a:prstDash val="solid"/>
      <a:round/>
    </a:ln>
    <a:effectLst/>
  </c:spPr>
  <c:txPr>
    <a:bodyPr/>
    <a:lstStyle/>
    <a:p>
      <a:pPr>
        <a:defRPr sz="900">
          <a:solidFill>
            <a:srgbClr val="595959"/>
          </a:solidFill>
          <a:latin typeface="Aptos Narrow"/>
          <a:ea typeface="Aptos Narrow"/>
          <a:cs typeface="Aptos Narrow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1F4E79"/>
                </a:solidFill>
                <a:latin typeface="Aptos Narrow"/>
                <a:ea typeface="Aptos Narrow"/>
                <a:cs typeface="Aptos Narrow"/>
              </a:defRPr>
            </a:pPr>
            <a:r>
              <a:rPr lang="en-US"/>
              <a:t>Nonfarm payroll employment (thousands) — level, 1939–present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1F4E79"/>
              </a:solidFill>
              <a:latin typeface="Aptos Narrow"/>
              <a:ea typeface="Aptos Narrow"/>
              <a:cs typeface="Aptos Narrow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NFP!$B$4</c:f>
              <c:strCache>
                <c:ptCount val="1"/>
                <c:pt idx="0">
                  <c:v>Value</c:v>
                </c:pt>
              </c:strCache>
            </c:strRef>
          </c:tx>
          <c:spPr>
            <a:ln w="25400" cap="rnd">
              <a:solidFill>
                <a:srgbClr val="1F4E79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NFP!$A$5:$A$1055</c:f>
              <c:numCache>
                <c:formatCode>yyyy/mm/dd</c:formatCode>
                <c:ptCount val="1051"/>
                <c:pt idx="0">
                  <c:v>14246</c:v>
                </c:pt>
                <c:pt idx="1">
                  <c:v>14277</c:v>
                </c:pt>
                <c:pt idx="2">
                  <c:v>14305</c:v>
                </c:pt>
                <c:pt idx="3">
                  <c:v>14336</c:v>
                </c:pt>
                <c:pt idx="4">
                  <c:v>14366</c:v>
                </c:pt>
                <c:pt idx="5">
                  <c:v>14397</c:v>
                </c:pt>
                <c:pt idx="6">
                  <c:v>14427</c:v>
                </c:pt>
                <c:pt idx="7">
                  <c:v>14458</c:v>
                </c:pt>
                <c:pt idx="8">
                  <c:v>14489</c:v>
                </c:pt>
                <c:pt idx="9">
                  <c:v>14519</c:v>
                </c:pt>
                <c:pt idx="10">
                  <c:v>14550</c:v>
                </c:pt>
                <c:pt idx="11">
                  <c:v>14580</c:v>
                </c:pt>
                <c:pt idx="12">
                  <c:v>14611</c:v>
                </c:pt>
                <c:pt idx="13">
                  <c:v>14642</c:v>
                </c:pt>
                <c:pt idx="14">
                  <c:v>14671</c:v>
                </c:pt>
                <c:pt idx="15">
                  <c:v>14702</c:v>
                </c:pt>
                <c:pt idx="16">
                  <c:v>14732</c:v>
                </c:pt>
                <c:pt idx="17">
                  <c:v>14763</c:v>
                </c:pt>
                <c:pt idx="18">
                  <c:v>14793</c:v>
                </c:pt>
                <c:pt idx="19">
                  <c:v>14824</c:v>
                </c:pt>
                <c:pt idx="20">
                  <c:v>14855</c:v>
                </c:pt>
                <c:pt idx="21">
                  <c:v>14885</c:v>
                </c:pt>
                <c:pt idx="22">
                  <c:v>14916</c:v>
                </c:pt>
                <c:pt idx="23">
                  <c:v>14946</c:v>
                </c:pt>
                <c:pt idx="24">
                  <c:v>14977</c:v>
                </c:pt>
                <c:pt idx="25">
                  <c:v>15008</c:v>
                </c:pt>
                <c:pt idx="26">
                  <c:v>15036</c:v>
                </c:pt>
                <c:pt idx="27">
                  <c:v>15067</c:v>
                </c:pt>
                <c:pt idx="28">
                  <c:v>15097</c:v>
                </c:pt>
                <c:pt idx="29">
                  <c:v>15128</c:v>
                </c:pt>
                <c:pt idx="30">
                  <c:v>15158</c:v>
                </c:pt>
                <c:pt idx="31">
                  <c:v>15189</c:v>
                </c:pt>
                <c:pt idx="32">
                  <c:v>15220</c:v>
                </c:pt>
                <c:pt idx="33">
                  <c:v>15250</c:v>
                </c:pt>
                <c:pt idx="34">
                  <c:v>15281</c:v>
                </c:pt>
                <c:pt idx="35">
                  <c:v>15311</c:v>
                </c:pt>
                <c:pt idx="36">
                  <c:v>15342</c:v>
                </c:pt>
                <c:pt idx="37">
                  <c:v>15373</c:v>
                </c:pt>
                <c:pt idx="38">
                  <c:v>15401</c:v>
                </c:pt>
                <c:pt idx="39">
                  <c:v>15432</c:v>
                </c:pt>
                <c:pt idx="40">
                  <c:v>15462</c:v>
                </c:pt>
                <c:pt idx="41">
                  <c:v>15493</c:v>
                </c:pt>
                <c:pt idx="42">
                  <c:v>15523</c:v>
                </c:pt>
                <c:pt idx="43">
                  <c:v>15554</c:v>
                </c:pt>
                <c:pt idx="44">
                  <c:v>15585</c:v>
                </c:pt>
                <c:pt idx="45">
                  <c:v>15615</c:v>
                </c:pt>
                <c:pt idx="46">
                  <c:v>15646</c:v>
                </c:pt>
                <c:pt idx="47">
                  <c:v>15676</c:v>
                </c:pt>
                <c:pt idx="48">
                  <c:v>15707</c:v>
                </c:pt>
                <c:pt idx="49">
                  <c:v>15738</c:v>
                </c:pt>
                <c:pt idx="50">
                  <c:v>15766</c:v>
                </c:pt>
                <c:pt idx="51">
                  <c:v>15797</c:v>
                </c:pt>
                <c:pt idx="52">
                  <c:v>15827</c:v>
                </c:pt>
                <c:pt idx="53">
                  <c:v>15858</c:v>
                </c:pt>
                <c:pt idx="54">
                  <c:v>15888</c:v>
                </c:pt>
                <c:pt idx="55">
                  <c:v>15919</c:v>
                </c:pt>
                <c:pt idx="56">
                  <c:v>15950</c:v>
                </c:pt>
                <c:pt idx="57">
                  <c:v>15980</c:v>
                </c:pt>
                <c:pt idx="58">
                  <c:v>16011</c:v>
                </c:pt>
                <c:pt idx="59">
                  <c:v>16041</c:v>
                </c:pt>
                <c:pt idx="60">
                  <c:v>16072</c:v>
                </c:pt>
                <c:pt idx="61">
                  <c:v>16103</c:v>
                </c:pt>
                <c:pt idx="62">
                  <c:v>16132</c:v>
                </c:pt>
                <c:pt idx="63">
                  <c:v>16163</c:v>
                </c:pt>
                <c:pt idx="64">
                  <c:v>16193</c:v>
                </c:pt>
                <c:pt idx="65">
                  <c:v>16224</c:v>
                </c:pt>
                <c:pt idx="66">
                  <c:v>16254</c:v>
                </c:pt>
                <c:pt idx="67">
                  <c:v>16285</c:v>
                </c:pt>
                <c:pt idx="68">
                  <c:v>16316</c:v>
                </c:pt>
                <c:pt idx="69">
                  <c:v>16346</c:v>
                </c:pt>
                <c:pt idx="70">
                  <c:v>16377</c:v>
                </c:pt>
                <c:pt idx="71">
                  <c:v>16407</c:v>
                </c:pt>
                <c:pt idx="72">
                  <c:v>16438</c:v>
                </c:pt>
                <c:pt idx="73">
                  <c:v>16469</c:v>
                </c:pt>
                <c:pt idx="74">
                  <c:v>16497</c:v>
                </c:pt>
                <c:pt idx="75">
                  <c:v>16528</c:v>
                </c:pt>
                <c:pt idx="76">
                  <c:v>16558</c:v>
                </c:pt>
                <c:pt idx="77">
                  <c:v>16589</c:v>
                </c:pt>
                <c:pt idx="78">
                  <c:v>16619</c:v>
                </c:pt>
                <c:pt idx="79">
                  <c:v>16650</c:v>
                </c:pt>
                <c:pt idx="80">
                  <c:v>16681</c:v>
                </c:pt>
                <c:pt idx="81">
                  <c:v>16711</c:v>
                </c:pt>
                <c:pt idx="82">
                  <c:v>16742</c:v>
                </c:pt>
                <c:pt idx="83">
                  <c:v>16772</c:v>
                </c:pt>
                <c:pt idx="84">
                  <c:v>16803</c:v>
                </c:pt>
                <c:pt idx="85">
                  <c:v>16834</c:v>
                </c:pt>
                <c:pt idx="86">
                  <c:v>16862</c:v>
                </c:pt>
                <c:pt idx="87">
                  <c:v>16893</c:v>
                </c:pt>
                <c:pt idx="88">
                  <c:v>16923</c:v>
                </c:pt>
                <c:pt idx="89">
                  <c:v>16954</c:v>
                </c:pt>
                <c:pt idx="90">
                  <c:v>16984</c:v>
                </c:pt>
                <c:pt idx="91">
                  <c:v>17015</c:v>
                </c:pt>
                <c:pt idx="92">
                  <c:v>17046</c:v>
                </c:pt>
                <c:pt idx="93">
                  <c:v>17076</c:v>
                </c:pt>
                <c:pt idx="94">
                  <c:v>17107</c:v>
                </c:pt>
                <c:pt idx="95">
                  <c:v>17137</c:v>
                </c:pt>
                <c:pt idx="96">
                  <c:v>17168</c:v>
                </c:pt>
                <c:pt idx="97">
                  <c:v>17199</c:v>
                </c:pt>
                <c:pt idx="98">
                  <c:v>17227</c:v>
                </c:pt>
                <c:pt idx="99">
                  <c:v>17258</c:v>
                </c:pt>
                <c:pt idx="100">
                  <c:v>17288</c:v>
                </c:pt>
                <c:pt idx="101">
                  <c:v>17319</c:v>
                </c:pt>
                <c:pt idx="102">
                  <c:v>17349</c:v>
                </c:pt>
                <c:pt idx="103">
                  <c:v>17380</c:v>
                </c:pt>
                <c:pt idx="104">
                  <c:v>17411</c:v>
                </c:pt>
                <c:pt idx="105">
                  <c:v>17441</c:v>
                </c:pt>
                <c:pt idx="106">
                  <c:v>17472</c:v>
                </c:pt>
                <c:pt idx="107">
                  <c:v>17502</c:v>
                </c:pt>
                <c:pt idx="108">
                  <c:v>17533</c:v>
                </c:pt>
                <c:pt idx="109">
                  <c:v>17564</c:v>
                </c:pt>
                <c:pt idx="110">
                  <c:v>17593</c:v>
                </c:pt>
                <c:pt idx="111">
                  <c:v>17624</c:v>
                </c:pt>
                <c:pt idx="112">
                  <c:v>17654</c:v>
                </c:pt>
                <c:pt idx="113">
                  <c:v>17685</c:v>
                </c:pt>
                <c:pt idx="114">
                  <c:v>17715</c:v>
                </c:pt>
                <c:pt idx="115">
                  <c:v>17746</c:v>
                </c:pt>
                <c:pt idx="116">
                  <c:v>17777</c:v>
                </c:pt>
                <c:pt idx="117">
                  <c:v>17807</c:v>
                </c:pt>
                <c:pt idx="118">
                  <c:v>17838</c:v>
                </c:pt>
                <c:pt idx="119">
                  <c:v>17868</c:v>
                </c:pt>
                <c:pt idx="120">
                  <c:v>17899</c:v>
                </c:pt>
                <c:pt idx="121">
                  <c:v>17930</c:v>
                </c:pt>
                <c:pt idx="122">
                  <c:v>17958</c:v>
                </c:pt>
                <c:pt idx="123">
                  <c:v>17989</c:v>
                </c:pt>
                <c:pt idx="124">
                  <c:v>18019</c:v>
                </c:pt>
                <c:pt idx="125">
                  <c:v>18050</c:v>
                </c:pt>
                <c:pt idx="126">
                  <c:v>18080</c:v>
                </c:pt>
                <c:pt idx="127">
                  <c:v>18111</c:v>
                </c:pt>
                <c:pt idx="128">
                  <c:v>18142</c:v>
                </c:pt>
                <c:pt idx="129">
                  <c:v>18172</c:v>
                </c:pt>
                <c:pt idx="130">
                  <c:v>18203</c:v>
                </c:pt>
                <c:pt idx="131">
                  <c:v>18233</c:v>
                </c:pt>
                <c:pt idx="132">
                  <c:v>18264</c:v>
                </c:pt>
                <c:pt idx="133">
                  <c:v>18295</c:v>
                </c:pt>
                <c:pt idx="134">
                  <c:v>18323</c:v>
                </c:pt>
                <c:pt idx="135">
                  <c:v>18354</c:v>
                </c:pt>
                <c:pt idx="136">
                  <c:v>18384</c:v>
                </c:pt>
                <c:pt idx="137">
                  <c:v>18415</c:v>
                </c:pt>
                <c:pt idx="138">
                  <c:v>18445</c:v>
                </c:pt>
                <c:pt idx="139">
                  <c:v>18476</c:v>
                </c:pt>
                <c:pt idx="140">
                  <c:v>18507</c:v>
                </c:pt>
                <c:pt idx="141">
                  <c:v>18537</c:v>
                </c:pt>
                <c:pt idx="142">
                  <c:v>18568</c:v>
                </c:pt>
                <c:pt idx="143">
                  <c:v>18598</c:v>
                </c:pt>
                <c:pt idx="144">
                  <c:v>18629</c:v>
                </c:pt>
                <c:pt idx="145">
                  <c:v>18660</c:v>
                </c:pt>
                <c:pt idx="146">
                  <c:v>18688</c:v>
                </c:pt>
                <c:pt idx="147">
                  <c:v>18719</c:v>
                </c:pt>
                <c:pt idx="148">
                  <c:v>18749</c:v>
                </c:pt>
                <c:pt idx="149">
                  <c:v>18780</c:v>
                </c:pt>
                <c:pt idx="150">
                  <c:v>18810</c:v>
                </c:pt>
                <c:pt idx="151">
                  <c:v>18841</c:v>
                </c:pt>
                <c:pt idx="152">
                  <c:v>18872</c:v>
                </c:pt>
                <c:pt idx="153">
                  <c:v>18902</c:v>
                </c:pt>
                <c:pt idx="154">
                  <c:v>18933</c:v>
                </c:pt>
                <c:pt idx="155">
                  <c:v>18963</c:v>
                </c:pt>
                <c:pt idx="156">
                  <c:v>18994</c:v>
                </c:pt>
                <c:pt idx="157">
                  <c:v>19025</c:v>
                </c:pt>
                <c:pt idx="158">
                  <c:v>19054</c:v>
                </c:pt>
                <c:pt idx="159">
                  <c:v>19085</c:v>
                </c:pt>
                <c:pt idx="160">
                  <c:v>19115</c:v>
                </c:pt>
                <c:pt idx="161">
                  <c:v>19146</c:v>
                </c:pt>
                <c:pt idx="162">
                  <c:v>19176</c:v>
                </c:pt>
                <c:pt idx="163">
                  <c:v>19207</c:v>
                </c:pt>
                <c:pt idx="164">
                  <c:v>19238</c:v>
                </c:pt>
                <c:pt idx="165">
                  <c:v>19268</c:v>
                </c:pt>
                <c:pt idx="166">
                  <c:v>19299</c:v>
                </c:pt>
                <c:pt idx="167">
                  <c:v>19329</c:v>
                </c:pt>
                <c:pt idx="168">
                  <c:v>19360</c:v>
                </c:pt>
                <c:pt idx="169">
                  <c:v>19391</c:v>
                </c:pt>
                <c:pt idx="170">
                  <c:v>19419</c:v>
                </c:pt>
                <c:pt idx="171">
                  <c:v>19450</c:v>
                </c:pt>
                <c:pt idx="172">
                  <c:v>19480</c:v>
                </c:pt>
                <c:pt idx="173">
                  <c:v>19511</c:v>
                </c:pt>
                <c:pt idx="174">
                  <c:v>19541</c:v>
                </c:pt>
                <c:pt idx="175">
                  <c:v>19572</c:v>
                </c:pt>
                <c:pt idx="176">
                  <c:v>19603</c:v>
                </c:pt>
                <c:pt idx="177">
                  <c:v>19633</c:v>
                </c:pt>
                <c:pt idx="178">
                  <c:v>19664</c:v>
                </c:pt>
                <c:pt idx="179">
                  <c:v>19694</c:v>
                </c:pt>
                <c:pt idx="180">
                  <c:v>19725</c:v>
                </c:pt>
                <c:pt idx="181">
                  <c:v>19756</c:v>
                </c:pt>
                <c:pt idx="182">
                  <c:v>19784</c:v>
                </c:pt>
                <c:pt idx="183">
                  <c:v>19815</c:v>
                </c:pt>
                <c:pt idx="184">
                  <c:v>19845</c:v>
                </c:pt>
                <c:pt idx="185">
                  <c:v>19876</c:v>
                </c:pt>
                <c:pt idx="186">
                  <c:v>19906</c:v>
                </c:pt>
                <c:pt idx="187">
                  <c:v>19937</c:v>
                </c:pt>
                <c:pt idx="188">
                  <c:v>19968</c:v>
                </c:pt>
                <c:pt idx="189">
                  <c:v>19998</c:v>
                </c:pt>
                <c:pt idx="190">
                  <c:v>20029</c:v>
                </c:pt>
                <c:pt idx="191">
                  <c:v>20059</c:v>
                </c:pt>
                <c:pt idx="192">
                  <c:v>20090</c:v>
                </c:pt>
                <c:pt idx="193">
                  <c:v>20121</c:v>
                </c:pt>
                <c:pt idx="194">
                  <c:v>20149</c:v>
                </c:pt>
                <c:pt idx="195">
                  <c:v>20180</c:v>
                </c:pt>
                <c:pt idx="196">
                  <c:v>20210</c:v>
                </c:pt>
                <c:pt idx="197">
                  <c:v>20241</c:v>
                </c:pt>
                <c:pt idx="198">
                  <c:v>20271</c:v>
                </c:pt>
                <c:pt idx="199">
                  <c:v>20302</c:v>
                </c:pt>
                <c:pt idx="200">
                  <c:v>20333</c:v>
                </c:pt>
                <c:pt idx="201">
                  <c:v>20363</c:v>
                </c:pt>
                <c:pt idx="202">
                  <c:v>20394</c:v>
                </c:pt>
                <c:pt idx="203">
                  <c:v>20424</c:v>
                </c:pt>
                <c:pt idx="204">
                  <c:v>20455</c:v>
                </c:pt>
                <c:pt idx="205">
                  <c:v>20486</c:v>
                </c:pt>
                <c:pt idx="206">
                  <c:v>20515</c:v>
                </c:pt>
                <c:pt idx="207">
                  <c:v>20546</c:v>
                </c:pt>
                <c:pt idx="208">
                  <c:v>20576</c:v>
                </c:pt>
                <c:pt idx="209">
                  <c:v>20607</c:v>
                </c:pt>
                <c:pt idx="210">
                  <c:v>20637</c:v>
                </c:pt>
                <c:pt idx="211">
                  <c:v>20668</c:v>
                </c:pt>
                <c:pt idx="212">
                  <c:v>20699</c:v>
                </c:pt>
                <c:pt idx="213">
                  <c:v>20729</c:v>
                </c:pt>
                <c:pt idx="214">
                  <c:v>20760</c:v>
                </c:pt>
                <c:pt idx="215">
                  <c:v>20790</c:v>
                </c:pt>
                <c:pt idx="216">
                  <c:v>20821</c:v>
                </c:pt>
                <c:pt idx="217">
                  <c:v>20852</c:v>
                </c:pt>
                <c:pt idx="218">
                  <c:v>20880</c:v>
                </c:pt>
                <c:pt idx="219">
                  <c:v>20911</c:v>
                </c:pt>
                <c:pt idx="220">
                  <c:v>20941</c:v>
                </c:pt>
                <c:pt idx="221">
                  <c:v>20972</c:v>
                </c:pt>
                <c:pt idx="222">
                  <c:v>21002</c:v>
                </c:pt>
                <c:pt idx="223">
                  <c:v>21033</c:v>
                </c:pt>
                <c:pt idx="224">
                  <c:v>21064</c:v>
                </c:pt>
                <c:pt idx="225">
                  <c:v>21094</c:v>
                </c:pt>
                <c:pt idx="226">
                  <c:v>21125</c:v>
                </c:pt>
                <c:pt idx="227">
                  <c:v>21155</c:v>
                </c:pt>
                <c:pt idx="228">
                  <c:v>21186</c:v>
                </c:pt>
                <c:pt idx="229">
                  <c:v>21217</c:v>
                </c:pt>
                <c:pt idx="230">
                  <c:v>21245</c:v>
                </c:pt>
                <c:pt idx="231">
                  <c:v>21276</c:v>
                </c:pt>
                <c:pt idx="232">
                  <c:v>21306</c:v>
                </c:pt>
                <c:pt idx="233">
                  <c:v>21337</c:v>
                </c:pt>
                <c:pt idx="234">
                  <c:v>21367</c:v>
                </c:pt>
                <c:pt idx="235">
                  <c:v>21398</c:v>
                </c:pt>
                <c:pt idx="236">
                  <c:v>21429</c:v>
                </c:pt>
                <c:pt idx="237">
                  <c:v>21459</c:v>
                </c:pt>
                <c:pt idx="238">
                  <c:v>21490</c:v>
                </c:pt>
                <c:pt idx="239">
                  <c:v>21520</c:v>
                </c:pt>
                <c:pt idx="240">
                  <c:v>21551</c:v>
                </c:pt>
                <c:pt idx="241">
                  <c:v>21582</c:v>
                </c:pt>
                <c:pt idx="242">
                  <c:v>21610</c:v>
                </c:pt>
                <c:pt idx="243">
                  <c:v>21641</c:v>
                </c:pt>
                <c:pt idx="244">
                  <c:v>21671</c:v>
                </c:pt>
                <c:pt idx="245">
                  <c:v>21702</c:v>
                </c:pt>
                <c:pt idx="246">
                  <c:v>21732</c:v>
                </c:pt>
                <c:pt idx="247">
                  <c:v>21763</c:v>
                </c:pt>
                <c:pt idx="248">
                  <c:v>21794</c:v>
                </c:pt>
                <c:pt idx="249">
                  <c:v>21824</c:v>
                </c:pt>
                <c:pt idx="250">
                  <c:v>21855</c:v>
                </c:pt>
                <c:pt idx="251">
                  <c:v>21885</c:v>
                </c:pt>
                <c:pt idx="252">
                  <c:v>21916</c:v>
                </c:pt>
                <c:pt idx="253">
                  <c:v>21947</c:v>
                </c:pt>
                <c:pt idx="254">
                  <c:v>21976</c:v>
                </c:pt>
                <c:pt idx="255">
                  <c:v>22007</c:v>
                </c:pt>
                <c:pt idx="256">
                  <c:v>22037</c:v>
                </c:pt>
                <c:pt idx="257">
                  <c:v>22068</c:v>
                </c:pt>
                <c:pt idx="258">
                  <c:v>22098</c:v>
                </c:pt>
                <c:pt idx="259">
                  <c:v>22129</c:v>
                </c:pt>
                <c:pt idx="260">
                  <c:v>22160</c:v>
                </c:pt>
                <c:pt idx="261">
                  <c:v>22190</c:v>
                </c:pt>
                <c:pt idx="262">
                  <c:v>22221</c:v>
                </c:pt>
                <c:pt idx="263">
                  <c:v>22251</c:v>
                </c:pt>
                <c:pt idx="264">
                  <c:v>22282</c:v>
                </c:pt>
                <c:pt idx="265">
                  <c:v>22313</c:v>
                </c:pt>
                <c:pt idx="266">
                  <c:v>22341</c:v>
                </c:pt>
                <c:pt idx="267">
                  <c:v>22372</c:v>
                </c:pt>
                <c:pt idx="268">
                  <c:v>22402</c:v>
                </c:pt>
                <c:pt idx="269">
                  <c:v>22433</c:v>
                </c:pt>
                <c:pt idx="270">
                  <c:v>22463</c:v>
                </c:pt>
                <c:pt idx="271">
                  <c:v>22494</c:v>
                </c:pt>
                <c:pt idx="272">
                  <c:v>22525</c:v>
                </c:pt>
                <c:pt idx="273">
                  <c:v>22555</c:v>
                </c:pt>
                <c:pt idx="274">
                  <c:v>22586</c:v>
                </c:pt>
                <c:pt idx="275">
                  <c:v>22616</c:v>
                </c:pt>
                <c:pt idx="276">
                  <c:v>22647</c:v>
                </c:pt>
                <c:pt idx="277">
                  <c:v>22678</c:v>
                </c:pt>
                <c:pt idx="278">
                  <c:v>22706</c:v>
                </c:pt>
                <c:pt idx="279">
                  <c:v>22737</c:v>
                </c:pt>
                <c:pt idx="280">
                  <c:v>22767</c:v>
                </c:pt>
                <c:pt idx="281">
                  <c:v>22798</c:v>
                </c:pt>
                <c:pt idx="282">
                  <c:v>22828</c:v>
                </c:pt>
                <c:pt idx="283">
                  <c:v>22859</c:v>
                </c:pt>
                <c:pt idx="284">
                  <c:v>22890</c:v>
                </c:pt>
                <c:pt idx="285">
                  <c:v>22920</c:v>
                </c:pt>
                <c:pt idx="286">
                  <c:v>22951</c:v>
                </c:pt>
                <c:pt idx="287">
                  <c:v>22981</c:v>
                </c:pt>
                <c:pt idx="288">
                  <c:v>23012</c:v>
                </c:pt>
                <c:pt idx="289">
                  <c:v>23043</c:v>
                </c:pt>
                <c:pt idx="290">
                  <c:v>23071</c:v>
                </c:pt>
                <c:pt idx="291">
                  <c:v>23102</c:v>
                </c:pt>
                <c:pt idx="292">
                  <c:v>23132</c:v>
                </c:pt>
                <c:pt idx="293">
                  <c:v>23163</c:v>
                </c:pt>
                <c:pt idx="294">
                  <c:v>23193</c:v>
                </c:pt>
                <c:pt idx="295">
                  <c:v>23224</c:v>
                </c:pt>
                <c:pt idx="296">
                  <c:v>23255</c:v>
                </c:pt>
                <c:pt idx="297">
                  <c:v>23285</c:v>
                </c:pt>
                <c:pt idx="298">
                  <c:v>23316</c:v>
                </c:pt>
                <c:pt idx="299">
                  <c:v>23346</c:v>
                </c:pt>
                <c:pt idx="300">
                  <c:v>23377</c:v>
                </c:pt>
                <c:pt idx="301">
                  <c:v>23408</c:v>
                </c:pt>
                <c:pt idx="302">
                  <c:v>23437</c:v>
                </c:pt>
                <c:pt idx="303">
                  <c:v>23468</c:v>
                </c:pt>
                <c:pt idx="304">
                  <c:v>23498</c:v>
                </c:pt>
                <c:pt idx="305">
                  <c:v>23529</c:v>
                </c:pt>
                <c:pt idx="306">
                  <c:v>23559</c:v>
                </c:pt>
                <c:pt idx="307">
                  <c:v>23590</c:v>
                </c:pt>
                <c:pt idx="308">
                  <c:v>23621</c:v>
                </c:pt>
                <c:pt idx="309">
                  <c:v>23651</c:v>
                </c:pt>
                <c:pt idx="310">
                  <c:v>23682</c:v>
                </c:pt>
                <c:pt idx="311">
                  <c:v>23712</c:v>
                </c:pt>
                <c:pt idx="312">
                  <c:v>23743</c:v>
                </c:pt>
                <c:pt idx="313">
                  <c:v>23774</c:v>
                </c:pt>
                <c:pt idx="314">
                  <c:v>23802</c:v>
                </c:pt>
                <c:pt idx="315">
                  <c:v>23833</c:v>
                </c:pt>
                <c:pt idx="316">
                  <c:v>23863</c:v>
                </c:pt>
                <c:pt idx="317">
                  <c:v>23894</c:v>
                </c:pt>
                <c:pt idx="318">
                  <c:v>23924</c:v>
                </c:pt>
                <c:pt idx="319">
                  <c:v>23955</c:v>
                </c:pt>
                <c:pt idx="320">
                  <c:v>23986</c:v>
                </c:pt>
                <c:pt idx="321">
                  <c:v>24016</c:v>
                </c:pt>
                <c:pt idx="322">
                  <c:v>24047</c:v>
                </c:pt>
                <c:pt idx="323">
                  <c:v>24077</c:v>
                </c:pt>
                <c:pt idx="324">
                  <c:v>24108</c:v>
                </c:pt>
                <c:pt idx="325">
                  <c:v>24139</c:v>
                </c:pt>
                <c:pt idx="326">
                  <c:v>24167</c:v>
                </c:pt>
                <c:pt idx="327">
                  <c:v>24198</c:v>
                </c:pt>
                <c:pt idx="328">
                  <c:v>24228</c:v>
                </c:pt>
                <c:pt idx="329">
                  <c:v>24259</c:v>
                </c:pt>
                <c:pt idx="330">
                  <c:v>24289</c:v>
                </c:pt>
                <c:pt idx="331">
                  <c:v>24320</c:v>
                </c:pt>
                <c:pt idx="332">
                  <c:v>24351</c:v>
                </c:pt>
                <c:pt idx="333">
                  <c:v>24381</c:v>
                </c:pt>
                <c:pt idx="334">
                  <c:v>24412</c:v>
                </c:pt>
                <c:pt idx="335">
                  <c:v>24442</c:v>
                </c:pt>
                <c:pt idx="336">
                  <c:v>24473</c:v>
                </c:pt>
                <c:pt idx="337">
                  <c:v>24504</c:v>
                </c:pt>
                <c:pt idx="338">
                  <c:v>24532</c:v>
                </c:pt>
                <c:pt idx="339">
                  <c:v>24563</c:v>
                </c:pt>
                <c:pt idx="340">
                  <c:v>24593</c:v>
                </c:pt>
                <c:pt idx="341">
                  <c:v>24624</c:v>
                </c:pt>
                <c:pt idx="342">
                  <c:v>24654</c:v>
                </c:pt>
                <c:pt idx="343">
                  <c:v>24685</c:v>
                </c:pt>
                <c:pt idx="344">
                  <c:v>24716</c:v>
                </c:pt>
                <c:pt idx="345">
                  <c:v>24746</c:v>
                </c:pt>
                <c:pt idx="346">
                  <c:v>24777</c:v>
                </c:pt>
                <c:pt idx="347">
                  <c:v>24807</c:v>
                </c:pt>
                <c:pt idx="348">
                  <c:v>24838</c:v>
                </c:pt>
                <c:pt idx="349">
                  <c:v>24869</c:v>
                </c:pt>
                <c:pt idx="350">
                  <c:v>24898</c:v>
                </c:pt>
                <c:pt idx="351">
                  <c:v>24929</c:v>
                </c:pt>
                <c:pt idx="352">
                  <c:v>24959</c:v>
                </c:pt>
                <c:pt idx="353">
                  <c:v>24990</c:v>
                </c:pt>
                <c:pt idx="354">
                  <c:v>25020</c:v>
                </c:pt>
                <c:pt idx="355">
                  <c:v>25051</c:v>
                </c:pt>
                <c:pt idx="356">
                  <c:v>25082</c:v>
                </c:pt>
                <c:pt idx="357">
                  <c:v>25112</c:v>
                </c:pt>
                <c:pt idx="358">
                  <c:v>25143</c:v>
                </c:pt>
                <c:pt idx="359">
                  <c:v>25173</c:v>
                </c:pt>
                <c:pt idx="360">
                  <c:v>25204</c:v>
                </c:pt>
                <c:pt idx="361">
                  <c:v>25235</c:v>
                </c:pt>
                <c:pt idx="362">
                  <c:v>25263</c:v>
                </c:pt>
                <c:pt idx="363">
                  <c:v>25294</c:v>
                </c:pt>
                <c:pt idx="364">
                  <c:v>25324</c:v>
                </c:pt>
                <c:pt idx="365">
                  <c:v>25355</c:v>
                </c:pt>
                <c:pt idx="366">
                  <c:v>25385</c:v>
                </c:pt>
                <c:pt idx="367">
                  <c:v>25416</c:v>
                </c:pt>
                <c:pt idx="368">
                  <c:v>25447</c:v>
                </c:pt>
                <c:pt idx="369">
                  <c:v>25477</c:v>
                </c:pt>
                <c:pt idx="370">
                  <c:v>25508</c:v>
                </c:pt>
                <c:pt idx="371">
                  <c:v>25538</c:v>
                </c:pt>
                <c:pt idx="372">
                  <c:v>25569</c:v>
                </c:pt>
                <c:pt idx="373">
                  <c:v>25600</c:v>
                </c:pt>
                <c:pt idx="374">
                  <c:v>25628</c:v>
                </c:pt>
                <c:pt idx="375">
                  <c:v>25659</c:v>
                </c:pt>
                <c:pt idx="376">
                  <c:v>25689</c:v>
                </c:pt>
                <c:pt idx="377">
                  <c:v>25720</c:v>
                </c:pt>
                <c:pt idx="378">
                  <c:v>25750</c:v>
                </c:pt>
                <c:pt idx="379">
                  <c:v>25781</c:v>
                </c:pt>
                <c:pt idx="380">
                  <c:v>25812</c:v>
                </c:pt>
                <c:pt idx="381">
                  <c:v>25842</c:v>
                </c:pt>
                <c:pt idx="382">
                  <c:v>25873</c:v>
                </c:pt>
                <c:pt idx="383">
                  <c:v>25903</c:v>
                </c:pt>
                <c:pt idx="384">
                  <c:v>25934</c:v>
                </c:pt>
                <c:pt idx="385">
                  <c:v>25965</c:v>
                </c:pt>
                <c:pt idx="386">
                  <c:v>25993</c:v>
                </c:pt>
                <c:pt idx="387">
                  <c:v>26024</c:v>
                </c:pt>
                <c:pt idx="388">
                  <c:v>26054</c:v>
                </c:pt>
                <c:pt idx="389">
                  <c:v>26085</c:v>
                </c:pt>
                <c:pt idx="390">
                  <c:v>26115</c:v>
                </c:pt>
                <c:pt idx="391">
                  <c:v>26146</c:v>
                </c:pt>
                <c:pt idx="392">
                  <c:v>26177</c:v>
                </c:pt>
                <c:pt idx="393">
                  <c:v>26207</c:v>
                </c:pt>
                <c:pt idx="394">
                  <c:v>26238</c:v>
                </c:pt>
                <c:pt idx="395">
                  <c:v>26268</c:v>
                </c:pt>
                <c:pt idx="396">
                  <c:v>26299</c:v>
                </c:pt>
                <c:pt idx="397">
                  <c:v>26330</c:v>
                </c:pt>
                <c:pt idx="398">
                  <c:v>26359</c:v>
                </c:pt>
                <c:pt idx="399">
                  <c:v>26390</c:v>
                </c:pt>
                <c:pt idx="400">
                  <c:v>26420</c:v>
                </c:pt>
                <c:pt idx="401">
                  <c:v>26451</c:v>
                </c:pt>
                <c:pt idx="402">
                  <c:v>26481</c:v>
                </c:pt>
                <c:pt idx="403">
                  <c:v>26512</c:v>
                </c:pt>
                <c:pt idx="404">
                  <c:v>26543</c:v>
                </c:pt>
                <c:pt idx="405">
                  <c:v>26573</c:v>
                </c:pt>
                <c:pt idx="406">
                  <c:v>26604</c:v>
                </c:pt>
                <c:pt idx="407">
                  <c:v>26634</c:v>
                </c:pt>
                <c:pt idx="408">
                  <c:v>26665</c:v>
                </c:pt>
                <c:pt idx="409">
                  <c:v>26696</c:v>
                </c:pt>
                <c:pt idx="410">
                  <c:v>26724</c:v>
                </c:pt>
                <c:pt idx="411">
                  <c:v>26755</c:v>
                </c:pt>
                <c:pt idx="412">
                  <c:v>26785</c:v>
                </c:pt>
                <c:pt idx="413">
                  <c:v>26816</c:v>
                </c:pt>
                <c:pt idx="414">
                  <c:v>26846</c:v>
                </c:pt>
                <c:pt idx="415">
                  <c:v>26877</c:v>
                </c:pt>
                <c:pt idx="416">
                  <c:v>26908</c:v>
                </c:pt>
                <c:pt idx="417">
                  <c:v>26938</c:v>
                </c:pt>
                <c:pt idx="418">
                  <c:v>26969</c:v>
                </c:pt>
                <c:pt idx="419">
                  <c:v>26999</c:v>
                </c:pt>
                <c:pt idx="420">
                  <c:v>27030</c:v>
                </c:pt>
                <c:pt idx="421">
                  <c:v>27061</c:v>
                </c:pt>
                <c:pt idx="422">
                  <c:v>27089</c:v>
                </c:pt>
                <c:pt idx="423">
                  <c:v>27120</c:v>
                </c:pt>
                <c:pt idx="424">
                  <c:v>27150</c:v>
                </c:pt>
                <c:pt idx="425">
                  <c:v>27181</c:v>
                </c:pt>
                <c:pt idx="426">
                  <c:v>27211</c:v>
                </c:pt>
                <c:pt idx="427">
                  <c:v>27242</c:v>
                </c:pt>
                <c:pt idx="428">
                  <c:v>27273</c:v>
                </c:pt>
                <c:pt idx="429">
                  <c:v>27303</c:v>
                </c:pt>
                <c:pt idx="430">
                  <c:v>27334</c:v>
                </c:pt>
                <c:pt idx="431">
                  <c:v>27364</c:v>
                </c:pt>
                <c:pt idx="432">
                  <c:v>27395</c:v>
                </c:pt>
                <c:pt idx="433">
                  <c:v>27426</c:v>
                </c:pt>
                <c:pt idx="434">
                  <c:v>27454</c:v>
                </c:pt>
                <c:pt idx="435">
                  <c:v>27485</c:v>
                </c:pt>
                <c:pt idx="436">
                  <c:v>27515</c:v>
                </c:pt>
                <c:pt idx="437">
                  <c:v>27546</c:v>
                </c:pt>
                <c:pt idx="438">
                  <c:v>27576</c:v>
                </c:pt>
                <c:pt idx="439">
                  <c:v>27607</c:v>
                </c:pt>
                <c:pt idx="440">
                  <c:v>27638</c:v>
                </c:pt>
                <c:pt idx="441">
                  <c:v>27668</c:v>
                </c:pt>
                <c:pt idx="442">
                  <c:v>27699</c:v>
                </c:pt>
                <c:pt idx="443">
                  <c:v>27729</c:v>
                </c:pt>
                <c:pt idx="444">
                  <c:v>27760</c:v>
                </c:pt>
                <c:pt idx="445">
                  <c:v>27791</c:v>
                </c:pt>
                <c:pt idx="446">
                  <c:v>27820</c:v>
                </c:pt>
                <c:pt idx="447">
                  <c:v>27851</c:v>
                </c:pt>
                <c:pt idx="448">
                  <c:v>27881</c:v>
                </c:pt>
                <c:pt idx="449">
                  <c:v>27912</c:v>
                </c:pt>
                <c:pt idx="450">
                  <c:v>27942</c:v>
                </c:pt>
                <c:pt idx="451">
                  <c:v>27973</c:v>
                </c:pt>
                <c:pt idx="452">
                  <c:v>28004</c:v>
                </c:pt>
                <c:pt idx="453">
                  <c:v>28034</c:v>
                </c:pt>
                <c:pt idx="454">
                  <c:v>28065</c:v>
                </c:pt>
                <c:pt idx="455">
                  <c:v>28095</c:v>
                </c:pt>
                <c:pt idx="456">
                  <c:v>28126</c:v>
                </c:pt>
                <c:pt idx="457">
                  <c:v>28157</c:v>
                </c:pt>
                <c:pt idx="458">
                  <c:v>28185</c:v>
                </c:pt>
                <c:pt idx="459">
                  <c:v>28216</c:v>
                </c:pt>
                <c:pt idx="460">
                  <c:v>28246</c:v>
                </c:pt>
                <c:pt idx="461">
                  <c:v>28277</c:v>
                </c:pt>
                <c:pt idx="462">
                  <c:v>28307</c:v>
                </c:pt>
                <c:pt idx="463">
                  <c:v>28338</c:v>
                </c:pt>
                <c:pt idx="464">
                  <c:v>28369</c:v>
                </c:pt>
                <c:pt idx="465">
                  <c:v>28399</c:v>
                </c:pt>
                <c:pt idx="466">
                  <c:v>28430</c:v>
                </c:pt>
                <c:pt idx="467">
                  <c:v>28460</c:v>
                </c:pt>
                <c:pt idx="468">
                  <c:v>28491</c:v>
                </c:pt>
                <c:pt idx="469">
                  <c:v>28522</c:v>
                </c:pt>
                <c:pt idx="470">
                  <c:v>28550</c:v>
                </c:pt>
                <c:pt idx="471">
                  <c:v>28581</c:v>
                </c:pt>
                <c:pt idx="472">
                  <c:v>28611</c:v>
                </c:pt>
                <c:pt idx="473">
                  <c:v>28642</c:v>
                </c:pt>
                <c:pt idx="474">
                  <c:v>28672</c:v>
                </c:pt>
                <c:pt idx="475">
                  <c:v>28703</c:v>
                </c:pt>
                <c:pt idx="476">
                  <c:v>28734</c:v>
                </c:pt>
                <c:pt idx="477">
                  <c:v>28764</c:v>
                </c:pt>
                <c:pt idx="478">
                  <c:v>28795</c:v>
                </c:pt>
                <c:pt idx="479">
                  <c:v>28825</c:v>
                </c:pt>
                <c:pt idx="480">
                  <c:v>28856</c:v>
                </c:pt>
                <c:pt idx="481">
                  <c:v>28887</c:v>
                </c:pt>
                <c:pt idx="482">
                  <c:v>28915</c:v>
                </c:pt>
                <c:pt idx="483">
                  <c:v>28946</c:v>
                </c:pt>
                <c:pt idx="484">
                  <c:v>28976</c:v>
                </c:pt>
                <c:pt idx="485">
                  <c:v>29007</c:v>
                </c:pt>
                <c:pt idx="486">
                  <c:v>29037</c:v>
                </c:pt>
                <c:pt idx="487">
                  <c:v>29068</c:v>
                </c:pt>
                <c:pt idx="488">
                  <c:v>29099</c:v>
                </c:pt>
                <c:pt idx="489">
                  <c:v>29129</c:v>
                </c:pt>
                <c:pt idx="490">
                  <c:v>29160</c:v>
                </c:pt>
                <c:pt idx="491">
                  <c:v>29190</c:v>
                </c:pt>
                <c:pt idx="492">
                  <c:v>29221</c:v>
                </c:pt>
                <c:pt idx="493">
                  <c:v>29252</c:v>
                </c:pt>
                <c:pt idx="494">
                  <c:v>29281</c:v>
                </c:pt>
                <c:pt idx="495">
                  <c:v>29312</c:v>
                </c:pt>
                <c:pt idx="496">
                  <c:v>29342</c:v>
                </c:pt>
                <c:pt idx="497">
                  <c:v>29373</c:v>
                </c:pt>
                <c:pt idx="498">
                  <c:v>29403</c:v>
                </c:pt>
                <c:pt idx="499">
                  <c:v>29434</c:v>
                </c:pt>
                <c:pt idx="500">
                  <c:v>29465</c:v>
                </c:pt>
                <c:pt idx="501">
                  <c:v>29495</c:v>
                </c:pt>
                <c:pt idx="502">
                  <c:v>29526</c:v>
                </c:pt>
                <c:pt idx="503">
                  <c:v>29556</c:v>
                </c:pt>
                <c:pt idx="504">
                  <c:v>29587</c:v>
                </c:pt>
                <c:pt idx="505">
                  <c:v>29618</c:v>
                </c:pt>
                <c:pt idx="506">
                  <c:v>29646</c:v>
                </c:pt>
                <c:pt idx="507">
                  <c:v>29677</c:v>
                </c:pt>
                <c:pt idx="508">
                  <c:v>29707</c:v>
                </c:pt>
                <c:pt idx="509">
                  <c:v>29738</c:v>
                </c:pt>
                <c:pt idx="510">
                  <c:v>29768</c:v>
                </c:pt>
                <c:pt idx="511">
                  <c:v>29799</c:v>
                </c:pt>
                <c:pt idx="512">
                  <c:v>29830</c:v>
                </c:pt>
                <c:pt idx="513">
                  <c:v>29860</c:v>
                </c:pt>
                <c:pt idx="514">
                  <c:v>29891</c:v>
                </c:pt>
                <c:pt idx="515">
                  <c:v>29921</c:v>
                </c:pt>
                <c:pt idx="516">
                  <c:v>29952</c:v>
                </c:pt>
                <c:pt idx="517">
                  <c:v>29983</c:v>
                </c:pt>
                <c:pt idx="518">
                  <c:v>30011</c:v>
                </c:pt>
                <c:pt idx="519">
                  <c:v>30042</c:v>
                </c:pt>
                <c:pt idx="520">
                  <c:v>30072</c:v>
                </c:pt>
                <c:pt idx="521">
                  <c:v>30103</c:v>
                </c:pt>
                <c:pt idx="522">
                  <c:v>30133</c:v>
                </c:pt>
                <c:pt idx="523">
                  <c:v>30164</c:v>
                </c:pt>
                <c:pt idx="524">
                  <c:v>30195</c:v>
                </c:pt>
                <c:pt idx="525">
                  <c:v>30225</c:v>
                </c:pt>
                <c:pt idx="526">
                  <c:v>30256</c:v>
                </c:pt>
                <c:pt idx="527">
                  <c:v>30286</c:v>
                </c:pt>
                <c:pt idx="528">
                  <c:v>30317</c:v>
                </c:pt>
                <c:pt idx="529">
                  <c:v>30348</c:v>
                </c:pt>
                <c:pt idx="530">
                  <c:v>30376</c:v>
                </c:pt>
                <c:pt idx="531">
                  <c:v>30407</c:v>
                </c:pt>
                <c:pt idx="532">
                  <c:v>30437</c:v>
                </c:pt>
                <c:pt idx="533">
                  <c:v>30468</c:v>
                </c:pt>
                <c:pt idx="534">
                  <c:v>30498</c:v>
                </c:pt>
                <c:pt idx="535">
                  <c:v>30529</c:v>
                </c:pt>
                <c:pt idx="536">
                  <c:v>30560</c:v>
                </c:pt>
                <c:pt idx="537">
                  <c:v>30590</c:v>
                </c:pt>
                <c:pt idx="538">
                  <c:v>30621</c:v>
                </c:pt>
                <c:pt idx="539">
                  <c:v>30651</c:v>
                </c:pt>
                <c:pt idx="540">
                  <c:v>30682</c:v>
                </c:pt>
                <c:pt idx="541">
                  <c:v>30713</c:v>
                </c:pt>
                <c:pt idx="542">
                  <c:v>30742</c:v>
                </c:pt>
                <c:pt idx="543">
                  <c:v>30773</c:v>
                </c:pt>
                <c:pt idx="544">
                  <c:v>30803</c:v>
                </c:pt>
                <c:pt idx="545">
                  <c:v>30834</c:v>
                </c:pt>
                <c:pt idx="546">
                  <c:v>30864</c:v>
                </c:pt>
                <c:pt idx="547">
                  <c:v>30895</c:v>
                </c:pt>
                <c:pt idx="548">
                  <c:v>30926</c:v>
                </c:pt>
                <c:pt idx="549">
                  <c:v>30956</c:v>
                </c:pt>
                <c:pt idx="550">
                  <c:v>30987</c:v>
                </c:pt>
                <c:pt idx="551">
                  <c:v>31017</c:v>
                </c:pt>
                <c:pt idx="552">
                  <c:v>31048</c:v>
                </c:pt>
                <c:pt idx="553">
                  <c:v>31079</c:v>
                </c:pt>
                <c:pt idx="554">
                  <c:v>31107</c:v>
                </c:pt>
                <c:pt idx="555">
                  <c:v>31138</c:v>
                </c:pt>
                <c:pt idx="556">
                  <c:v>31168</c:v>
                </c:pt>
                <c:pt idx="557">
                  <c:v>31199</c:v>
                </c:pt>
                <c:pt idx="558">
                  <c:v>31229</c:v>
                </c:pt>
                <c:pt idx="559">
                  <c:v>31260</c:v>
                </c:pt>
                <c:pt idx="560">
                  <c:v>31291</c:v>
                </c:pt>
                <c:pt idx="561">
                  <c:v>31321</c:v>
                </c:pt>
                <c:pt idx="562">
                  <c:v>31352</c:v>
                </c:pt>
                <c:pt idx="563">
                  <c:v>31382</c:v>
                </c:pt>
                <c:pt idx="564">
                  <c:v>31413</c:v>
                </c:pt>
                <c:pt idx="565">
                  <c:v>31444</c:v>
                </c:pt>
                <c:pt idx="566">
                  <c:v>31472</c:v>
                </c:pt>
                <c:pt idx="567">
                  <c:v>31503</c:v>
                </c:pt>
                <c:pt idx="568">
                  <c:v>31533</c:v>
                </c:pt>
                <c:pt idx="569">
                  <c:v>31564</c:v>
                </c:pt>
                <c:pt idx="570">
                  <c:v>31594</c:v>
                </c:pt>
                <c:pt idx="571">
                  <c:v>31625</c:v>
                </c:pt>
                <c:pt idx="572">
                  <c:v>31656</c:v>
                </c:pt>
                <c:pt idx="573">
                  <c:v>31686</c:v>
                </c:pt>
                <c:pt idx="574">
                  <c:v>31717</c:v>
                </c:pt>
                <c:pt idx="575">
                  <c:v>31747</c:v>
                </c:pt>
                <c:pt idx="576">
                  <c:v>31778</c:v>
                </c:pt>
                <c:pt idx="577">
                  <c:v>31809</c:v>
                </c:pt>
                <c:pt idx="578">
                  <c:v>31837</c:v>
                </c:pt>
                <c:pt idx="579">
                  <c:v>31868</c:v>
                </c:pt>
                <c:pt idx="580">
                  <c:v>31898</c:v>
                </c:pt>
                <c:pt idx="581">
                  <c:v>31929</c:v>
                </c:pt>
                <c:pt idx="582">
                  <c:v>31959</c:v>
                </c:pt>
                <c:pt idx="583">
                  <c:v>31990</c:v>
                </c:pt>
                <c:pt idx="584">
                  <c:v>32021</c:v>
                </c:pt>
                <c:pt idx="585">
                  <c:v>32051</c:v>
                </c:pt>
                <c:pt idx="586">
                  <c:v>32082</c:v>
                </c:pt>
                <c:pt idx="587">
                  <c:v>32112</c:v>
                </c:pt>
                <c:pt idx="588">
                  <c:v>32143</c:v>
                </c:pt>
                <c:pt idx="589">
                  <c:v>32174</c:v>
                </c:pt>
                <c:pt idx="590">
                  <c:v>32203</c:v>
                </c:pt>
                <c:pt idx="591">
                  <c:v>32234</c:v>
                </c:pt>
                <c:pt idx="592">
                  <c:v>32264</c:v>
                </c:pt>
                <c:pt idx="593">
                  <c:v>32295</c:v>
                </c:pt>
                <c:pt idx="594">
                  <c:v>32325</c:v>
                </c:pt>
                <c:pt idx="595">
                  <c:v>32356</c:v>
                </c:pt>
                <c:pt idx="596">
                  <c:v>32387</c:v>
                </c:pt>
                <c:pt idx="597">
                  <c:v>32417</c:v>
                </c:pt>
                <c:pt idx="598">
                  <c:v>32448</c:v>
                </c:pt>
                <c:pt idx="599">
                  <c:v>32478</c:v>
                </c:pt>
                <c:pt idx="600">
                  <c:v>32509</c:v>
                </c:pt>
                <c:pt idx="601">
                  <c:v>32540</c:v>
                </c:pt>
                <c:pt idx="602">
                  <c:v>32568</c:v>
                </c:pt>
                <c:pt idx="603">
                  <c:v>32599</c:v>
                </c:pt>
                <c:pt idx="604">
                  <c:v>32629</c:v>
                </c:pt>
                <c:pt idx="605">
                  <c:v>32660</c:v>
                </c:pt>
                <c:pt idx="606">
                  <c:v>32690</c:v>
                </c:pt>
                <c:pt idx="607">
                  <c:v>32721</c:v>
                </c:pt>
                <c:pt idx="608">
                  <c:v>32752</c:v>
                </c:pt>
                <c:pt idx="609">
                  <c:v>32782</c:v>
                </c:pt>
                <c:pt idx="610">
                  <c:v>32813</c:v>
                </c:pt>
                <c:pt idx="611">
                  <c:v>32843</c:v>
                </c:pt>
                <c:pt idx="612">
                  <c:v>32874</c:v>
                </c:pt>
                <c:pt idx="613">
                  <c:v>32905</c:v>
                </c:pt>
                <c:pt idx="614">
                  <c:v>32933</c:v>
                </c:pt>
                <c:pt idx="615">
                  <c:v>32964</c:v>
                </c:pt>
                <c:pt idx="616">
                  <c:v>32994</c:v>
                </c:pt>
                <c:pt idx="617">
                  <c:v>33025</c:v>
                </c:pt>
                <c:pt idx="618">
                  <c:v>33055</c:v>
                </c:pt>
                <c:pt idx="619">
                  <c:v>33086</c:v>
                </c:pt>
                <c:pt idx="620">
                  <c:v>33117</c:v>
                </c:pt>
                <c:pt idx="621">
                  <c:v>33147</c:v>
                </c:pt>
                <c:pt idx="622">
                  <c:v>33178</c:v>
                </c:pt>
                <c:pt idx="623">
                  <c:v>33208</c:v>
                </c:pt>
                <c:pt idx="624">
                  <c:v>33239</c:v>
                </c:pt>
                <c:pt idx="625">
                  <c:v>33270</c:v>
                </c:pt>
                <c:pt idx="626">
                  <c:v>33298</c:v>
                </c:pt>
                <c:pt idx="627">
                  <c:v>33329</c:v>
                </c:pt>
                <c:pt idx="628">
                  <c:v>33359</c:v>
                </c:pt>
                <c:pt idx="629">
                  <c:v>33390</c:v>
                </c:pt>
                <c:pt idx="630">
                  <c:v>33420</c:v>
                </c:pt>
                <c:pt idx="631">
                  <c:v>33451</c:v>
                </c:pt>
                <c:pt idx="632">
                  <c:v>33482</c:v>
                </c:pt>
                <c:pt idx="633">
                  <c:v>33512</c:v>
                </c:pt>
                <c:pt idx="634">
                  <c:v>33543</c:v>
                </c:pt>
                <c:pt idx="635">
                  <c:v>33573</c:v>
                </c:pt>
                <c:pt idx="636">
                  <c:v>33604</c:v>
                </c:pt>
                <c:pt idx="637">
                  <c:v>33635</c:v>
                </c:pt>
                <c:pt idx="638">
                  <c:v>33664</c:v>
                </c:pt>
                <c:pt idx="639">
                  <c:v>33695</c:v>
                </c:pt>
                <c:pt idx="640">
                  <c:v>33725</c:v>
                </c:pt>
                <c:pt idx="641">
                  <c:v>33756</c:v>
                </c:pt>
                <c:pt idx="642">
                  <c:v>33786</c:v>
                </c:pt>
                <c:pt idx="643">
                  <c:v>33817</c:v>
                </c:pt>
                <c:pt idx="644">
                  <c:v>33848</c:v>
                </c:pt>
                <c:pt idx="645">
                  <c:v>33878</c:v>
                </c:pt>
                <c:pt idx="646">
                  <c:v>33909</c:v>
                </c:pt>
                <c:pt idx="647">
                  <c:v>33939</c:v>
                </c:pt>
                <c:pt idx="648">
                  <c:v>33970</c:v>
                </c:pt>
                <c:pt idx="649">
                  <c:v>34001</c:v>
                </c:pt>
                <c:pt idx="650">
                  <c:v>34029</c:v>
                </c:pt>
                <c:pt idx="651">
                  <c:v>34060</c:v>
                </c:pt>
                <c:pt idx="652">
                  <c:v>34090</c:v>
                </c:pt>
                <c:pt idx="653">
                  <c:v>34121</c:v>
                </c:pt>
                <c:pt idx="654">
                  <c:v>34151</c:v>
                </c:pt>
                <c:pt idx="655">
                  <c:v>34182</c:v>
                </c:pt>
                <c:pt idx="656">
                  <c:v>34213</c:v>
                </c:pt>
                <c:pt idx="657">
                  <c:v>34243</c:v>
                </c:pt>
                <c:pt idx="658">
                  <c:v>34274</c:v>
                </c:pt>
                <c:pt idx="659">
                  <c:v>34304</c:v>
                </c:pt>
                <c:pt idx="660">
                  <c:v>34335</c:v>
                </c:pt>
                <c:pt idx="661">
                  <c:v>34366</c:v>
                </c:pt>
                <c:pt idx="662">
                  <c:v>34394</c:v>
                </c:pt>
                <c:pt idx="663">
                  <c:v>34425</c:v>
                </c:pt>
                <c:pt idx="664">
                  <c:v>34455</c:v>
                </c:pt>
                <c:pt idx="665">
                  <c:v>34486</c:v>
                </c:pt>
                <c:pt idx="666">
                  <c:v>34516</c:v>
                </c:pt>
                <c:pt idx="667">
                  <c:v>34547</c:v>
                </c:pt>
                <c:pt idx="668">
                  <c:v>34578</c:v>
                </c:pt>
                <c:pt idx="669">
                  <c:v>34608</c:v>
                </c:pt>
                <c:pt idx="670">
                  <c:v>34639</c:v>
                </c:pt>
                <c:pt idx="671">
                  <c:v>34669</c:v>
                </c:pt>
                <c:pt idx="672">
                  <c:v>34700</c:v>
                </c:pt>
                <c:pt idx="673">
                  <c:v>34731</c:v>
                </c:pt>
                <c:pt idx="674">
                  <c:v>34759</c:v>
                </c:pt>
                <c:pt idx="675">
                  <c:v>34790</c:v>
                </c:pt>
                <c:pt idx="676">
                  <c:v>34820</c:v>
                </c:pt>
                <c:pt idx="677">
                  <c:v>34851</c:v>
                </c:pt>
                <c:pt idx="678">
                  <c:v>34881</c:v>
                </c:pt>
                <c:pt idx="679">
                  <c:v>34912</c:v>
                </c:pt>
                <c:pt idx="680">
                  <c:v>34943</c:v>
                </c:pt>
                <c:pt idx="681">
                  <c:v>34973</c:v>
                </c:pt>
                <c:pt idx="682">
                  <c:v>35004</c:v>
                </c:pt>
                <c:pt idx="683">
                  <c:v>35034</c:v>
                </c:pt>
                <c:pt idx="684">
                  <c:v>35065</c:v>
                </c:pt>
                <c:pt idx="685">
                  <c:v>35096</c:v>
                </c:pt>
                <c:pt idx="686">
                  <c:v>35125</c:v>
                </c:pt>
                <c:pt idx="687">
                  <c:v>35156</c:v>
                </c:pt>
                <c:pt idx="688">
                  <c:v>35186</c:v>
                </c:pt>
                <c:pt idx="689">
                  <c:v>35217</c:v>
                </c:pt>
                <c:pt idx="690">
                  <c:v>35247</c:v>
                </c:pt>
                <c:pt idx="691">
                  <c:v>35278</c:v>
                </c:pt>
                <c:pt idx="692">
                  <c:v>35309</c:v>
                </c:pt>
                <c:pt idx="693">
                  <c:v>35339</c:v>
                </c:pt>
                <c:pt idx="694">
                  <c:v>35370</c:v>
                </c:pt>
                <c:pt idx="695">
                  <c:v>35400</c:v>
                </c:pt>
                <c:pt idx="696">
                  <c:v>35431</c:v>
                </c:pt>
                <c:pt idx="697">
                  <c:v>35462</c:v>
                </c:pt>
                <c:pt idx="698">
                  <c:v>35490</c:v>
                </c:pt>
                <c:pt idx="699">
                  <c:v>35521</c:v>
                </c:pt>
                <c:pt idx="700">
                  <c:v>35551</c:v>
                </c:pt>
                <c:pt idx="701">
                  <c:v>35582</c:v>
                </c:pt>
                <c:pt idx="702">
                  <c:v>35612</c:v>
                </c:pt>
                <c:pt idx="703">
                  <c:v>35643</c:v>
                </c:pt>
                <c:pt idx="704">
                  <c:v>35674</c:v>
                </c:pt>
                <c:pt idx="705">
                  <c:v>35704</c:v>
                </c:pt>
                <c:pt idx="706">
                  <c:v>35735</c:v>
                </c:pt>
                <c:pt idx="707">
                  <c:v>35765</c:v>
                </c:pt>
                <c:pt idx="708">
                  <c:v>35796</c:v>
                </c:pt>
                <c:pt idx="709">
                  <c:v>35827</c:v>
                </c:pt>
                <c:pt idx="710">
                  <c:v>35855</c:v>
                </c:pt>
                <c:pt idx="711">
                  <c:v>35886</c:v>
                </c:pt>
                <c:pt idx="712">
                  <c:v>35916</c:v>
                </c:pt>
                <c:pt idx="713">
                  <c:v>35947</c:v>
                </c:pt>
                <c:pt idx="714">
                  <c:v>35977</c:v>
                </c:pt>
                <c:pt idx="715">
                  <c:v>36008</c:v>
                </c:pt>
                <c:pt idx="716">
                  <c:v>36039</c:v>
                </c:pt>
                <c:pt idx="717">
                  <c:v>36069</c:v>
                </c:pt>
                <c:pt idx="718">
                  <c:v>36100</c:v>
                </c:pt>
                <c:pt idx="719">
                  <c:v>36130</c:v>
                </c:pt>
                <c:pt idx="720">
                  <c:v>36161</c:v>
                </c:pt>
                <c:pt idx="721">
                  <c:v>36192</c:v>
                </c:pt>
                <c:pt idx="722">
                  <c:v>36220</c:v>
                </c:pt>
                <c:pt idx="723">
                  <c:v>36251</c:v>
                </c:pt>
                <c:pt idx="724">
                  <c:v>36281</c:v>
                </c:pt>
                <c:pt idx="725">
                  <c:v>36312</c:v>
                </c:pt>
                <c:pt idx="726">
                  <c:v>36342</c:v>
                </c:pt>
                <c:pt idx="727">
                  <c:v>36373</c:v>
                </c:pt>
                <c:pt idx="728">
                  <c:v>36404</c:v>
                </c:pt>
                <c:pt idx="729">
                  <c:v>36434</c:v>
                </c:pt>
                <c:pt idx="730">
                  <c:v>36465</c:v>
                </c:pt>
                <c:pt idx="731">
                  <c:v>36495</c:v>
                </c:pt>
                <c:pt idx="732">
                  <c:v>36526</c:v>
                </c:pt>
                <c:pt idx="733">
                  <c:v>36557</c:v>
                </c:pt>
                <c:pt idx="734">
                  <c:v>36586</c:v>
                </c:pt>
                <c:pt idx="735">
                  <c:v>36617</c:v>
                </c:pt>
                <c:pt idx="736">
                  <c:v>36647</c:v>
                </c:pt>
                <c:pt idx="737">
                  <c:v>36678</c:v>
                </c:pt>
                <c:pt idx="738">
                  <c:v>36708</c:v>
                </c:pt>
                <c:pt idx="739">
                  <c:v>36739</c:v>
                </c:pt>
                <c:pt idx="740">
                  <c:v>36770</c:v>
                </c:pt>
                <c:pt idx="741">
                  <c:v>36800</c:v>
                </c:pt>
                <c:pt idx="742">
                  <c:v>36831</c:v>
                </c:pt>
                <c:pt idx="743">
                  <c:v>36861</c:v>
                </c:pt>
                <c:pt idx="744">
                  <c:v>36892</c:v>
                </c:pt>
                <c:pt idx="745">
                  <c:v>36923</c:v>
                </c:pt>
                <c:pt idx="746">
                  <c:v>36951</c:v>
                </c:pt>
                <c:pt idx="747">
                  <c:v>36982</c:v>
                </c:pt>
                <c:pt idx="748">
                  <c:v>37012</c:v>
                </c:pt>
                <c:pt idx="749">
                  <c:v>37043</c:v>
                </c:pt>
                <c:pt idx="750">
                  <c:v>37073</c:v>
                </c:pt>
                <c:pt idx="751">
                  <c:v>37104</c:v>
                </c:pt>
                <c:pt idx="752">
                  <c:v>37135</c:v>
                </c:pt>
                <c:pt idx="753">
                  <c:v>37165</c:v>
                </c:pt>
                <c:pt idx="754">
                  <c:v>37196</c:v>
                </c:pt>
                <c:pt idx="755">
                  <c:v>37226</c:v>
                </c:pt>
                <c:pt idx="756">
                  <c:v>37257</c:v>
                </c:pt>
                <c:pt idx="757">
                  <c:v>37288</c:v>
                </c:pt>
                <c:pt idx="758">
                  <c:v>37316</c:v>
                </c:pt>
                <c:pt idx="759">
                  <c:v>37347</c:v>
                </c:pt>
                <c:pt idx="760">
                  <c:v>37377</c:v>
                </c:pt>
                <c:pt idx="761">
                  <c:v>37408</c:v>
                </c:pt>
                <c:pt idx="762">
                  <c:v>37438</c:v>
                </c:pt>
                <c:pt idx="763">
                  <c:v>37469</c:v>
                </c:pt>
                <c:pt idx="764">
                  <c:v>37500</c:v>
                </c:pt>
                <c:pt idx="765">
                  <c:v>37530</c:v>
                </c:pt>
                <c:pt idx="766">
                  <c:v>37561</c:v>
                </c:pt>
                <c:pt idx="767">
                  <c:v>37591</c:v>
                </c:pt>
                <c:pt idx="768">
                  <c:v>37622</c:v>
                </c:pt>
                <c:pt idx="769">
                  <c:v>37653</c:v>
                </c:pt>
                <c:pt idx="770">
                  <c:v>37681</c:v>
                </c:pt>
                <c:pt idx="771">
                  <c:v>37712</c:v>
                </c:pt>
                <c:pt idx="772">
                  <c:v>37742</c:v>
                </c:pt>
                <c:pt idx="773">
                  <c:v>37773</c:v>
                </c:pt>
                <c:pt idx="774">
                  <c:v>37803</c:v>
                </c:pt>
                <c:pt idx="775">
                  <c:v>37834</c:v>
                </c:pt>
                <c:pt idx="776">
                  <c:v>37865</c:v>
                </c:pt>
                <c:pt idx="777">
                  <c:v>37895</c:v>
                </c:pt>
                <c:pt idx="778">
                  <c:v>37926</c:v>
                </c:pt>
                <c:pt idx="779">
                  <c:v>37956</c:v>
                </c:pt>
                <c:pt idx="780">
                  <c:v>37987</c:v>
                </c:pt>
                <c:pt idx="781">
                  <c:v>38018</c:v>
                </c:pt>
                <c:pt idx="782">
                  <c:v>38047</c:v>
                </c:pt>
                <c:pt idx="783">
                  <c:v>38078</c:v>
                </c:pt>
                <c:pt idx="784">
                  <c:v>38108</c:v>
                </c:pt>
                <c:pt idx="785">
                  <c:v>38139</c:v>
                </c:pt>
                <c:pt idx="786">
                  <c:v>38169</c:v>
                </c:pt>
                <c:pt idx="787">
                  <c:v>38200</c:v>
                </c:pt>
                <c:pt idx="788">
                  <c:v>38231</c:v>
                </c:pt>
                <c:pt idx="789">
                  <c:v>38261</c:v>
                </c:pt>
                <c:pt idx="790">
                  <c:v>38292</c:v>
                </c:pt>
                <c:pt idx="791">
                  <c:v>38322</c:v>
                </c:pt>
                <c:pt idx="792">
                  <c:v>38353</c:v>
                </c:pt>
                <c:pt idx="793">
                  <c:v>38384</c:v>
                </c:pt>
                <c:pt idx="794">
                  <c:v>38412</c:v>
                </c:pt>
                <c:pt idx="795">
                  <c:v>38443</c:v>
                </c:pt>
                <c:pt idx="796">
                  <c:v>38473</c:v>
                </c:pt>
                <c:pt idx="797">
                  <c:v>38504</c:v>
                </c:pt>
                <c:pt idx="798">
                  <c:v>38534</c:v>
                </c:pt>
                <c:pt idx="799">
                  <c:v>38565</c:v>
                </c:pt>
                <c:pt idx="800">
                  <c:v>38596</c:v>
                </c:pt>
                <c:pt idx="801">
                  <c:v>38626</c:v>
                </c:pt>
                <c:pt idx="802">
                  <c:v>38657</c:v>
                </c:pt>
                <c:pt idx="803">
                  <c:v>38687</c:v>
                </c:pt>
                <c:pt idx="804">
                  <c:v>38718</c:v>
                </c:pt>
                <c:pt idx="805">
                  <c:v>38749</c:v>
                </c:pt>
                <c:pt idx="806">
                  <c:v>38777</c:v>
                </c:pt>
                <c:pt idx="807">
                  <c:v>38808</c:v>
                </c:pt>
                <c:pt idx="808">
                  <c:v>38838</c:v>
                </c:pt>
                <c:pt idx="809">
                  <c:v>38869</c:v>
                </c:pt>
                <c:pt idx="810">
                  <c:v>38899</c:v>
                </c:pt>
                <c:pt idx="811">
                  <c:v>38930</c:v>
                </c:pt>
                <c:pt idx="812">
                  <c:v>38961</c:v>
                </c:pt>
                <c:pt idx="813">
                  <c:v>38991</c:v>
                </c:pt>
                <c:pt idx="814">
                  <c:v>39022</c:v>
                </c:pt>
                <c:pt idx="815">
                  <c:v>39052</c:v>
                </c:pt>
                <c:pt idx="816">
                  <c:v>39083</c:v>
                </c:pt>
                <c:pt idx="817">
                  <c:v>39114</c:v>
                </c:pt>
                <c:pt idx="818">
                  <c:v>39142</c:v>
                </c:pt>
                <c:pt idx="819">
                  <c:v>39173</c:v>
                </c:pt>
                <c:pt idx="820">
                  <c:v>39203</c:v>
                </c:pt>
                <c:pt idx="821">
                  <c:v>39234</c:v>
                </c:pt>
                <c:pt idx="822">
                  <c:v>39264</c:v>
                </c:pt>
                <c:pt idx="823">
                  <c:v>39295</c:v>
                </c:pt>
                <c:pt idx="824">
                  <c:v>39326</c:v>
                </c:pt>
                <c:pt idx="825">
                  <c:v>39356</c:v>
                </c:pt>
                <c:pt idx="826">
                  <c:v>39387</c:v>
                </c:pt>
                <c:pt idx="827">
                  <c:v>39417</c:v>
                </c:pt>
                <c:pt idx="828">
                  <c:v>39448</c:v>
                </c:pt>
                <c:pt idx="829">
                  <c:v>39479</c:v>
                </c:pt>
                <c:pt idx="830">
                  <c:v>39508</c:v>
                </c:pt>
                <c:pt idx="831">
                  <c:v>39539</c:v>
                </c:pt>
                <c:pt idx="832">
                  <c:v>39569</c:v>
                </c:pt>
                <c:pt idx="833">
                  <c:v>39600</c:v>
                </c:pt>
                <c:pt idx="834">
                  <c:v>39630</c:v>
                </c:pt>
                <c:pt idx="835">
                  <c:v>39661</c:v>
                </c:pt>
                <c:pt idx="836">
                  <c:v>39692</c:v>
                </c:pt>
                <c:pt idx="837">
                  <c:v>39722</c:v>
                </c:pt>
                <c:pt idx="838">
                  <c:v>39753</c:v>
                </c:pt>
                <c:pt idx="839">
                  <c:v>39783</c:v>
                </c:pt>
                <c:pt idx="840">
                  <c:v>39814</c:v>
                </c:pt>
                <c:pt idx="841">
                  <c:v>39845</c:v>
                </c:pt>
                <c:pt idx="842">
                  <c:v>39873</c:v>
                </c:pt>
                <c:pt idx="843">
                  <c:v>39904</c:v>
                </c:pt>
                <c:pt idx="844">
                  <c:v>39934</c:v>
                </c:pt>
                <c:pt idx="845">
                  <c:v>39965</c:v>
                </c:pt>
                <c:pt idx="846">
                  <c:v>39995</c:v>
                </c:pt>
                <c:pt idx="847">
                  <c:v>40026</c:v>
                </c:pt>
                <c:pt idx="848">
                  <c:v>40057</c:v>
                </c:pt>
                <c:pt idx="849">
                  <c:v>40087</c:v>
                </c:pt>
                <c:pt idx="850">
                  <c:v>40118</c:v>
                </c:pt>
                <c:pt idx="851">
                  <c:v>40148</c:v>
                </c:pt>
                <c:pt idx="852">
                  <c:v>40179</c:v>
                </c:pt>
                <c:pt idx="853">
                  <c:v>40210</c:v>
                </c:pt>
                <c:pt idx="854">
                  <c:v>40238</c:v>
                </c:pt>
                <c:pt idx="855">
                  <c:v>40269</c:v>
                </c:pt>
                <c:pt idx="856">
                  <c:v>40299</c:v>
                </c:pt>
                <c:pt idx="857">
                  <c:v>40330</c:v>
                </c:pt>
                <c:pt idx="858">
                  <c:v>40360</c:v>
                </c:pt>
                <c:pt idx="859">
                  <c:v>40391</c:v>
                </c:pt>
                <c:pt idx="860">
                  <c:v>40422</c:v>
                </c:pt>
                <c:pt idx="861">
                  <c:v>40452</c:v>
                </c:pt>
                <c:pt idx="862">
                  <c:v>40483</c:v>
                </c:pt>
                <c:pt idx="863">
                  <c:v>40513</c:v>
                </c:pt>
                <c:pt idx="864">
                  <c:v>40544</c:v>
                </c:pt>
                <c:pt idx="865">
                  <c:v>40575</c:v>
                </c:pt>
                <c:pt idx="866">
                  <c:v>40603</c:v>
                </c:pt>
                <c:pt idx="867">
                  <c:v>40634</c:v>
                </c:pt>
                <c:pt idx="868">
                  <c:v>40664</c:v>
                </c:pt>
                <c:pt idx="869">
                  <c:v>40695</c:v>
                </c:pt>
                <c:pt idx="870">
                  <c:v>40725</c:v>
                </c:pt>
                <c:pt idx="871">
                  <c:v>40756</c:v>
                </c:pt>
                <c:pt idx="872">
                  <c:v>40787</c:v>
                </c:pt>
                <c:pt idx="873">
                  <c:v>40817</c:v>
                </c:pt>
                <c:pt idx="874">
                  <c:v>40848</c:v>
                </c:pt>
                <c:pt idx="875">
                  <c:v>40878</c:v>
                </c:pt>
                <c:pt idx="876">
                  <c:v>40909</c:v>
                </c:pt>
                <c:pt idx="877">
                  <c:v>40940</c:v>
                </c:pt>
                <c:pt idx="878">
                  <c:v>40969</c:v>
                </c:pt>
                <c:pt idx="879">
                  <c:v>41000</c:v>
                </c:pt>
                <c:pt idx="880">
                  <c:v>41030</c:v>
                </c:pt>
                <c:pt idx="881">
                  <c:v>41061</c:v>
                </c:pt>
                <c:pt idx="882">
                  <c:v>41091</c:v>
                </c:pt>
                <c:pt idx="883">
                  <c:v>41122</c:v>
                </c:pt>
                <c:pt idx="884">
                  <c:v>41153</c:v>
                </c:pt>
                <c:pt idx="885">
                  <c:v>41183</c:v>
                </c:pt>
                <c:pt idx="886">
                  <c:v>41214</c:v>
                </c:pt>
                <c:pt idx="887">
                  <c:v>41244</c:v>
                </c:pt>
                <c:pt idx="888">
                  <c:v>41275</c:v>
                </c:pt>
                <c:pt idx="889">
                  <c:v>41306</c:v>
                </c:pt>
                <c:pt idx="890">
                  <c:v>41334</c:v>
                </c:pt>
                <c:pt idx="891">
                  <c:v>41365</c:v>
                </c:pt>
                <c:pt idx="892">
                  <c:v>41395</c:v>
                </c:pt>
                <c:pt idx="893">
                  <c:v>41426</c:v>
                </c:pt>
                <c:pt idx="894">
                  <c:v>41456</c:v>
                </c:pt>
                <c:pt idx="895">
                  <c:v>41487</c:v>
                </c:pt>
                <c:pt idx="896">
                  <c:v>41518</c:v>
                </c:pt>
                <c:pt idx="897">
                  <c:v>41548</c:v>
                </c:pt>
                <c:pt idx="898">
                  <c:v>41579</c:v>
                </c:pt>
                <c:pt idx="899">
                  <c:v>41609</c:v>
                </c:pt>
                <c:pt idx="900">
                  <c:v>41640</c:v>
                </c:pt>
                <c:pt idx="901">
                  <c:v>41671</c:v>
                </c:pt>
                <c:pt idx="902">
                  <c:v>41699</c:v>
                </c:pt>
                <c:pt idx="903">
                  <c:v>41730</c:v>
                </c:pt>
                <c:pt idx="904">
                  <c:v>41760</c:v>
                </c:pt>
                <c:pt idx="905">
                  <c:v>41791</c:v>
                </c:pt>
                <c:pt idx="906">
                  <c:v>41821</c:v>
                </c:pt>
                <c:pt idx="907">
                  <c:v>41852</c:v>
                </c:pt>
                <c:pt idx="908">
                  <c:v>41883</c:v>
                </c:pt>
                <c:pt idx="909">
                  <c:v>41913</c:v>
                </c:pt>
                <c:pt idx="910">
                  <c:v>41944</c:v>
                </c:pt>
                <c:pt idx="911">
                  <c:v>41974</c:v>
                </c:pt>
                <c:pt idx="912">
                  <c:v>42005</c:v>
                </c:pt>
                <c:pt idx="913">
                  <c:v>42036</c:v>
                </c:pt>
                <c:pt idx="914">
                  <c:v>42064</c:v>
                </c:pt>
                <c:pt idx="915">
                  <c:v>42095</c:v>
                </c:pt>
                <c:pt idx="916">
                  <c:v>42125</c:v>
                </c:pt>
                <c:pt idx="917">
                  <c:v>42156</c:v>
                </c:pt>
                <c:pt idx="918">
                  <c:v>42186</c:v>
                </c:pt>
                <c:pt idx="919">
                  <c:v>42217</c:v>
                </c:pt>
                <c:pt idx="920">
                  <c:v>42248</c:v>
                </c:pt>
                <c:pt idx="921">
                  <c:v>42278</c:v>
                </c:pt>
                <c:pt idx="922">
                  <c:v>42309</c:v>
                </c:pt>
                <c:pt idx="923">
                  <c:v>42339</c:v>
                </c:pt>
                <c:pt idx="924">
                  <c:v>42370</c:v>
                </c:pt>
                <c:pt idx="925">
                  <c:v>42401</c:v>
                </c:pt>
                <c:pt idx="926">
                  <c:v>42430</c:v>
                </c:pt>
                <c:pt idx="927">
                  <c:v>42461</c:v>
                </c:pt>
                <c:pt idx="928">
                  <c:v>42491</c:v>
                </c:pt>
                <c:pt idx="929">
                  <c:v>42522</c:v>
                </c:pt>
                <c:pt idx="930">
                  <c:v>42552</c:v>
                </c:pt>
                <c:pt idx="931">
                  <c:v>42583</c:v>
                </c:pt>
                <c:pt idx="932">
                  <c:v>42614</c:v>
                </c:pt>
                <c:pt idx="933">
                  <c:v>42644</c:v>
                </c:pt>
                <c:pt idx="934">
                  <c:v>42675</c:v>
                </c:pt>
                <c:pt idx="935">
                  <c:v>42705</c:v>
                </c:pt>
                <c:pt idx="936">
                  <c:v>42736</c:v>
                </c:pt>
                <c:pt idx="937">
                  <c:v>42767</c:v>
                </c:pt>
                <c:pt idx="938">
                  <c:v>42795</c:v>
                </c:pt>
                <c:pt idx="939">
                  <c:v>42826</c:v>
                </c:pt>
                <c:pt idx="940">
                  <c:v>42856</c:v>
                </c:pt>
                <c:pt idx="941">
                  <c:v>42887</c:v>
                </c:pt>
                <c:pt idx="942">
                  <c:v>42917</c:v>
                </c:pt>
                <c:pt idx="943">
                  <c:v>42948</c:v>
                </c:pt>
                <c:pt idx="944">
                  <c:v>42979</c:v>
                </c:pt>
                <c:pt idx="945">
                  <c:v>43009</c:v>
                </c:pt>
                <c:pt idx="946">
                  <c:v>43040</c:v>
                </c:pt>
                <c:pt idx="947">
                  <c:v>43070</c:v>
                </c:pt>
                <c:pt idx="948">
                  <c:v>43101</c:v>
                </c:pt>
                <c:pt idx="949">
                  <c:v>43132</c:v>
                </c:pt>
                <c:pt idx="950">
                  <c:v>43160</c:v>
                </c:pt>
                <c:pt idx="951">
                  <c:v>43191</c:v>
                </c:pt>
                <c:pt idx="952">
                  <c:v>43221</c:v>
                </c:pt>
                <c:pt idx="953">
                  <c:v>43252</c:v>
                </c:pt>
                <c:pt idx="954">
                  <c:v>43282</c:v>
                </c:pt>
                <c:pt idx="955">
                  <c:v>43313</c:v>
                </c:pt>
                <c:pt idx="956">
                  <c:v>43344</c:v>
                </c:pt>
                <c:pt idx="957">
                  <c:v>43374</c:v>
                </c:pt>
                <c:pt idx="958">
                  <c:v>43405</c:v>
                </c:pt>
                <c:pt idx="959">
                  <c:v>43435</c:v>
                </c:pt>
                <c:pt idx="960">
                  <c:v>43466</c:v>
                </c:pt>
                <c:pt idx="961">
                  <c:v>43497</c:v>
                </c:pt>
                <c:pt idx="962">
                  <c:v>43525</c:v>
                </c:pt>
                <c:pt idx="963">
                  <c:v>43556</c:v>
                </c:pt>
                <c:pt idx="964">
                  <c:v>43586</c:v>
                </c:pt>
                <c:pt idx="965">
                  <c:v>43617</c:v>
                </c:pt>
                <c:pt idx="966">
                  <c:v>43647</c:v>
                </c:pt>
                <c:pt idx="967">
                  <c:v>43678</c:v>
                </c:pt>
                <c:pt idx="968">
                  <c:v>43709</c:v>
                </c:pt>
                <c:pt idx="969">
                  <c:v>43739</c:v>
                </c:pt>
                <c:pt idx="970">
                  <c:v>43770</c:v>
                </c:pt>
                <c:pt idx="971">
                  <c:v>43800</c:v>
                </c:pt>
                <c:pt idx="972">
                  <c:v>43831</c:v>
                </c:pt>
                <c:pt idx="973">
                  <c:v>43862</c:v>
                </c:pt>
                <c:pt idx="974">
                  <c:v>43891</c:v>
                </c:pt>
                <c:pt idx="975">
                  <c:v>43922</c:v>
                </c:pt>
                <c:pt idx="976">
                  <c:v>43952</c:v>
                </c:pt>
                <c:pt idx="977">
                  <c:v>43983</c:v>
                </c:pt>
                <c:pt idx="978">
                  <c:v>44013</c:v>
                </c:pt>
                <c:pt idx="979">
                  <c:v>44044</c:v>
                </c:pt>
                <c:pt idx="980">
                  <c:v>44075</c:v>
                </c:pt>
                <c:pt idx="981">
                  <c:v>44105</c:v>
                </c:pt>
                <c:pt idx="982">
                  <c:v>44136</c:v>
                </c:pt>
                <c:pt idx="983">
                  <c:v>44166</c:v>
                </c:pt>
                <c:pt idx="984">
                  <c:v>44197</c:v>
                </c:pt>
                <c:pt idx="985">
                  <c:v>44228</c:v>
                </c:pt>
                <c:pt idx="986">
                  <c:v>44256</c:v>
                </c:pt>
                <c:pt idx="987">
                  <c:v>44287</c:v>
                </c:pt>
                <c:pt idx="988">
                  <c:v>44317</c:v>
                </c:pt>
                <c:pt idx="989">
                  <c:v>44348</c:v>
                </c:pt>
                <c:pt idx="990">
                  <c:v>44378</c:v>
                </c:pt>
                <c:pt idx="991">
                  <c:v>44409</c:v>
                </c:pt>
                <c:pt idx="992">
                  <c:v>44440</c:v>
                </c:pt>
                <c:pt idx="993">
                  <c:v>44470</c:v>
                </c:pt>
                <c:pt idx="994">
                  <c:v>44501</c:v>
                </c:pt>
                <c:pt idx="995">
                  <c:v>44531</c:v>
                </c:pt>
                <c:pt idx="996">
                  <c:v>44562</c:v>
                </c:pt>
                <c:pt idx="997">
                  <c:v>44593</c:v>
                </c:pt>
                <c:pt idx="998">
                  <c:v>44621</c:v>
                </c:pt>
                <c:pt idx="999">
                  <c:v>44652</c:v>
                </c:pt>
                <c:pt idx="1000">
                  <c:v>44682</c:v>
                </c:pt>
                <c:pt idx="1001">
                  <c:v>44713</c:v>
                </c:pt>
                <c:pt idx="1002">
                  <c:v>44743</c:v>
                </c:pt>
                <c:pt idx="1003">
                  <c:v>44774</c:v>
                </c:pt>
                <c:pt idx="1004">
                  <c:v>44805</c:v>
                </c:pt>
                <c:pt idx="1005">
                  <c:v>44835</c:v>
                </c:pt>
                <c:pt idx="1006">
                  <c:v>44866</c:v>
                </c:pt>
                <c:pt idx="1007">
                  <c:v>44896</c:v>
                </c:pt>
                <c:pt idx="1008">
                  <c:v>44927</c:v>
                </c:pt>
                <c:pt idx="1009">
                  <c:v>44958</c:v>
                </c:pt>
                <c:pt idx="1010">
                  <c:v>44986</c:v>
                </c:pt>
                <c:pt idx="1011">
                  <c:v>45017</c:v>
                </c:pt>
                <c:pt idx="1012">
                  <c:v>45047</c:v>
                </c:pt>
                <c:pt idx="1013">
                  <c:v>45078</c:v>
                </c:pt>
                <c:pt idx="1014">
                  <c:v>45108</c:v>
                </c:pt>
                <c:pt idx="1015">
                  <c:v>45139</c:v>
                </c:pt>
                <c:pt idx="1016">
                  <c:v>45170</c:v>
                </c:pt>
                <c:pt idx="1017">
                  <c:v>45200</c:v>
                </c:pt>
                <c:pt idx="1018">
                  <c:v>45231</c:v>
                </c:pt>
                <c:pt idx="1019">
                  <c:v>45261</c:v>
                </c:pt>
                <c:pt idx="1020">
                  <c:v>45292</c:v>
                </c:pt>
                <c:pt idx="1021">
                  <c:v>45323</c:v>
                </c:pt>
                <c:pt idx="1022">
                  <c:v>45352</c:v>
                </c:pt>
                <c:pt idx="1023">
                  <c:v>45383</c:v>
                </c:pt>
                <c:pt idx="1024">
                  <c:v>45413</c:v>
                </c:pt>
                <c:pt idx="1025">
                  <c:v>45444</c:v>
                </c:pt>
                <c:pt idx="1026">
                  <c:v>45474</c:v>
                </c:pt>
                <c:pt idx="1027">
                  <c:v>45505</c:v>
                </c:pt>
                <c:pt idx="1028">
                  <c:v>45536</c:v>
                </c:pt>
                <c:pt idx="1029">
                  <c:v>45566</c:v>
                </c:pt>
                <c:pt idx="1030">
                  <c:v>45597</c:v>
                </c:pt>
                <c:pt idx="1031">
                  <c:v>45627</c:v>
                </c:pt>
                <c:pt idx="1032">
                  <c:v>45658</c:v>
                </c:pt>
                <c:pt idx="1033">
                  <c:v>45689</c:v>
                </c:pt>
                <c:pt idx="1034">
                  <c:v>45717</c:v>
                </c:pt>
                <c:pt idx="1035">
                  <c:v>45748</c:v>
                </c:pt>
                <c:pt idx="1036">
                  <c:v>45778</c:v>
                </c:pt>
                <c:pt idx="1037">
                  <c:v>45809</c:v>
                </c:pt>
                <c:pt idx="1038">
                  <c:v>45839</c:v>
                </c:pt>
                <c:pt idx="1039">
                  <c:v>45870</c:v>
                </c:pt>
                <c:pt idx="1040">
                  <c:v>45901</c:v>
                </c:pt>
                <c:pt idx="1041">
                  <c:v>45931</c:v>
                </c:pt>
                <c:pt idx="1042">
                  <c:v>45962</c:v>
                </c:pt>
                <c:pt idx="1043">
                  <c:v>45992</c:v>
                </c:pt>
                <c:pt idx="1044">
                  <c:v>46023</c:v>
                </c:pt>
                <c:pt idx="1045">
                  <c:v>46054</c:v>
                </c:pt>
                <c:pt idx="1046">
                  <c:v>46082</c:v>
                </c:pt>
                <c:pt idx="1047">
                  <c:v>46113</c:v>
                </c:pt>
                <c:pt idx="1048">
                  <c:v>46143</c:v>
                </c:pt>
                <c:pt idx="1049">
                  <c:v>46174</c:v>
                </c:pt>
                <c:pt idx="1050">
                  <c:v>46204</c:v>
                </c:pt>
              </c:numCache>
            </c:numRef>
          </c:cat>
          <c:val>
            <c:numRef>
              <c:f>NFP!$B$5:$B$1055</c:f>
              <c:numCache>
                <c:formatCode>#,##0</c:formatCode>
                <c:ptCount val="1051"/>
                <c:pt idx="0">
                  <c:v>29923</c:v>
                </c:pt>
                <c:pt idx="1">
                  <c:v>30100</c:v>
                </c:pt>
                <c:pt idx="2">
                  <c:v>30280</c:v>
                </c:pt>
                <c:pt idx="3">
                  <c:v>30094</c:v>
                </c:pt>
                <c:pt idx="4">
                  <c:v>30299</c:v>
                </c:pt>
                <c:pt idx="5">
                  <c:v>30502</c:v>
                </c:pt>
                <c:pt idx="6">
                  <c:v>30419</c:v>
                </c:pt>
                <c:pt idx="7">
                  <c:v>30663</c:v>
                </c:pt>
                <c:pt idx="8">
                  <c:v>31031</c:v>
                </c:pt>
                <c:pt idx="9">
                  <c:v>31411</c:v>
                </c:pt>
                <c:pt idx="10">
                  <c:v>31470</c:v>
                </c:pt>
                <c:pt idx="11">
                  <c:v>31542</c:v>
                </c:pt>
                <c:pt idx="12">
                  <c:v>31603</c:v>
                </c:pt>
                <c:pt idx="13">
                  <c:v>31715</c:v>
                </c:pt>
                <c:pt idx="14">
                  <c:v>31825</c:v>
                </c:pt>
                <c:pt idx="15">
                  <c:v>31701</c:v>
                </c:pt>
                <c:pt idx="16">
                  <c:v>31879</c:v>
                </c:pt>
                <c:pt idx="17">
                  <c:v>31977</c:v>
                </c:pt>
                <c:pt idx="18">
                  <c:v>31942</c:v>
                </c:pt>
                <c:pt idx="19">
                  <c:v>32352</c:v>
                </c:pt>
                <c:pt idx="20">
                  <c:v>32810</c:v>
                </c:pt>
                <c:pt idx="21">
                  <c:v>33267</c:v>
                </c:pt>
                <c:pt idx="22">
                  <c:v>33669</c:v>
                </c:pt>
                <c:pt idx="23">
                  <c:v>34174</c:v>
                </c:pt>
                <c:pt idx="24">
                  <c:v>34481</c:v>
                </c:pt>
                <c:pt idx="25">
                  <c:v>34843</c:v>
                </c:pt>
                <c:pt idx="26">
                  <c:v>35092</c:v>
                </c:pt>
                <c:pt idx="27">
                  <c:v>35468</c:v>
                </c:pt>
                <c:pt idx="28">
                  <c:v>36182</c:v>
                </c:pt>
                <c:pt idx="29">
                  <c:v>36650</c:v>
                </c:pt>
                <c:pt idx="30">
                  <c:v>37137</c:v>
                </c:pt>
                <c:pt idx="31">
                  <c:v>37544</c:v>
                </c:pt>
                <c:pt idx="32">
                  <c:v>37835</c:v>
                </c:pt>
                <c:pt idx="33">
                  <c:v>37949</c:v>
                </c:pt>
                <c:pt idx="34">
                  <c:v>38024</c:v>
                </c:pt>
                <c:pt idx="35">
                  <c:v>38104</c:v>
                </c:pt>
                <c:pt idx="36">
                  <c:v>38347</c:v>
                </c:pt>
                <c:pt idx="37">
                  <c:v>38512</c:v>
                </c:pt>
                <c:pt idx="38">
                  <c:v>38935</c:v>
                </c:pt>
                <c:pt idx="39">
                  <c:v>39352</c:v>
                </c:pt>
                <c:pt idx="40">
                  <c:v>39771</c:v>
                </c:pt>
                <c:pt idx="41">
                  <c:v>40029</c:v>
                </c:pt>
                <c:pt idx="42">
                  <c:v>40472</c:v>
                </c:pt>
                <c:pt idx="43">
                  <c:v>40988</c:v>
                </c:pt>
                <c:pt idx="44">
                  <c:v>41259</c:v>
                </c:pt>
                <c:pt idx="45">
                  <c:v>41515</c:v>
                </c:pt>
                <c:pt idx="46">
                  <c:v>41674</c:v>
                </c:pt>
                <c:pt idx="47">
                  <c:v>41915</c:v>
                </c:pt>
                <c:pt idx="48">
                  <c:v>42172</c:v>
                </c:pt>
                <c:pt idx="49">
                  <c:v>42393</c:v>
                </c:pt>
                <c:pt idx="50">
                  <c:v>42552</c:v>
                </c:pt>
                <c:pt idx="51">
                  <c:v>42647</c:v>
                </c:pt>
                <c:pt idx="52">
                  <c:v>42596</c:v>
                </c:pt>
                <c:pt idx="53">
                  <c:v>42781</c:v>
                </c:pt>
                <c:pt idx="54">
                  <c:v>42700</c:v>
                </c:pt>
                <c:pt idx="55">
                  <c:v>42546</c:v>
                </c:pt>
                <c:pt idx="56">
                  <c:v>42492</c:v>
                </c:pt>
                <c:pt idx="57">
                  <c:v>42675</c:v>
                </c:pt>
                <c:pt idx="58">
                  <c:v>42821</c:v>
                </c:pt>
                <c:pt idx="59">
                  <c:v>42746</c:v>
                </c:pt>
                <c:pt idx="60">
                  <c:v>42654</c:v>
                </c:pt>
                <c:pt idx="61">
                  <c:v>42538</c:v>
                </c:pt>
                <c:pt idx="62">
                  <c:v>42294</c:v>
                </c:pt>
                <c:pt idx="63">
                  <c:v>42063</c:v>
                </c:pt>
                <c:pt idx="64">
                  <c:v>41985</c:v>
                </c:pt>
                <c:pt idx="65">
                  <c:v>41947</c:v>
                </c:pt>
                <c:pt idx="66">
                  <c:v>41904</c:v>
                </c:pt>
                <c:pt idx="67">
                  <c:v>41850</c:v>
                </c:pt>
                <c:pt idx="68">
                  <c:v>41679</c:v>
                </c:pt>
                <c:pt idx="69">
                  <c:v>41708</c:v>
                </c:pt>
                <c:pt idx="70">
                  <c:v>41711</c:v>
                </c:pt>
                <c:pt idx="71">
                  <c:v>41860</c:v>
                </c:pt>
                <c:pt idx="72">
                  <c:v>41895</c:v>
                </c:pt>
                <c:pt idx="73">
                  <c:v>41897</c:v>
                </c:pt>
                <c:pt idx="74">
                  <c:v>41798</c:v>
                </c:pt>
                <c:pt idx="75">
                  <c:v>41446</c:v>
                </c:pt>
                <c:pt idx="76">
                  <c:v>41304</c:v>
                </c:pt>
                <c:pt idx="77">
                  <c:v>41149</c:v>
                </c:pt>
                <c:pt idx="78">
                  <c:v>40874</c:v>
                </c:pt>
                <c:pt idx="79">
                  <c:v>40466</c:v>
                </c:pt>
                <c:pt idx="80">
                  <c:v>38507</c:v>
                </c:pt>
                <c:pt idx="81">
                  <c:v>38600</c:v>
                </c:pt>
                <c:pt idx="82">
                  <c:v>38996</c:v>
                </c:pt>
                <c:pt idx="83">
                  <c:v>39110</c:v>
                </c:pt>
                <c:pt idx="84">
                  <c:v>39829</c:v>
                </c:pt>
                <c:pt idx="85">
                  <c:v>39244</c:v>
                </c:pt>
                <c:pt idx="86">
                  <c:v>40195</c:v>
                </c:pt>
                <c:pt idx="87">
                  <c:v>40913</c:v>
                </c:pt>
                <c:pt idx="88">
                  <c:v>41349</c:v>
                </c:pt>
                <c:pt idx="89">
                  <c:v>41735</c:v>
                </c:pt>
                <c:pt idx="90">
                  <c:v>42153</c:v>
                </c:pt>
                <c:pt idx="91">
                  <c:v>42642</c:v>
                </c:pt>
                <c:pt idx="92">
                  <c:v>42915</c:v>
                </c:pt>
                <c:pt idx="93">
                  <c:v>43093</c:v>
                </c:pt>
                <c:pt idx="94">
                  <c:v>43395</c:v>
                </c:pt>
                <c:pt idx="95">
                  <c:v>43379</c:v>
                </c:pt>
                <c:pt idx="96">
                  <c:v>43535</c:v>
                </c:pt>
                <c:pt idx="97">
                  <c:v>43557</c:v>
                </c:pt>
                <c:pt idx="98">
                  <c:v>43607</c:v>
                </c:pt>
                <c:pt idx="99">
                  <c:v>43499</c:v>
                </c:pt>
                <c:pt idx="100">
                  <c:v>43638</c:v>
                </c:pt>
                <c:pt idx="101">
                  <c:v>43810</c:v>
                </c:pt>
                <c:pt idx="102">
                  <c:v>43743</c:v>
                </c:pt>
                <c:pt idx="103">
                  <c:v>43960</c:v>
                </c:pt>
                <c:pt idx="104">
                  <c:v>44203</c:v>
                </c:pt>
                <c:pt idx="105">
                  <c:v>44411</c:v>
                </c:pt>
                <c:pt idx="106">
                  <c:v>44484</c:v>
                </c:pt>
                <c:pt idx="107">
                  <c:v>44581</c:v>
                </c:pt>
                <c:pt idx="108">
                  <c:v>44679</c:v>
                </c:pt>
                <c:pt idx="109">
                  <c:v>44533</c:v>
                </c:pt>
                <c:pt idx="110">
                  <c:v>44683</c:v>
                </c:pt>
                <c:pt idx="111">
                  <c:v>44379</c:v>
                </c:pt>
                <c:pt idx="112">
                  <c:v>44796</c:v>
                </c:pt>
                <c:pt idx="113">
                  <c:v>45034</c:v>
                </c:pt>
                <c:pt idx="114">
                  <c:v>45160</c:v>
                </c:pt>
                <c:pt idx="115">
                  <c:v>45178</c:v>
                </c:pt>
                <c:pt idx="116">
                  <c:v>45294</c:v>
                </c:pt>
                <c:pt idx="117">
                  <c:v>45245</c:v>
                </c:pt>
                <c:pt idx="118">
                  <c:v>45192</c:v>
                </c:pt>
                <c:pt idx="119">
                  <c:v>45032</c:v>
                </c:pt>
                <c:pt idx="120">
                  <c:v>44668</c:v>
                </c:pt>
                <c:pt idx="121">
                  <c:v>44497</c:v>
                </c:pt>
                <c:pt idx="122">
                  <c:v>44240</c:v>
                </c:pt>
                <c:pt idx="123">
                  <c:v>44236</c:v>
                </c:pt>
                <c:pt idx="124">
                  <c:v>43984</c:v>
                </c:pt>
                <c:pt idx="125">
                  <c:v>43739</c:v>
                </c:pt>
                <c:pt idx="126">
                  <c:v>43531</c:v>
                </c:pt>
                <c:pt idx="127">
                  <c:v>43624</c:v>
                </c:pt>
                <c:pt idx="128">
                  <c:v>43780</c:v>
                </c:pt>
                <c:pt idx="129">
                  <c:v>42942</c:v>
                </c:pt>
                <c:pt idx="130">
                  <c:v>43242</c:v>
                </c:pt>
                <c:pt idx="131">
                  <c:v>43522</c:v>
                </c:pt>
                <c:pt idx="132">
                  <c:v>43526</c:v>
                </c:pt>
                <c:pt idx="133">
                  <c:v>43297</c:v>
                </c:pt>
                <c:pt idx="134">
                  <c:v>43954</c:v>
                </c:pt>
                <c:pt idx="135">
                  <c:v>44382</c:v>
                </c:pt>
                <c:pt idx="136">
                  <c:v>44718</c:v>
                </c:pt>
                <c:pt idx="137">
                  <c:v>45083</c:v>
                </c:pt>
                <c:pt idx="138">
                  <c:v>45454</c:v>
                </c:pt>
                <c:pt idx="139">
                  <c:v>46192</c:v>
                </c:pt>
                <c:pt idx="140">
                  <c:v>46438</c:v>
                </c:pt>
                <c:pt idx="141">
                  <c:v>46706</c:v>
                </c:pt>
                <c:pt idx="142">
                  <c:v>46776</c:v>
                </c:pt>
                <c:pt idx="143">
                  <c:v>46861</c:v>
                </c:pt>
                <c:pt idx="144">
                  <c:v>47288</c:v>
                </c:pt>
                <c:pt idx="145">
                  <c:v>47577</c:v>
                </c:pt>
                <c:pt idx="146">
                  <c:v>47873</c:v>
                </c:pt>
                <c:pt idx="147">
                  <c:v>47861</c:v>
                </c:pt>
                <c:pt idx="148">
                  <c:v>47952</c:v>
                </c:pt>
                <c:pt idx="149">
                  <c:v>48064</c:v>
                </c:pt>
                <c:pt idx="150">
                  <c:v>48061</c:v>
                </c:pt>
                <c:pt idx="151">
                  <c:v>48012</c:v>
                </c:pt>
                <c:pt idx="152">
                  <c:v>47954</c:v>
                </c:pt>
                <c:pt idx="153">
                  <c:v>48006</c:v>
                </c:pt>
                <c:pt idx="154">
                  <c:v>48147</c:v>
                </c:pt>
                <c:pt idx="155">
                  <c:v>48314</c:v>
                </c:pt>
                <c:pt idx="156">
                  <c:v>48296</c:v>
                </c:pt>
                <c:pt idx="157">
                  <c:v>48522</c:v>
                </c:pt>
                <c:pt idx="158">
                  <c:v>48504</c:v>
                </c:pt>
                <c:pt idx="159">
                  <c:v>48620</c:v>
                </c:pt>
                <c:pt idx="160">
                  <c:v>48642</c:v>
                </c:pt>
                <c:pt idx="161">
                  <c:v>48282</c:v>
                </c:pt>
                <c:pt idx="162">
                  <c:v>48143</c:v>
                </c:pt>
                <c:pt idx="163">
                  <c:v>48924</c:v>
                </c:pt>
                <c:pt idx="164">
                  <c:v>49320</c:v>
                </c:pt>
                <c:pt idx="165">
                  <c:v>49597</c:v>
                </c:pt>
                <c:pt idx="166">
                  <c:v>49816</c:v>
                </c:pt>
                <c:pt idx="167">
                  <c:v>50166</c:v>
                </c:pt>
                <c:pt idx="168">
                  <c:v>50144</c:v>
                </c:pt>
                <c:pt idx="169">
                  <c:v>50339</c:v>
                </c:pt>
                <c:pt idx="170">
                  <c:v>50473</c:v>
                </c:pt>
                <c:pt idx="171">
                  <c:v>50435</c:v>
                </c:pt>
                <c:pt idx="172">
                  <c:v>50490</c:v>
                </c:pt>
                <c:pt idx="173">
                  <c:v>50519</c:v>
                </c:pt>
                <c:pt idx="174">
                  <c:v>50536</c:v>
                </c:pt>
                <c:pt idx="175">
                  <c:v>50489</c:v>
                </c:pt>
                <c:pt idx="176">
                  <c:v>50368</c:v>
                </c:pt>
                <c:pt idx="177">
                  <c:v>50240</c:v>
                </c:pt>
                <c:pt idx="178">
                  <c:v>49908</c:v>
                </c:pt>
                <c:pt idx="179">
                  <c:v>49703</c:v>
                </c:pt>
                <c:pt idx="180">
                  <c:v>49469</c:v>
                </c:pt>
                <c:pt idx="181">
                  <c:v>49382</c:v>
                </c:pt>
                <c:pt idx="182">
                  <c:v>49157</c:v>
                </c:pt>
                <c:pt idx="183">
                  <c:v>49179</c:v>
                </c:pt>
                <c:pt idx="184">
                  <c:v>48965</c:v>
                </c:pt>
                <c:pt idx="185">
                  <c:v>48895</c:v>
                </c:pt>
                <c:pt idx="186">
                  <c:v>48835</c:v>
                </c:pt>
                <c:pt idx="187">
                  <c:v>48826</c:v>
                </c:pt>
                <c:pt idx="188">
                  <c:v>48886</c:v>
                </c:pt>
                <c:pt idx="189">
                  <c:v>48942</c:v>
                </c:pt>
                <c:pt idx="190">
                  <c:v>49180</c:v>
                </c:pt>
                <c:pt idx="191">
                  <c:v>49331</c:v>
                </c:pt>
                <c:pt idx="192">
                  <c:v>49496</c:v>
                </c:pt>
                <c:pt idx="193">
                  <c:v>49644</c:v>
                </c:pt>
                <c:pt idx="194">
                  <c:v>49962</c:v>
                </c:pt>
                <c:pt idx="195">
                  <c:v>50248</c:v>
                </c:pt>
                <c:pt idx="196">
                  <c:v>50512</c:v>
                </c:pt>
                <c:pt idx="197">
                  <c:v>50790</c:v>
                </c:pt>
                <c:pt idx="198">
                  <c:v>50987</c:v>
                </c:pt>
                <c:pt idx="199">
                  <c:v>51111</c:v>
                </c:pt>
                <c:pt idx="200">
                  <c:v>51266</c:v>
                </c:pt>
                <c:pt idx="201">
                  <c:v>51429</c:v>
                </c:pt>
                <c:pt idx="202">
                  <c:v>51592</c:v>
                </c:pt>
                <c:pt idx="203">
                  <c:v>51805</c:v>
                </c:pt>
                <c:pt idx="204">
                  <c:v>51975</c:v>
                </c:pt>
                <c:pt idx="205">
                  <c:v>52167</c:v>
                </c:pt>
                <c:pt idx="206">
                  <c:v>52294</c:v>
                </c:pt>
                <c:pt idx="207">
                  <c:v>52375</c:v>
                </c:pt>
                <c:pt idx="208">
                  <c:v>52506</c:v>
                </c:pt>
                <c:pt idx="209">
                  <c:v>52586</c:v>
                </c:pt>
                <c:pt idx="210">
                  <c:v>51955</c:v>
                </c:pt>
                <c:pt idx="211">
                  <c:v>52631</c:v>
                </c:pt>
                <c:pt idx="212">
                  <c:v>52604</c:v>
                </c:pt>
                <c:pt idx="213">
                  <c:v>52777</c:v>
                </c:pt>
                <c:pt idx="214">
                  <c:v>52821</c:v>
                </c:pt>
                <c:pt idx="215">
                  <c:v>52929</c:v>
                </c:pt>
                <c:pt idx="216">
                  <c:v>52887</c:v>
                </c:pt>
                <c:pt idx="217">
                  <c:v>53097</c:v>
                </c:pt>
                <c:pt idx="218">
                  <c:v>53156</c:v>
                </c:pt>
                <c:pt idx="219">
                  <c:v>53238</c:v>
                </c:pt>
                <c:pt idx="220">
                  <c:v>53150</c:v>
                </c:pt>
                <c:pt idx="221">
                  <c:v>53067</c:v>
                </c:pt>
                <c:pt idx="222">
                  <c:v>53123</c:v>
                </c:pt>
                <c:pt idx="223">
                  <c:v>53128</c:v>
                </c:pt>
                <c:pt idx="224">
                  <c:v>52934</c:v>
                </c:pt>
                <c:pt idx="225">
                  <c:v>52763</c:v>
                </c:pt>
                <c:pt idx="226">
                  <c:v>52558</c:v>
                </c:pt>
                <c:pt idx="227">
                  <c:v>52384</c:v>
                </c:pt>
                <c:pt idx="228">
                  <c:v>52076</c:v>
                </c:pt>
                <c:pt idx="229">
                  <c:v>51576</c:v>
                </c:pt>
                <c:pt idx="230">
                  <c:v>51299</c:v>
                </c:pt>
                <c:pt idx="231">
                  <c:v>51027</c:v>
                </c:pt>
                <c:pt idx="232">
                  <c:v>50914</c:v>
                </c:pt>
                <c:pt idx="233">
                  <c:v>50914</c:v>
                </c:pt>
                <c:pt idx="234">
                  <c:v>51039</c:v>
                </c:pt>
                <c:pt idx="235">
                  <c:v>51233</c:v>
                </c:pt>
                <c:pt idx="236">
                  <c:v>51506</c:v>
                </c:pt>
                <c:pt idx="237">
                  <c:v>51485</c:v>
                </c:pt>
                <c:pt idx="238">
                  <c:v>51944</c:v>
                </c:pt>
                <c:pt idx="239">
                  <c:v>52085</c:v>
                </c:pt>
                <c:pt idx="240">
                  <c:v>52478</c:v>
                </c:pt>
                <c:pt idx="241">
                  <c:v>52688</c:v>
                </c:pt>
                <c:pt idx="242">
                  <c:v>53014</c:v>
                </c:pt>
                <c:pt idx="243">
                  <c:v>53321</c:v>
                </c:pt>
                <c:pt idx="244">
                  <c:v>53550</c:v>
                </c:pt>
                <c:pt idx="245">
                  <c:v>53681</c:v>
                </c:pt>
                <c:pt idx="246">
                  <c:v>53804</c:v>
                </c:pt>
                <c:pt idx="247">
                  <c:v>53336</c:v>
                </c:pt>
                <c:pt idx="248">
                  <c:v>53428</c:v>
                </c:pt>
                <c:pt idx="249">
                  <c:v>53358</c:v>
                </c:pt>
                <c:pt idx="250">
                  <c:v>53634</c:v>
                </c:pt>
                <c:pt idx="251">
                  <c:v>54174</c:v>
                </c:pt>
                <c:pt idx="252">
                  <c:v>54274</c:v>
                </c:pt>
                <c:pt idx="253">
                  <c:v>54513</c:v>
                </c:pt>
                <c:pt idx="254">
                  <c:v>54454</c:v>
                </c:pt>
                <c:pt idx="255">
                  <c:v>54813</c:v>
                </c:pt>
                <c:pt idx="256">
                  <c:v>54475</c:v>
                </c:pt>
                <c:pt idx="257">
                  <c:v>54348</c:v>
                </c:pt>
                <c:pt idx="258">
                  <c:v>54306</c:v>
                </c:pt>
                <c:pt idx="259">
                  <c:v>54272</c:v>
                </c:pt>
                <c:pt idx="260">
                  <c:v>54227</c:v>
                </c:pt>
                <c:pt idx="261">
                  <c:v>54142</c:v>
                </c:pt>
                <c:pt idx="262">
                  <c:v>53961</c:v>
                </c:pt>
                <c:pt idx="263">
                  <c:v>53742</c:v>
                </c:pt>
                <c:pt idx="264">
                  <c:v>53683</c:v>
                </c:pt>
                <c:pt idx="265">
                  <c:v>53557</c:v>
                </c:pt>
                <c:pt idx="266">
                  <c:v>53659</c:v>
                </c:pt>
                <c:pt idx="267">
                  <c:v>53627</c:v>
                </c:pt>
                <c:pt idx="268">
                  <c:v>53786</c:v>
                </c:pt>
                <c:pt idx="269">
                  <c:v>53977</c:v>
                </c:pt>
                <c:pt idx="270">
                  <c:v>54123</c:v>
                </c:pt>
                <c:pt idx="271">
                  <c:v>54298</c:v>
                </c:pt>
                <c:pt idx="272">
                  <c:v>54388</c:v>
                </c:pt>
                <c:pt idx="273">
                  <c:v>54522</c:v>
                </c:pt>
                <c:pt idx="274">
                  <c:v>54742</c:v>
                </c:pt>
                <c:pt idx="275">
                  <c:v>54872</c:v>
                </c:pt>
                <c:pt idx="276">
                  <c:v>54891</c:v>
                </c:pt>
                <c:pt idx="277">
                  <c:v>55188</c:v>
                </c:pt>
                <c:pt idx="278">
                  <c:v>55275</c:v>
                </c:pt>
                <c:pt idx="279">
                  <c:v>55602</c:v>
                </c:pt>
                <c:pt idx="280">
                  <c:v>55628</c:v>
                </c:pt>
                <c:pt idx="281">
                  <c:v>55644</c:v>
                </c:pt>
                <c:pt idx="282">
                  <c:v>55746</c:v>
                </c:pt>
                <c:pt idx="283">
                  <c:v>55838</c:v>
                </c:pt>
                <c:pt idx="284">
                  <c:v>55978</c:v>
                </c:pt>
                <c:pt idx="285">
                  <c:v>56041</c:v>
                </c:pt>
                <c:pt idx="286">
                  <c:v>56056</c:v>
                </c:pt>
                <c:pt idx="287">
                  <c:v>56028</c:v>
                </c:pt>
                <c:pt idx="288">
                  <c:v>56115</c:v>
                </c:pt>
                <c:pt idx="289">
                  <c:v>56230</c:v>
                </c:pt>
                <c:pt idx="290">
                  <c:v>56320</c:v>
                </c:pt>
                <c:pt idx="291">
                  <c:v>56580</c:v>
                </c:pt>
                <c:pt idx="292">
                  <c:v>56616</c:v>
                </c:pt>
                <c:pt idx="293">
                  <c:v>56659</c:v>
                </c:pt>
                <c:pt idx="294">
                  <c:v>56794</c:v>
                </c:pt>
                <c:pt idx="295">
                  <c:v>56910</c:v>
                </c:pt>
                <c:pt idx="296">
                  <c:v>57078</c:v>
                </c:pt>
                <c:pt idx="297">
                  <c:v>57283</c:v>
                </c:pt>
                <c:pt idx="298">
                  <c:v>57255</c:v>
                </c:pt>
                <c:pt idx="299">
                  <c:v>57361</c:v>
                </c:pt>
                <c:pt idx="300">
                  <c:v>57487</c:v>
                </c:pt>
                <c:pt idx="301">
                  <c:v>57753</c:v>
                </c:pt>
                <c:pt idx="302">
                  <c:v>57897</c:v>
                </c:pt>
                <c:pt idx="303">
                  <c:v>57922</c:v>
                </c:pt>
                <c:pt idx="304">
                  <c:v>58089</c:v>
                </c:pt>
                <c:pt idx="305">
                  <c:v>58219</c:v>
                </c:pt>
                <c:pt idx="306">
                  <c:v>58412</c:v>
                </c:pt>
                <c:pt idx="307">
                  <c:v>58619</c:v>
                </c:pt>
                <c:pt idx="308">
                  <c:v>58903</c:v>
                </c:pt>
                <c:pt idx="309">
                  <c:v>58793</c:v>
                </c:pt>
                <c:pt idx="310">
                  <c:v>59218</c:v>
                </c:pt>
                <c:pt idx="311">
                  <c:v>59421</c:v>
                </c:pt>
                <c:pt idx="312">
                  <c:v>59582</c:v>
                </c:pt>
                <c:pt idx="313">
                  <c:v>59800</c:v>
                </c:pt>
                <c:pt idx="314">
                  <c:v>60003</c:v>
                </c:pt>
                <c:pt idx="315">
                  <c:v>60259</c:v>
                </c:pt>
                <c:pt idx="316">
                  <c:v>60491</c:v>
                </c:pt>
                <c:pt idx="317">
                  <c:v>60690</c:v>
                </c:pt>
                <c:pt idx="318">
                  <c:v>60965</c:v>
                </c:pt>
                <c:pt idx="319">
                  <c:v>61228</c:v>
                </c:pt>
                <c:pt idx="320">
                  <c:v>61490</c:v>
                </c:pt>
                <c:pt idx="321">
                  <c:v>61719</c:v>
                </c:pt>
                <c:pt idx="322">
                  <c:v>61996</c:v>
                </c:pt>
                <c:pt idx="323">
                  <c:v>62322</c:v>
                </c:pt>
                <c:pt idx="324">
                  <c:v>62529</c:v>
                </c:pt>
                <c:pt idx="325">
                  <c:v>62796</c:v>
                </c:pt>
                <c:pt idx="326">
                  <c:v>63192</c:v>
                </c:pt>
                <c:pt idx="327">
                  <c:v>63437</c:v>
                </c:pt>
                <c:pt idx="328">
                  <c:v>63712</c:v>
                </c:pt>
                <c:pt idx="329">
                  <c:v>64111</c:v>
                </c:pt>
                <c:pt idx="330">
                  <c:v>64301</c:v>
                </c:pt>
                <c:pt idx="331">
                  <c:v>64507</c:v>
                </c:pt>
                <c:pt idx="332">
                  <c:v>64643</c:v>
                </c:pt>
                <c:pt idx="333">
                  <c:v>64854</c:v>
                </c:pt>
                <c:pt idx="334">
                  <c:v>65019</c:v>
                </c:pt>
                <c:pt idx="335">
                  <c:v>65199</c:v>
                </c:pt>
                <c:pt idx="336">
                  <c:v>65407</c:v>
                </c:pt>
                <c:pt idx="337">
                  <c:v>65429</c:v>
                </c:pt>
                <c:pt idx="338">
                  <c:v>65530</c:v>
                </c:pt>
                <c:pt idx="339">
                  <c:v>65466</c:v>
                </c:pt>
                <c:pt idx="340">
                  <c:v>65620</c:v>
                </c:pt>
                <c:pt idx="341">
                  <c:v>65750</c:v>
                </c:pt>
                <c:pt idx="342">
                  <c:v>65888</c:v>
                </c:pt>
                <c:pt idx="343">
                  <c:v>66143</c:v>
                </c:pt>
                <c:pt idx="344">
                  <c:v>66164</c:v>
                </c:pt>
                <c:pt idx="345">
                  <c:v>66225</c:v>
                </c:pt>
                <c:pt idx="346">
                  <c:v>66703</c:v>
                </c:pt>
                <c:pt idx="347">
                  <c:v>66900</c:v>
                </c:pt>
                <c:pt idx="348">
                  <c:v>66804</c:v>
                </c:pt>
                <c:pt idx="349">
                  <c:v>67215</c:v>
                </c:pt>
                <c:pt idx="350">
                  <c:v>67295</c:v>
                </c:pt>
                <c:pt idx="351">
                  <c:v>67556</c:v>
                </c:pt>
                <c:pt idx="352">
                  <c:v>67652</c:v>
                </c:pt>
                <c:pt idx="353">
                  <c:v>67905</c:v>
                </c:pt>
                <c:pt idx="354">
                  <c:v>68126</c:v>
                </c:pt>
                <c:pt idx="355">
                  <c:v>68330</c:v>
                </c:pt>
                <c:pt idx="356">
                  <c:v>68484</c:v>
                </c:pt>
                <c:pt idx="357">
                  <c:v>68721</c:v>
                </c:pt>
                <c:pt idx="358">
                  <c:v>68984</c:v>
                </c:pt>
                <c:pt idx="359">
                  <c:v>69248</c:v>
                </c:pt>
                <c:pt idx="360">
                  <c:v>69439</c:v>
                </c:pt>
                <c:pt idx="361">
                  <c:v>69699</c:v>
                </c:pt>
                <c:pt idx="362">
                  <c:v>69905</c:v>
                </c:pt>
                <c:pt idx="363">
                  <c:v>70072</c:v>
                </c:pt>
                <c:pt idx="364">
                  <c:v>70328</c:v>
                </c:pt>
                <c:pt idx="365">
                  <c:v>70636</c:v>
                </c:pt>
                <c:pt idx="366">
                  <c:v>70729</c:v>
                </c:pt>
                <c:pt idx="367">
                  <c:v>71008</c:v>
                </c:pt>
                <c:pt idx="368">
                  <c:v>70914</c:v>
                </c:pt>
                <c:pt idx="369">
                  <c:v>71121</c:v>
                </c:pt>
                <c:pt idx="370">
                  <c:v>71086</c:v>
                </c:pt>
                <c:pt idx="371">
                  <c:v>71241</c:v>
                </c:pt>
                <c:pt idx="372">
                  <c:v>71176</c:v>
                </c:pt>
                <c:pt idx="373">
                  <c:v>71305</c:v>
                </c:pt>
                <c:pt idx="374">
                  <c:v>71451</c:v>
                </c:pt>
                <c:pt idx="375">
                  <c:v>71348</c:v>
                </c:pt>
                <c:pt idx="376">
                  <c:v>71124</c:v>
                </c:pt>
                <c:pt idx="377">
                  <c:v>71029</c:v>
                </c:pt>
                <c:pt idx="378">
                  <c:v>71053</c:v>
                </c:pt>
                <c:pt idx="379">
                  <c:v>70937</c:v>
                </c:pt>
                <c:pt idx="380">
                  <c:v>70944</c:v>
                </c:pt>
                <c:pt idx="381">
                  <c:v>70521</c:v>
                </c:pt>
                <c:pt idx="382">
                  <c:v>70409</c:v>
                </c:pt>
                <c:pt idx="383">
                  <c:v>70792</c:v>
                </c:pt>
                <c:pt idx="384">
                  <c:v>70865</c:v>
                </c:pt>
                <c:pt idx="385">
                  <c:v>70807</c:v>
                </c:pt>
                <c:pt idx="386">
                  <c:v>70860</c:v>
                </c:pt>
                <c:pt idx="387">
                  <c:v>71036</c:v>
                </c:pt>
                <c:pt idx="388">
                  <c:v>71247</c:v>
                </c:pt>
                <c:pt idx="389">
                  <c:v>71254</c:v>
                </c:pt>
                <c:pt idx="390">
                  <c:v>71315</c:v>
                </c:pt>
                <c:pt idx="391">
                  <c:v>71373</c:v>
                </c:pt>
                <c:pt idx="392">
                  <c:v>71614</c:v>
                </c:pt>
                <c:pt idx="393">
                  <c:v>71642</c:v>
                </c:pt>
                <c:pt idx="394">
                  <c:v>71847</c:v>
                </c:pt>
                <c:pt idx="395">
                  <c:v>72109</c:v>
                </c:pt>
                <c:pt idx="396">
                  <c:v>72441</c:v>
                </c:pt>
                <c:pt idx="397">
                  <c:v>72648</c:v>
                </c:pt>
                <c:pt idx="398">
                  <c:v>72944</c:v>
                </c:pt>
                <c:pt idx="399">
                  <c:v>73162</c:v>
                </c:pt>
                <c:pt idx="400">
                  <c:v>73469</c:v>
                </c:pt>
                <c:pt idx="401">
                  <c:v>73758</c:v>
                </c:pt>
                <c:pt idx="402">
                  <c:v>73709</c:v>
                </c:pt>
                <c:pt idx="403">
                  <c:v>74141</c:v>
                </c:pt>
                <c:pt idx="404">
                  <c:v>74264</c:v>
                </c:pt>
                <c:pt idx="405">
                  <c:v>74674</c:v>
                </c:pt>
                <c:pt idx="406">
                  <c:v>74973</c:v>
                </c:pt>
                <c:pt idx="407">
                  <c:v>75268</c:v>
                </c:pt>
                <c:pt idx="408">
                  <c:v>75617</c:v>
                </c:pt>
                <c:pt idx="409">
                  <c:v>76014</c:v>
                </c:pt>
                <c:pt idx="410">
                  <c:v>76284</c:v>
                </c:pt>
                <c:pt idx="411">
                  <c:v>76455</c:v>
                </c:pt>
                <c:pt idx="412">
                  <c:v>76648</c:v>
                </c:pt>
                <c:pt idx="413">
                  <c:v>76887</c:v>
                </c:pt>
                <c:pt idx="414">
                  <c:v>76913</c:v>
                </c:pt>
                <c:pt idx="415">
                  <c:v>77168</c:v>
                </c:pt>
                <c:pt idx="416">
                  <c:v>77276</c:v>
                </c:pt>
                <c:pt idx="417">
                  <c:v>77607</c:v>
                </c:pt>
                <c:pt idx="418">
                  <c:v>77920</c:v>
                </c:pt>
                <c:pt idx="419">
                  <c:v>78031</c:v>
                </c:pt>
                <c:pt idx="420">
                  <c:v>78100</c:v>
                </c:pt>
                <c:pt idx="421">
                  <c:v>78254</c:v>
                </c:pt>
                <c:pt idx="422">
                  <c:v>78296</c:v>
                </c:pt>
                <c:pt idx="423">
                  <c:v>78382</c:v>
                </c:pt>
                <c:pt idx="424">
                  <c:v>78549</c:v>
                </c:pt>
                <c:pt idx="425">
                  <c:v>78604</c:v>
                </c:pt>
                <c:pt idx="426">
                  <c:v>78636</c:v>
                </c:pt>
                <c:pt idx="427">
                  <c:v>78619</c:v>
                </c:pt>
                <c:pt idx="428">
                  <c:v>78610</c:v>
                </c:pt>
                <c:pt idx="429">
                  <c:v>78630</c:v>
                </c:pt>
                <c:pt idx="430">
                  <c:v>78265</c:v>
                </c:pt>
                <c:pt idx="431">
                  <c:v>77652</c:v>
                </c:pt>
                <c:pt idx="432">
                  <c:v>77293</c:v>
                </c:pt>
                <c:pt idx="433">
                  <c:v>76918</c:v>
                </c:pt>
                <c:pt idx="434">
                  <c:v>76648</c:v>
                </c:pt>
                <c:pt idx="435">
                  <c:v>76460</c:v>
                </c:pt>
                <c:pt idx="436">
                  <c:v>76624</c:v>
                </c:pt>
                <c:pt idx="437">
                  <c:v>76521</c:v>
                </c:pt>
                <c:pt idx="438">
                  <c:v>76770</c:v>
                </c:pt>
                <c:pt idx="439">
                  <c:v>77153</c:v>
                </c:pt>
                <c:pt idx="440">
                  <c:v>77228</c:v>
                </c:pt>
                <c:pt idx="441">
                  <c:v>77540</c:v>
                </c:pt>
                <c:pt idx="442">
                  <c:v>77685</c:v>
                </c:pt>
                <c:pt idx="443">
                  <c:v>78017</c:v>
                </c:pt>
                <c:pt idx="444">
                  <c:v>78503</c:v>
                </c:pt>
                <c:pt idx="445">
                  <c:v>78816</c:v>
                </c:pt>
                <c:pt idx="446">
                  <c:v>79048</c:v>
                </c:pt>
                <c:pt idx="447">
                  <c:v>79292</c:v>
                </c:pt>
                <c:pt idx="448">
                  <c:v>79312</c:v>
                </c:pt>
                <c:pt idx="449">
                  <c:v>79376</c:v>
                </c:pt>
                <c:pt idx="450">
                  <c:v>79547</c:v>
                </c:pt>
                <c:pt idx="451">
                  <c:v>79704</c:v>
                </c:pt>
                <c:pt idx="452">
                  <c:v>79892</c:v>
                </c:pt>
                <c:pt idx="453">
                  <c:v>79911</c:v>
                </c:pt>
                <c:pt idx="454">
                  <c:v>80240</c:v>
                </c:pt>
                <c:pt idx="455">
                  <c:v>80448</c:v>
                </c:pt>
                <c:pt idx="456">
                  <c:v>80690</c:v>
                </c:pt>
                <c:pt idx="457">
                  <c:v>80988</c:v>
                </c:pt>
                <c:pt idx="458">
                  <c:v>81391</c:v>
                </c:pt>
                <c:pt idx="459">
                  <c:v>81728</c:v>
                </c:pt>
                <c:pt idx="460">
                  <c:v>82088</c:v>
                </c:pt>
                <c:pt idx="461">
                  <c:v>82488</c:v>
                </c:pt>
                <c:pt idx="462">
                  <c:v>82834</c:v>
                </c:pt>
                <c:pt idx="463">
                  <c:v>83075</c:v>
                </c:pt>
                <c:pt idx="464">
                  <c:v>83532</c:v>
                </c:pt>
                <c:pt idx="465">
                  <c:v>83800</c:v>
                </c:pt>
                <c:pt idx="466">
                  <c:v>84173</c:v>
                </c:pt>
                <c:pt idx="467">
                  <c:v>84410</c:v>
                </c:pt>
                <c:pt idx="468">
                  <c:v>84594</c:v>
                </c:pt>
                <c:pt idx="469">
                  <c:v>84948</c:v>
                </c:pt>
                <c:pt idx="470">
                  <c:v>85460</c:v>
                </c:pt>
                <c:pt idx="471">
                  <c:v>86162</c:v>
                </c:pt>
                <c:pt idx="472">
                  <c:v>86509</c:v>
                </c:pt>
                <c:pt idx="473">
                  <c:v>86950</c:v>
                </c:pt>
                <c:pt idx="474">
                  <c:v>87204</c:v>
                </c:pt>
                <c:pt idx="475">
                  <c:v>87483</c:v>
                </c:pt>
                <c:pt idx="476">
                  <c:v>87621</c:v>
                </c:pt>
                <c:pt idx="477">
                  <c:v>87956</c:v>
                </c:pt>
                <c:pt idx="478">
                  <c:v>88391</c:v>
                </c:pt>
                <c:pt idx="479">
                  <c:v>88671</c:v>
                </c:pt>
                <c:pt idx="480">
                  <c:v>88808</c:v>
                </c:pt>
                <c:pt idx="481">
                  <c:v>89055</c:v>
                </c:pt>
                <c:pt idx="482">
                  <c:v>89479</c:v>
                </c:pt>
                <c:pt idx="483">
                  <c:v>89417</c:v>
                </c:pt>
                <c:pt idx="484">
                  <c:v>89789</c:v>
                </c:pt>
                <c:pt idx="485">
                  <c:v>90108</c:v>
                </c:pt>
                <c:pt idx="486">
                  <c:v>90217</c:v>
                </c:pt>
                <c:pt idx="487">
                  <c:v>90300</c:v>
                </c:pt>
                <c:pt idx="488">
                  <c:v>90327</c:v>
                </c:pt>
                <c:pt idx="489">
                  <c:v>90481</c:v>
                </c:pt>
                <c:pt idx="490">
                  <c:v>90573</c:v>
                </c:pt>
                <c:pt idx="491">
                  <c:v>90672</c:v>
                </c:pt>
                <c:pt idx="492">
                  <c:v>90800</c:v>
                </c:pt>
                <c:pt idx="493">
                  <c:v>90883</c:v>
                </c:pt>
                <c:pt idx="494">
                  <c:v>90994</c:v>
                </c:pt>
                <c:pt idx="495">
                  <c:v>90849</c:v>
                </c:pt>
                <c:pt idx="496">
                  <c:v>90420</c:v>
                </c:pt>
                <c:pt idx="497">
                  <c:v>90101</c:v>
                </c:pt>
                <c:pt idx="498">
                  <c:v>89840</c:v>
                </c:pt>
                <c:pt idx="499">
                  <c:v>90099</c:v>
                </c:pt>
                <c:pt idx="500">
                  <c:v>90213</c:v>
                </c:pt>
                <c:pt idx="501">
                  <c:v>90490</c:v>
                </c:pt>
                <c:pt idx="502">
                  <c:v>90747</c:v>
                </c:pt>
                <c:pt idx="503">
                  <c:v>90943</c:v>
                </c:pt>
                <c:pt idx="504">
                  <c:v>91033</c:v>
                </c:pt>
                <c:pt idx="505">
                  <c:v>91105</c:v>
                </c:pt>
                <c:pt idx="506">
                  <c:v>91210</c:v>
                </c:pt>
                <c:pt idx="507">
                  <c:v>91283</c:v>
                </c:pt>
                <c:pt idx="508">
                  <c:v>91296</c:v>
                </c:pt>
                <c:pt idx="509">
                  <c:v>91490</c:v>
                </c:pt>
                <c:pt idx="510">
                  <c:v>91601</c:v>
                </c:pt>
                <c:pt idx="511">
                  <c:v>91565</c:v>
                </c:pt>
                <c:pt idx="512">
                  <c:v>91477</c:v>
                </c:pt>
                <c:pt idx="513">
                  <c:v>91380</c:v>
                </c:pt>
                <c:pt idx="514">
                  <c:v>91171</c:v>
                </c:pt>
                <c:pt idx="515">
                  <c:v>90895</c:v>
                </c:pt>
                <c:pt idx="516">
                  <c:v>90565</c:v>
                </c:pt>
                <c:pt idx="517">
                  <c:v>90563</c:v>
                </c:pt>
                <c:pt idx="518">
                  <c:v>90434</c:v>
                </c:pt>
                <c:pt idx="519">
                  <c:v>90150</c:v>
                </c:pt>
                <c:pt idx="520">
                  <c:v>90107</c:v>
                </c:pt>
                <c:pt idx="521">
                  <c:v>89865</c:v>
                </c:pt>
                <c:pt idx="522">
                  <c:v>89521</c:v>
                </c:pt>
                <c:pt idx="523">
                  <c:v>89363</c:v>
                </c:pt>
                <c:pt idx="524">
                  <c:v>89183</c:v>
                </c:pt>
                <c:pt idx="525">
                  <c:v>88907</c:v>
                </c:pt>
                <c:pt idx="526">
                  <c:v>88786</c:v>
                </c:pt>
                <c:pt idx="527">
                  <c:v>88771</c:v>
                </c:pt>
                <c:pt idx="528">
                  <c:v>88990</c:v>
                </c:pt>
                <c:pt idx="529">
                  <c:v>88917</c:v>
                </c:pt>
                <c:pt idx="530">
                  <c:v>89090</c:v>
                </c:pt>
                <c:pt idx="531">
                  <c:v>89364</c:v>
                </c:pt>
                <c:pt idx="532">
                  <c:v>89644</c:v>
                </c:pt>
                <c:pt idx="533">
                  <c:v>90021</c:v>
                </c:pt>
                <c:pt idx="534">
                  <c:v>90437</c:v>
                </c:pt>
                <c:pt idx="535">
                  <c:v>90129</c:v>
                </c:pt>
                <c:pt idx="536">
                  <c:v>91247</c:v>
                </c:pt>
                <c:pt idx="537">
                  <c:v>91520</c:v>
                </c:pt>
                <c:pt idx="538">
                  <c:v>91875</c:v>
                </c:pt>
                <c:pt idx="539">
                  <c:v>92230</c:v>
                </c:pt>
                <c:pt idx="540">
                  <c:v>92673</c:v>
                </c:pt>
                <c:pt idx="541">
                  <c:v>93157</c:v>
                </c:pt>
                <c:pt idx="542">
                  <c:v>93429</c:v>
                </c:pt>
                <c:pt idx="543">
                  <c:v>93792</c:v>
                </c:pt>
                <c:pt idx="544">
                  <c:v>94098</c:v>
                </c:pt>
                <c:pt idx="545">
                  <c:v>94479</c:v>
                </c:pt>
                <c:pt idx="546">
                  <c:v>94789</c:v>
                </c:pt>
                <c:pt idx="547">
                  <c:v>95032</c:v>
                </c:pt>
                <c:pt idx="548">
                  <c:v>95344</c:v>
                </c:pt>
                <c:pt idx="549">
                  <c:v>95629</c:v>
                </c:pt>
                <c:pt idx="550">
                  <c:v>95982</c:v>
                </c:pt>
                <c:pt idx="551">
                  <c:v>96107</c:v>
                </c:pt>
                <c:pt idx="552">
                  <c:v>96372</c:v>
                </c:pt>
                <c:pt idx="553">
                  <c:v>96503</c:v>
                </c:pt>
                <c:pt idx="554">
                  <c:v>96842</c:v>
                </c:pt>
                <c:pt idx="555">
                  <c:v>97038</c:v>
                </c:pt>
                <c:pt idx="556">
                  <c:v>97312</c:v>
                </c:pt>
                <c:pt idx="557">
                  <c:v>97459</c:v>
                </c:pt>
                <c:pt idx="558">
                  <c:v>97648</c:v>
                </c:pt>
                <c:pt idx="559">
                  <c:v>97840</c:v>
                </c:pt>
                <c:pt idx="560">
                  <c:v>98045</c:v>
                </c:pt>
                <c:pt idx="561">
                  <c:v>98233</c:v>
                </c:pt>
                <c:pt idx="562">
                  <c:v>98443</c:v>
                </c:pt>
                <c:pt idx="563">
                  <c:v>98609</c:v>
                </c:pt>
                <c:pt idx="564">
                  <c:v>98732</c:v>
                </c:pt>
                <c:pt idx="565">
                  <c:v>98847</c:v>
                </c:pt>
                <c:pt idx="566">
                  <c:v>98934</c:v>
                </c:pt>
                <c:pt idx="567">
                  <c:v>99121</c:v>
                </c:pt>
                <c:pt idx="568">
                  <c:v>99248</c:v>
                </c:pt>
                <c:pt idx="569">
                  <c:v>99155</c:v>
                </c:pt>
                <c:pt idx="570">
                  <c:v>99473</c:v>
                </c:pt>
                <c:pt idx="571">
                  <c:v>99588</c:v>
                </c:pt>
                <c:pt idx="572">
                  <c:v>99934</c:v>
                </c:pt>
                <c:pt idx="573">
                  <c:v>100121</c:v>
                </c:pt>
                <c:pt idx="574">
                  <c:v>100308</c:v>
                </c:pt>
                <c:pt idx="575">
                  <c:v>100509</c:v>
                </c:pt>
                <c:pt idx="576">
                  <c:v>100678</c:v>
                </c:pt>
                <c:pt idx="577">
                  <c:v>100919</c:v>
                </c:pt>
                <c:pt idx="578">
                  <c:v>101164</c:v>
                </c:pt>
                <c:pt idx="579">
                  <c:v>101499</c:v>
                </c:pt>
                <c:pt idx="580">
                  <c:v>101728</c:v>
                </c:pt>
                <c:pt idx="581">
                  <c:v>101900</c:v>
                </c:pt>
                <c:pt idx="582">
                  <c:v>102247</c:v>
                </c:pt>
                <c:pt idx="583">
                  <c:v>102420</c:v>
                </c:pt>
                <c:pt idx="584">
                  <c:v>102647</c:v>
                </c:pt>
                <c:pt idx="585">
                  <c:v>103138</c:v>
                </c:pt>
                <c:pt idx="586">
                  <c:v>103372</c:v>
                </c:pt>
                <c:pt idx="587">
                  <c:v>103661</c:v>
                </c:pt>
                <c:pt idx="588">
                  <c:v>103753</c:v>
                </c:pt>
                <c:pt idx="589">
                  <c:v>104214</c:v>
                </c:pt>
                <c:pt idx="590">
                  <c:v>104489</c:v>
                </c:pt>
                <c:pt idx="591">
                  <c:v>104732</c:v>
                </c:pt>
                <c:pt idx="592">
                  <c:v>104962</c:v>
                </c:pt>
                <c:pt idx="593">
                  <c:v>105326</c:v>
                </c:pt>
                <c:pt idx="594">
                  <c:v>105550</c:v>
                </c:pt>
                <c:pt idx="595">
                  <c:v>105674</c:v>
                </c:pt>
                <c:pt idx="596">
                  <c:v>106013</c:v>
                </c:pt>
                <c:pt idx="597">
                  <c:v>106276</c:v>
                </c:pt>
                <c:pt idx="598">
                  <c:v>106617</c:v>
                </c:pt>
                <c:pt idx="599">
                  <c:v>106898</c:v>
                </c:pt>
                <c:pt idx="600">
                  <c:v>107161</c:v>
                </c:pt>
                <c:pt idx="601">
                  <c:v>107427</c:v>
                </c:pt>
                <c:pt idx="602">
                  <c:v>107621</c:v>
                </c:pt>
                <c:pt idx="603">
                  <c:v>107791</c:v>
                </c:pt>
                <c:pt idx="604">
                  <c:v>107913</c:v>
                </c:pt>
                <c:pt idx="605">
                  <c:v>108027</c:v>
                </c:pt>
                <c:pt idx="606">
                  <c:v>108069</c:v>
                </c:pt>
                <c:pt idx="607">
                  <c:v>108120</c:v>
                </c:pt>
                <c:pt idx="608">
                  <c:v>108369</c:v>
                </c:pt>
                <c:pt idx="609">
                  <c:v>108476</c:v>
                </c:pt>
                <c:pt idx="610">
                  <c:v>108752</c:v>
                </c:pt>
                <c:pt idx="611">
                  <c:v>108836</c:v>
                </c:pt>
                <c:pt idx="612">
                  <c:v>109196</c:v>
                </c:pt>
                <c:pt idx="613">
                  <c:v>109436</c:v>
                </c:pt>
                <c:pt idx="614">
                  <c:v>109640</c:v>
                </c:pt>
                <c:pt idx="615">
                  <c:v>109674</c:v>
                </c:pt>
                <c:pt idx="616">
                  <c:v>109828</c:v>
                </c:pt>
                <c:pt idx="617">
                  <c:v>109850</c:v>
                </c:pt>
                <c:pt idx="618">
                  <c:v>109815</c:v>
                </c:pt>
                <c:pt idx="619">
                  <c:v>109607</c:v>
                </c:pt>
                <c:pt idx="620">
                  <c:v>109522</c:v>
                </c:pt>
                <c:pt idx="621">
                  <c:v>109377</c:v>
                </c:pt>
                <c:pt idx="622">
                  <c:v>109222</c:v>
                </c:pt>
                <c:pt idx="623">
                  <c:v>109168</c:v>
                </c:pt>
                <c:pt idx="624">
                  <c:v>109058</c:v>
                </c:pt>
                <c:pt idx="625">
                  <c:v>108735</c:v>
                </c:pt>
                <c:pt idx="626">
                  <c:v>108568</c:v>
                </c:pt>
                <c:pt idx="627">
                  <c:v>108350</c:v>
                </c:pt>
                <c:pt idx="628">
                  <c:v>108253</c:v>
                </c:pt>
                <c:pt idx="629">
                  <c:v>108330</c:v>
                </c:pt>
                <c:pt idx="630">
                  <c:v>108290</c:v>
                </c:pt>
                <c:pt idx="631">
                  <c:v>108300</c:v>
                </c:pt>
                <c:pt idx="632">
                  <c:v>108335</c:v>
                </c:pt>
                <c:pt idx="633">
                  <c:v>108361</c:v>
                </c:pt>
                <c:pt idx="634">
                  <c:v>108300</c:v>
                </c:pt>
                <c:pt idx="635">
                  <c:v>108330</c:v>
                </c:pt>
                <c:pt idx="636">
                  <c:v>108365</c:v>
                </c:pt>
                <c:pt idx="637">
                  <c:v>108312</c:v>
                </c:pt>
                <c:pt idx="638">
                  <c:v>108367</c:v>
                </c:pt>
                <c:pt idx="639">
                  <c:v>108516</c:v>
                </c:pt>
                <c:pt idx="640">
                  <c:v>108646</c:v>
                </c:pt>
                <c:pt idx="641">
                  <c:v>108706</c:v>
                </c:pt>
                <c:pt idx="642">
                  <c:v>108793</c:v>
                </c:pt>
                <c:pt idx="643">
                  <c:v>108916</c:v>
                </c:pt>
                <c:pt idx="644">
                  <c:v>108951</c:v>
                </c:pt>
                <c:pt idx="645">
                  <c:v>109139</c:v>
                </c:pt>
                <c:pt idx="646">
                  <c:v>109283</c:v>
                </c:pt>
                <c:pt idx="647">
                  <c:v>109502</c:v>
                </c:pt>
                <c:pt idx="648">
                  <c:v>109790</c:v>
                </c:pt>
                <c:pt idx="649">
                  <c:v>110047</c:v>
                </c:pt>
                <c:pt idx="650">
                  <c:v>110004</c:v>
                </c:pt>
                <c:pt idx="651">
                  <c:v>110300</c:v>
                </c:pt>
                <c:pt idx="652">
                  <c:v>110571</c:v>
                </c:pt>
                <c:pt idx="653">
                  <c:v>110742</c:v>
                </c:pt>
                <c:pt idx="654">
                  <c:v>111054</c:v>
                </c:pt>
                <c:pt idx="655">
                  <c:v>111200</c:v>
                </c:pt>
                <c:pt idx="656">
                  <c:v>111448</c:v>
                </c:pt>
                <c:pt idx="657">
                  <c:v>111734</c:v>
                </c:pt>
                <c:pt idx="658">
                  <c:v>111987</c:v>
                </c:pt>
                <c:pt idx="659">
                  <c:v>112325</c:v>
                </c:pt>
                <c:pt idx="660">
                  <c:v>112601</c:v>
                </c:pt>
                <c:pt idx="661">
                  <c:v>112782</c:v>
                </c:pt>
                <c:pt idx="662">
                  <c:v>113245</c:v>
                </c:pt>
                <c:pt idx="663">
                  <c:v>113589</c:v>
                </c:pt>
                <c:pt idx="664">
                  <c:v>113922</c:v>
                </c:pt>
                <c:pt idx="665">
                  <c:v>114239</c:v>
                </c:pt>
                <c:pt idx="666">
                  <c:v>114608</c:v>
                </c:pt>
                <c:pt idx="667">
                  <c:v>114902</c:v>
                </c:pt>
                <c:pt idx="668">
                  <c:v>115246</c:v>
                </c:pt>
                <c:pt idx="669">
                  <c:v>115457</c:v>
                </c:pt>
                <c:pt idx="670">
                  <c:v>115867</c:v>
                </c:pt>
                <c:pt idx="671">
                  <c:v>116174</c:v>
                </c:pt>
                <c:pt idx="672">
                  <c:v>116505</c:v>
                </c:pt>
                <c:pt idx="673">
                  <c:v>116694</c:v>
                </c:pt>
                <c:pt idx="674">
                  <c:v>116908</c:v>
                </c:pt>
                <c:pt idx="675">
                  <c:v>117066</c:v>
                </c:pt>
                <c:pt idx="676">
                  <c:v>117046</c:v>
                </c:pt>
                <c:pt idx="677">
                  <c:v>117291</c:v>
                </c:pt>
                <c:pt idx="678">
                  <c:v>117382</c:v>
                </c:pt>
                <c:pt idx="679">
                  <c:v>117646</c:v>
                </c:pt>
                <c:pt idx="680">
                  <c:v>117873</c:v>
                </c:pt>
                <c:pt idx="681">
                  <c:v>118026</c:v>
                </c:pt>
                <c:pt idx="682">
                  <c:v>118165</c:v>
                </c:pt>
                <c:pt idx="683">
                  <c:v>118325</c:v>
                </c:pt>
                <c:pt idx="684">
                  <c:v>118317</c:v>
                </c:pt>
                <c:pt idx="685">
                  <c:v>118738</c:v>
                </c:pt>
                <c:pt idx="686">
                  <c:v>118992</c:v>
                </c:pt>
                <c:pt idx="687">
                  <c:v>119158</c:v>
                </c:pt>
                <c:pt idx="688">
                  <c:v>119497</c:v>
                </c:pt>
                <c:pt idx="689">
                  <c:v>119770</c:v>
                </c:pt>
                <c:pt idx="690">
                  <c:v>120019</c:v>
                </c:pt>
                <c:pt idx="691">
                  <c:v>120198</c:v>
                </c:pt>
                <c:pt idx="692">
                  <c:v>120400</c:v>
                </c:pt>
                <c:pt idx="693">
                  <c:v>120665</c:v>
                </c:pt>
                <c:pt idx="694">
                  <c:v>120947</c:v>
                </c:pt>
                <c:pt idx="695">
                  <c:v>121143</c:v>
                </c:pt>
                <c:pt idx="696">
                  <c:v>121356</c:v>
                </c:pt>
                <c:pt idx="697">
                  <c:v>121673</c:v>
                </c:pt>
                <c:pt idx="698">
                  <c:v>121991</c:v>
                </c:pt>
                <c:pt idx="699">
                  <c:v>122289</c:v>
                </c:pt>
                <c:pt idx="700">
                  <c:v>122560</c:v>
                </c:pt>
                <c:pt idx="701">
                  <c:v>122816</c:v>
                </c:pt>
                <c:pt idx="702">
                  <c:v>123114</c:v>
                </c:pt>
                <c:pt idx="703">
                  <c:v>123087</c:v>
                </c:pt>
                <c:pt idx="704">
                  <c:v>123575</c:v>
                </c:pt>
                <c:pt idx="705">
                  <c:v>123924</c:v>
                </c:pt>
                <c:pt idx="706">
                  <c:v>124225</c:v>
                </c:pt>
                <c:pt idx="707">
                  <c:v>124549</c:v>
                </c:pt>
                <c:pt idx="708">
                  <c:v>124806</c:v>
                </c:pt>
                <c:pt idx="709">
                  <c:v>125017</c:v>
                </c:pt>
                <c:pt idx="710">
                  <c:v>125165</c:v>
                </c:pt>
                <c:pt idx="711">
                  <c:v>125445</c:v>
                </c:pt>
                <c:pt idx="712">
                  <c:v>125845</c:v>
                </c:pt>
                <c:pt idx="713">
                  <c:v>126076</c:v>
                </c:pt>
                <c:pt idx="714">
                  <c:v>126212</c:v>
                </c:pt>
                <c:pt idx="715">
                  <c:v>126546</c:v>
                </c:pt>
                <c:pt idx="716">
                  <c:v>126744</c:v>
                </c:pt>
                <c:pt idx="717">
                  <c:v>126949</c:v>
                </c:pt>
                <c:pt idx="718">
                  <c:v>127222</c:v>
                </c:pt>
                <c:pt idx="719">
                  <c:v>127595</c:v>
                </c:pt>
                <c:pt idx="720">
                  <c:v>127699</c:v>
                </c:pt>
                <c:pt idx="721">
                  <c:v>128117</c:v>
                </c:pt>
                <c:pt idx="722">
                  <c:v>128234</c:v>
                </c:pt>
                <c:pt idx="723">
                  <c:v>128595</c:v>
                </c:pt>
                <c:pt idx="724">
                  <c:v>128813</c:v>
                </c:pt>
                <c:pt idx="725">
                  <c:v>129084</c:v>
                </c:pt>
                <c:pt idx="726">
                  <c:v>129422</c:v>
                </c:pt>
                <c:pt idx="727">
                  <c:v>129572</c:v>
                </c:pt>
                <c:pt idx="728">
                  <c:v>129771</c:v>
                </c:pt>
                <c:pt idx="729">
                  <c:v>130178</c:v>
                </c:pt>
                <c:pt idx="730">
                  <c:v>130466</c:v>
                </c:pt>
                <c:pt idx="731">
                  <c:v>130783</c:v>
                </c:pt>
                <c:pt idx="732">
                  <c:v>131011</c:v>
                </c:pt>
                <c:pt idx="733">
                  <c:v>131120</c:v>
                </c:pt>
                <c:pt idx="734">
                  <c:v>131604</c:v>
                </c:pt>
                <c:pt idx="735">
                  <c:v>131884</c:v>
                </c:pt>
                <c:pt idx="736">
                  <c:v>132105</c:v>
                </c:pt>
                <c:pt idx="737">
                  <c:v>132063</c:v>
                </c:pt>
                <c:pt idx="738">
                  <c:v>132228</c:v>
                </c:pt>
                <c:pt idx="739">
                  <c:v>132234</c:v>
                </c:pt>
                <c:pt idx="740">
                  <c:v>132337</c:v>
                </c:pt>
                <c:pt idx="741">
                  <c:v>132352</c:v>
                </c:pt>
                <c:pt idx="742">
                  <c:v>132556</c:v>
                </c:pt>
                <c:pt idx="743">
                  <c:v>132716</c:v>
                </c:pt>
                <c:pt idx="744">
                  <c:v>132703</c:v>
                </c:pt>
                <c:pt idx="745">
                  <c:v>132788</c:v>
                </c:pt>
                <c:pt idx="746">
                  <c:v>132751</c:v>
                </c:pt>
                <c:pt idx="747">
                  <c:v>132458</c:v>
                </c:pt>
                <c:pt idx="748">
                  <c:v>132408</c:v>
                </c:pt>
                <c:pt idx="749">
                  <c:v>132300</c:v>
                </c:pt>
                <c:pt idx="750">
                  <c:v>132172</c:v>
                </c:pt>
                <c:pt idx="751">
                  <c:v>132021</c:v>
                </c:pt>
                <c:pt idx="752">
                  <c:v>131763</c:v>
                </c:pt>
                <c:pt idx="753">
                  <c:v>131452</c:v>
                </c:pt>
                <c:pt idx="754">
                  <c:v>131144</c:v>
                </c:pt>
                <c:pt idx="755">
                  <c:v>130983</c:v>
                </c:pt>
                <c:pt idx="756">
                  <c:v>130859</c:v>
                </c:pt>
                <c:pt idx="757">
                  <c:v>130737</c:v>
                </c:pt>
                <c:pt idx="758">
                  <c:v>130722</c:v>
                </c:pt>
                <c:pt idx="759">
                  <c:v>130616</c:v>
                </c:pt>
                <c:pt idx="760">
                  <c:v>130632</c:v>
                </c:pt>
                <c:pt idx="761">
                  <c:v>130674</c:v>
                </c:pt>
                <c:pt idx="762">
                  <c:v>130584</c:v>
                </c:pt>
                <c:pt idx="763">
                  <c:v>130581</c:v>
                </c:pt>
                <c:pt idx="764">
                  <c:v>130502</c:v>
                </c:pt>
                <c:pt idx="765">
                  <c:v>130617</c:v>
                </c:pt>
                <c:pt idx="766">
                  <c:v>130616</c:v>
                </c:pt>
                <c:pt idx="767">
                  <c:v>130465</c:v>
                </c:pt>
                <c:pt idx="768">
                  <c:v>130573</c:v>
                </c:pt>
                <c:pt idx="769">
                  <c:v>130441</c:v>
                </c:pt>
                <c:pt idx="770">
                  <c:v>130235</c:v>
                </c:pt>
                <c:pt idx="771">
                  <c:v>130173</c:v>
                </c:pt>
                <c:pt idx="772">
                  <c:v>130197</c:v>
                </c:pt>
                <c:pt idx="773">
                  <c:v>130186</c:v>
                </c:pt>
                <c:pt idx="774">
                  <c:v>130184</c:v>
                </c:pt>
                <c:pt idx="775">
                  <c:v>130153</c:v>
                </c:pt>
                <c:pt idx="776">
                  <c:v>130252</c:v>
                </c:pt>
                <c:pt idx="777">
                  <c:v>130439</c:v>
                </c:pt>
                <c:pt idx="778">
                  <c:v>130480</c:v>
                </c:pt>
                <c:pt idx="779">
                  <c:v>130589</c:v>
                </c:pt>
                <c:pt idx="780">
                  <c:v>130756</c:v>
                </c:pt>
                <c:pt idx="781">
                  <c:v>130821</c:v>
                </c:pt>
                <c:pt idx="782">
                  <c:v>131140</c:v>
                </c:pt>
                <c:pt idx="783">
                  <c:v>131412</c:v>
                </c:pt>
                <c:pt idx="784">
                  <c:v>131697</c:v>
                </c:pt>
                <c:pt idx="785">
                  <c:v>131794</c:v>
                </c:pt>
                <c:pt idx="786">
                  <c:v>131854</c:v>
                </c:pt>
                <c:pt idx="787">
                  <c:v>131939</c:v>
                </c:pt>
                <c:pt idx="788">
                  <c:v>132089</c:v>
                </c:pt>
                <c:pt idx="789">
                  <c:v>132429</c:v>
                </c:pt>
                <c:pt idx="790">
                  <c:v>132503</c:v>
                </c:pt>
                <c:pt idx="791">
                  <c:v>132630</c:v>
                </c:pt>
                <c:pt idx="792">
                  <c:v>132781</c:v>
                </c:pt>
                <c:pt idx="793">
                  <c:v>133034</c:v>
                </c:pt>
                <c:pt idx="794">
                  <c:v>133154</c:v>
                </c:pt>
                <c:pt idx="795">
                  <c:v>133520</c:v>
                </c:pt>
                <c:pt idx="796">
                  <c:v>133689</c:v>
                </c:pt>
                <c:pt idx="797">
                  <c:v>133948</c:v>
                </c:pt>
                <c:pt idx="798">
                  <c:v>134300</c:v>
                </c:pt>
                <c:pt idx="799">
                  <c:v>134502</c:v>
                </c:pt>
                <c:pt idx="800">
                  <c:v>134552</c:v>
                </c:pt>
                <c:pt idx="801">
                  <c:v>134641</c:v>
                </c:pt>
                <c:pt idx="802">
                  <c:v>134997</c:v>
                </c:pt>
                <c:pt idx="803">
                  <c:v>135159</c:v>
                </c:pt>
                <c:pt idx="804">
                  <c:v>135427</c:v>
                </c:pt>
                <c:pt idx="805">
                  <c:v>135733</c:v>
                </c:pt>
                <c:pt idx="806">
                  <c:v>136038</c:v>
                </c:pt>
                <c:pt idx="807">
                  <c:v>136210</c:v>
                </c:pt>
                <c:pt idx="808">
                  <c:v>136249</c:v>
                </c:pt>
                <c:pt idx="809">
                  <c:v>136337</c:v>
                </c:pt>
                <c:pt idx="810">
                  <c:v>136529</c:v>
                </c:pt>
                <c:pt idx="811">
                  <c:v>136692</c:v>
                </c:pt>
                <c:pt idx="812">
                  <c:v>136826</c:v>
                </c:pt>
                <c:pt idx="813">
                  <c:v>136843</c:v>
                </c:pt>
                <c:pt idx="814">
                  <c:v>137060</c:v>
                </c:pt>
                <c:pt idx="815">
                  <c:v>137249</c:v>
                </c:pt>
                <c:pt idx="816">
                  <c:v>137472</c:v>
                </c:pt>
                <c:pt idx="817">
                  <c:v>137560</c:v>
                </c:pt>
                <c:pt idx="818">
                  <c:v>137784</c:v>
                </c:pt>
                <c:pt idx="819">
                  <c:v>137847</c:v>
                </c:pt>
                <c:pt idx="820">
                  <c:v>137992</c:v>
                </c:pt>
                <c:pt idx="821">
                  <c:v>138070</c:v>
                </c:pt>
                <c:pt idx="822">
                  <c:v>138044</c:v>
                </c:pt>
                <c:pt idx="823">
                  <c:v>138013</c:v>
                </c:pt>
                <c:pt idx="824">
                  <c:v>138099</c:v>
                </c:pt>
                <c:pt idx="825">
                  <c:v>138175</c:v>
                </c:pt>
                <c:pt idx="826">
                  <c:v>138290</c:v>
                </c:pt>
                <c:pt idx="827">
                  <c:v>138395</c:v>
                </c:pt>
                <c:pt idx="828">
                  <c:v>138391</c:v>
                </c:pt>
                <c:pt idx="829">
                  <c:v>138329</c:v>
                </c:pt>
                <c:pt idx="830">
                  <c:v>138259</c:v>
                </c:pt>
                <c:pt idx="831">
                  <c:v>138040</c:v>
                </c:pt>
                <c:pt idx="832">
                  <c:v>137851</c:v>
                </c:pt>
                <c:pt idx="833">
                  <c:v>137700</c:v>
                </c:pt>
                <c:pt idx="834">
                  <c:v>137497</c:v>
                </c:pt>
                <c:pt idx="835">
                  <c:v>137211</c:v>
                </c:pt>
                <c:pt idx="836">
                  <c:v>136760</c:v>
                </c:pt>
                <c:pt idx="837">
                  <c:v>136291</c:v>
                </c:pt>
                <c:pt idx="838">
                  <c:v>135541</c:v>
                </c:pt>
                <c:pt idx="839">
                  <c:v>134847</c:v>
                </c:pt>
                <c:pt idx="840">
                  <c:v>134079</c:v>
                </c:pt>
                <c:pt idx="841">
                  <c:v>133318</c:v>
                </c:pt>
                <c:pt idx="842">
                  <c:v>132494</c:v>
                </c:pt>
                <c:pt idx="843">
                  <c:v>131822</c:v>
                </c:pt>
                <c:pt idx="844">
                  <c:v>131466</c:v>
                </c:pt>
                <c:pt idx="845">
                  <c:v>131008</c:v>
                </c:pt>
                <c:pt idx="846">
                  <c:v>130662</c:v>
                </c:pt>
                <c:pt idx="847">
                  <c:v>130472</c:v>
                </c:pt>
                <c:pt idx="848">
                  <c:v>130246</c:v>
                </c:pt>
                <c:pt idx="849">
                  <c:v>130061</c:v>
                </c:pt>
                <c:pt idx="850">
                  <c:v>130057</c:v>
                </c:pt>
                <c:pt idx="851">
                  <c:v>129808</c:v>
                </c:pt>
                <c:pt idx="852">
                  <c:v>129802</c:v>
                </c:pt>
                <c:pt idx="853">
                  <c:v>129706</c:v>
                </c:pt>
                <c:pt idx="854">
                  <c:v>129866</c:v>
                </c:pt>
                <c:pt idx="855">
                  <c:v>130120</c:v>
                </c:pt>
                <c:pt idx="856">
                  <c:v>130642</c:v>
                </c:pt>
                <c:pt idx="857">
                  <c:v>130510</c:v>
                </c:pt>
                <c:pt idx="858">
                  <c:v>130415</c:v>
                </c:pt>
                <c:pt idx="859">
                  <c:v>130415</c:v>
                </c:pt>
                <c:pt idx="860">
                  <c:v>130341</c:v>
                </c:pt>
                <c:pt idx="861">
                  <c:v>130620</c:v>
                </c:pt>
                <c:pt idx="862">
                  <c:v>130749</c:v>
                </c:pt>
                <c:pt idx="863">
                  <c:v>130830</c:v>
                </c:pt>
                <c:pt idx="864">
                  <c:v>130837</c:v>
                </c:pt>
                <c:pt idx="865">
                  <c:v>131057</c:v>
                </c:pt>
                <c:pt idx="866">
                  <c:v>131283</c:v>
                </c:pt>
                <c:pt idx="867">
                  <c:v>131597</c:v>
                </c:pt>
                <c:pt idx="868">
                  <c:v>131703</c:v>
                </c:pt>
                <c:pt idx="869">
                  <c:v>131931</c:v>
                </c:pt>
                <c:pt idx="870">
                  <c:v>131992</c:v>
                </c:pt>
                <c:pt idx="871">
                  <c:v>132125</c:v>
                </c:pt>
                <c:pt idx="872">
                  <c:v>132344</c:v>
                </c:pt>
                <c:pt idx="873">
                  <c:v>132553</c:v>
                </c:pt>
                <c:pt idx="874">
                  <c:v>132690</c:v>
                </c:pt>
                <c:pt idx="875">
                  <c:v>132888</c:v>
                </c:pt>
                <c:pt idx="876">
                  <c:v>133246</c:v>
                </c:pt>
                <c:pt idx="877">
                  <c:v>133509</c:v>
                </c:pt>
                <c:pt idx="878">
                  <c:v>133748</c:v>
                </c:pt>
                <c:pt idx="879">
                  <c:v>133825</c:v>
                </c:pt>
                <c:pt idx="880">
                  <c:v>133932</c:v>
                </c:pt>
                <c:pt idx="881">
                  <c:v>134013</c:v>
                </c:pt>
                <c:pt idx="882">
                  <c:v>134157</c:v>
                </c:pt>
                <c:pt idx="883">
                  <c:v>134339</c:v>
                </c:pt>
                <c:pt idx="884">
                  <c:v>134517</c:v>
                </c:pt>
                <c:pt idx="885">
                  <c:v>134669</c:v>
                </c:pt>
                <c:pt idx="886">
                  <c:v>134825</c:v>
                </c:pt>
                <c:pt idx="887">
                  <c:v>135074</c:v>
                </c:pt>
                <c:pt idx="888">
                  <c:v>135257</c:v>
                </c:pt>
                <c:pt idx="889">
                  <c:v>135546</c:v>
                </c:pt>
                <c:pt idx="890">
                  <c:v>135689</c:v>
                </c:pt>
                <c:pt idx="891">
                  <c:v>135873</c:v>
                </c:pt>
                <c:pt idx="892">
                  <c:v>136096</c:v>
                </c:pt>
                <c:pt idx="893">
                  <c:v>136279</c:v>
                </c:pt>
                <c:pt idx="894">
                  <c:v>136391</c:v>
                </c:pt>
                <c:pt idx="895">
                  <c:v>136646</c:v>
                </c:pt>
                <c:pt idx="896">
                  <c:v>136821</c:v>
                </c:pt>
                <c:pt idx="897">
                  <c:v>137041</c:v>
                </c:pt>
                <c:pt idx="898">
                  <c:v>137317</c:v>
                </c:pt>
                <c:pt idx="899">
                  <c:v>137372</c:v>
                </c:pt>
                <c:pt idx="900">
                  <c:v>137561</c:v>
                </c:pt>
                <c:pt idx="901">
                  <c:v>137712</c:v>
                </c:pt>
                <c:pt idx="902">
                  <c:v>137985</c:v>
                </c:pt>
                <c:pt idx="903">
                  <c:v>138298</c:v>
                </c:pt>
                <c:pt idx="904">
                  <c:v>138513</c:v>
                </c:pt>
                <c:pt idx="905">
                  <c:v>138849</c:v>
                </c:pt>
                <c:pt idx="906">
                  <c:v>139072</c:v>
                </c:pt>
                <c:pt idx="907">
                  <c:v>139269</c:v>
                </c:pt>
                <c:pt idx="908">
                  <c:v>139563</c:v>
                </c:pt>
                <c:pt idx="909">
                  <c:v>139798</c:v>
                </c:pt>
                <c:pt idx="910">
                  <c:v>140089</c:v>
                </c:pt>
                <c:pt idx="911">
                  <c:v>140364</c:v>
                </c:pt>
                <c:pt idx="912">
                  <c:v>140568</c:v>
                </c:pt>
                <c:pt idx="913">
                  <c:v>140827</c:v>
                </c:pt>
                <c:pt idx="914">
                  <c:v>140923</c:v>
                </c:pt>
                <c:pt idx="915">
                  <c:v>141196</c:v>
                </c:pt>
                <c:pt idx="916">
                  <c:v>141538</c:v>
                </c:pt>
                <c:pt idx="917">
                  <c:v>141709</c:v>
                </c:pt>
                <c:pt idx="918">
                  <c:v>141991</c:v>
                </c:pt>
                <c:pt idx="919">
                  <c:v>142125</c:v>
                </c:pt>
                <c:pt idx="920">
                  <c:v>142275</c:v>
                </c:pt>
                <c:pt idx="921">
                  <c:v>142579</c:v>
                </c:pt>
                <c:pt idx="922">
                  <c:v>142808</c:v>
                </c:pt>
                <c:pt idx="923">
                  <c:v>143077</c:v>
                </c:pt>
                <c:pt idx="924">
                  <c:v>143210</c:v>
                </c:pt>
                <c:pt idx="925">
                  <c:v>143406</c:v>
                </c:pt>
                <c:pt idx="926">
                  <c:v>143662</c:v>
                </c:pt>
                <c:pt idx="927">
                  <c:v>143854</c:v>
                </c:pt>
                <c:pt idx="928">
                  <c:v>143900</c:v>
                </c:pt>
                <c:pt idx="929">
                  <c:v>144147</c:v>
                </c:pt>
                <c:pt idx="930">
                  <c:v>144520</c:v>
                </c:pt>
                <c:pt idx="931">
                  <c:v>144661</c:v>
                </c:pt>
                <c:pt idx="932">
                  <c:v>144967</c:v>
                </c:pt>
                <c:pt idx="933">
                  <c:v>145065</c:v>
                </c:pt>
                <c:pt idx="934">
                  <c:v>145183</c:v>
                </c:pt>
                <c:pt idx="935">
                  <c:v>145408</c:v>
                </c:pt>
                <c:pt idx="936">
                  <c:v>145628</c:v>
                </c:pt>
                <c:pt idx="937">
                  <c:v>145846</c:v>
                </c:pt>
                <c:pt idx="938">
                  <c:v>145970</c:v>
                </c:pt>
                <c:pt idx="939">
                  <c:v>146175</c:v>
                </c:pt>
                <c:pt idx="940">
                  <c:v>146380</c:v>
                </c:pt>
                <c:pt idx="941">
                  <c:v>146583</c:v>
                </c:pt>
                <c:pt idx="942">
                  <c:v>146772</c:v>
                </c:pt>
                <c:pt idx="943">
                  <c:v>146919</c:v>
                </c:pt>
                <c:pt idx="944">
                  <c:v>147008</c:v>
                </c:pt>
                <c:pt idx="945">
                  <c:v>147149</c:v>
                </c:pt>
                <c:pt idx="946">
                  <c:v>147372</c:v>
                </c:pt>
                <c:pt idx="947">
                  <c:v>147523</c:v>
                </c:pt>
                <c:pt idx="948">
                  <c:v>147660</c:v>
                </c:pt>
                <c:pt idx="949">
                  <c:v>148054</c:v>
                </c:pt>
                <c:pt idx="950">
                  <c:v>148280</c:v>
                </c:pt>
                <c:pt idx="951">
                  <c:v>148420</c:v>
                </c:pt>
                <c:pt idx="952">
                  <c:v>148742</c:v>
                </c:pt>
                <c:pt idx="953">
                  <c:v>148960</c:v>
                </c:pt>
                <c:pt idx="954">
                  <c:v>149020</c:v>
                </c:pt>
                <c:pt idx="955">
                  <c:v>149277</c:v>
                </c:pt>
                <c:pt idx="956">
                  <c:v>149358</c:v>
                </c:pt>
                <c:pt idx="957">
                  <c:v>149527</c:v>
                </c:pt>
                <c:pt idx="958">
                  <c:v>149617</c:v>
                </c:pt>
                <c:pt idx="959">
                  <c:v>149809</c:v>
                </c:pt>
                <c:pt idx="960">
                  <c:v>150060</c:v>
                </c:pt>
                <c:pt idx="961">
                  <c:v>150067</c:v>
                </c:pt>
                <c:pt idx="962">
                  <c:v>150295</c:v>
                </c:pt>
                <c:pt idx="963">
                  <c:v>150591</c:v>
                </c:pt>
                <c:pt idx="964">
                  <c:v>150618</c:v>
                </c:pt>
                <c:pt idx="965">
                  <c:v>150838</c:v>
                </c:pt>
                <c:pt idx="966">
                  <c:v>150937</c:v>
                </c:pt>
                <c:pt idx="967">
                  <c:v>151169</c:v>
                </c:pt>
                <c:pt idx="968">
                  <c:v>151365</c:v>
                </c:pt>
                <c:pt idx="969">
                  <c:v>151460</c:v>
                </c:pt>
                <c:pt idx="970">
                  <c:v>151667</c:v>
                </c:pt>
                <c:pt idx="971">
                  <c:v>151794</c:v>
                </c:pt>
                <c:pt idx="972">
                  <c:v>152031</c:v>
                </c:pt>
                <c:pt idx="973">
                  <c:v>152293</c:v>
                </c:pt>
                <c:pt idx="974">
                  <c:v>150895</c:v>
                </c:pt>
                <c:pt idx="975">
                  <c:v>130426</c:v>
                </c:pt>
                <c:pt idx="976">
                  <c:v>133040</c:v>
                </c:pt>
                <c:pt idx="977">
                  <c:v>137671</c:v>
                </c:pt>
                <c:pt idx="978">
                  <c:v>139255</c:v>
                </c:pt>
                <c:pt idx="979">
                  <c:v>140821</c:v>
                </c:pt>
                <c:pt idx="980">
                  <c:v>141770</c:v>
                </c:pt>
                <c:pt idx="981">
                  <c:v>142460</c:v>
                </c:pt>
                <c:pt idx="982">
                  <c:v>142733</c:v>
                </c:pt>
                <c:pt idx="983">
                  <c:v>142548</c:v>
                </c:pt>
                <c:pt idx="984">
                  <c:v>142863</c:v>
                </c:pt>
                <c:pt idx="985">
                  <c:v>143380</c:v>
                </c:pt>
                <c:pt idx="986">
                  <c:v>144232</c:v>
                </c:pt>
                <c:pt idx="987">
                  <c:v>144587</c:v>
                </c:pt>
                <c:pt idx="988">
                  <c:v>145065</c:v>
                </c:pt>
                <c:pt idx="989">
                  <c:v>145820</c:v>
                </c:pt>
                <c:pt idx="990">
                  <c:v>146762</c:v>
                </c:pt>
                <c:pt idx="991">
                  <c:v>147314</c:v>
                </c:pt>
                <c:pt idx="992">
                  <c:v>147771</c:v>
                </c:pt>
                <c:pt idx="993">
                  <c:v>148572</c:v>
                </c:pt>
                <c:pt idx="994">
                  <c:v>149230</c:v>
                </c:pt>
                <c:pt idx="995">
                  <c:v>149816</c:v>
                </c:pt>
                <c:pt idx="996">
                  <c:v>150006</c:v>
                </c:pt>
                <c:pt idx="997">
                  <c:v>150825</c:v>
                </c:pt>
                <c:pt idx="998">
                  <c:v>151315</c:v>
                </c:pt>
                <c:pt idx="999">
                  <c:v>151623</c:v>
                </c:pt>
                <c:pt idx="1000">
                  <c:v>151924</c:v>
                </c:pt>
                <c:pt idx="1001">
                  <c:v>152358</c:v>
                </c:pt>
                <c:pt idx="1002">
                  <c:v>153072</c:v>
                </c:pt>
                <c:pt idx="1003">
                  <c:v>153362</c:v>
                </c:pt>
                <c:pt idx="1004">
                  <c:v>153582</c:v>
                </c:pt>
                <c:pt idx="1005">
                  <c:v>153939</c:v>
                </c:pt>
                <c:pt idx="1006">
                  <c:v>154242</c:v>
                </c:pt>
                <c:pt idx="1007">
                  <c:v>154342</c:v>
                </c:pt>
                <c:pt idx="1008">
                  <c:v>154776</c:v>
                </c:pt>
                <c:pt idx="1009">
                  <c:v>155066</c:v>
                </c:pt>
                <c:pt idx="1010">
                  <c:v>155134</c:v>
                </c:pt>
                <c:pt idx="1011">
                  <c:v>155375</c:v>
                </c:pt>
                <c:pt idx="1012">
                  <c:v>155655</c:v>
                </c:pt>
                <c:pt idx="1013">
                  <c:v>155880</c:v>
                </c:pt>
                <c:pt idx="1014">
                  <c:v>156043</c:v>
                </c:pt>
                <c:pt idx="1015">
                  <c:v>156261</c:v>
                </c:pt>
                <c:pt idx="1016">
                  <c:v>156417</c:v>
                </c:pt>
                <c:pt idx="1017">
                  <c:v>156576</c:v>
                </c:pt>
                <c:pt idx="1018">
                  <c:v>156703</c:v>
                </c:pt>
                <c:pt idx="1019">
                  <c:v>156857</c:v>
                </c:pt>
                <c:pt idx="1020">
                  <c:v>157032</c:v>
                </c:pt>
                <c:pt idx="1021">
                  <c:v>157238</c:v>
                </c:pt>
                <c:pt idx="1022">
                  <c:v>157466</c:v>
                </c:pt>
                <c:pt idx="1023">
                  <c:v>157530</c:v>
                </c:pt>
                <c:pt idx="1024">
                  <c:v>157608</c:v>
                </c:pt>
                <c:pt idx="1025">
                  <c:v>157695</c:v>
                </c:pt>
                <c:pt idx="1026">
                  <c:v>157748</c:v>
                </c:pt>
                <c:pt idx="1027">
                  <c:v>157757</c:v>
                </c:pt>
                <c:pt idx="1028">
                  <c:v>157912</c:v>
                </c:pt>
                <c:pt idx="1029">
                  <c:v>157945</c:v>
                </c:pt>
                <c:pt idx="1030">
                  <c:v>158079</c:v>
                </c:pt>
                <c:pt idx="1031">
                  <c:v>158316</c:v>
                </c:pt>
                <c:pt idx="1032">
                  <c:v>158268</c:v>
                </c:pt>
                <c:pt idx="1033">
                  <c:v>158310</c:v>
                </c:pt>
                <c:pt idx="1034">
                  <c:v>158377</c:v>
                </c:pt>
                <c:pt idx="1035">
                  <c:v>158485</c:v>
                </c:pt>
                <c:pt idx="1036">
                  <c:v>158498</c:v>
                </c:pt>
                <c:pt idx="1037">
                  <c:v>158478</c:v>
                </c:pt>
                <c:pt idx="1038">
                  <c:v>158542</c:v>
                </c:pt>
                <c:pt idx="1039">
                  <c:v>158472</c:v>
                </c:pt>
                <c:pt idx="1040">
                  <c:v>158548</c:v>
                </c:pt>
                <c:pt idx="1041">
                  <c:v>158408</c:v>
                </c:pt>
                <c:pt idx="1042">
                  <c:v>158449</c:v>
                </c:pt>
                <c:pt idx="1043">
                  <c:v>158432</c:v>
                </c:pt>
                <c:pt idx="1044">
                  <c:v>158592</c:v>
                </c:pt>
                <c:pt idx="1045">
                  <c:v>158436</c:v>
                </c:pt>
                <c:pt idx="1046">
                  <c:v>158650</c:v>
                </c:pt>
                <c:pt idx="1047">
                  <c:v>158798</c:v>
                </c:pt>
                <c:pt idx="1048">
                  <c:v>158861</c:v>
                </c:pt>
                <c:pt idx="1049">
                  <c:v>158881</c:v>
                </c:pt>
                <c:pt idx="1050">
                  <c:v>158858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808-45C9-B3C0-0351AB0052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28409727"/>
        <c:axId val="1246797072"/>
      </c:lineChart>
      <c:dateAx>
        <c:axId val="1328409727"/>
        <c:scaling>
          <c:orientation val="minMax"/>
        </c:scaling>
        <c:delete val="0"/>
        <c:axPos val="b"/>
        <c:numFmt formatCode="yyyy/mm/dd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595959"/>
                </a:solidFill>
                <a:latin typeface="Aptos Narrow"/>
                <a:ea typeface="Aptos Narrow"/>
                <a:cs typeface="Aptos Narrow"/>
              </a:defRPr>
            </a:pPr>
            <a:endParaRPr lang="en-US"/>
          </a:p>
        </c:txPr>
        <c:crossAx val="1246797072"/>
        <c:crosses val="autoZero"/>
        <c:auto val="0"/>
        <c:lblOffset val="100"/>
        <c:baseTimeUnit val="months"/>
      </c:dateAx>
      <c:valAx>
        <c:axId val="1246797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D9D9D9"/>
              </a:solidFill>
              <a:prstDash val="solid"/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595959"/>
                </a:solidFill>
                <a:latin typeface="Aptos Narrow"/>
                <a:ea typeface="Aptos Narrow"/>
                <a:cs typeface="Aptos Narrow"/>
              </a:defRPr>
            </a:pPr>
            <a:endParaRPr lang="en-US"/>
          </a:p>
        </c:txPr>
        <c:crossAx val="13284097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rgbClr val="D9D9D9"/>
      </a:solidFill>
      <a:prstDash val="solid"/>
      <a:round/>
    </a:ln>
    <a:effectLst/>
  </c:spPr>
  <c:txPr>
    <a:bodyPr/>
    <a:lstStyle/>
    <a:p>
      <a:pPr>
        <a:defRPr sz="900">
          <a:solidFill>
            <a:srgbClr val="595959"/>
          </a:solidFill>
          <a:latin typeface="Aptos Narrow"/>
          <a:ea typeface="Aptos Narrow"/>
          <a:cs typeface="Aptos Narrow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1F4E79"/>
                </a:solidFill>
                <a:latin typeface="Aptos Narrow"/>
                <a:ea typeface="Aptos Narrow"/>
                <a:cs typeface="Aptos Narrow"/>
              </a:defRPr>
            </a:pPr>
            <a:r>
              <a:rPr lang="en-US"/>
              <a:t>NFP — Chg MoM (k) (bars) vs level (line, rhs)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1F4E79"/>
              </a:solidFill>
              <a:latin typeface="Aptos Narrow"/>
              <a:ea typeface="Aptos Narrow"/>
              <a:cs typeface="Aptos Narrow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NFP!$I$12</c:f>
              <c:strCache>
                <c:ptCount val="1"/>
                <c:pt idx="0">
                  <c:v>Frequency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NFP!$H$13:$H$24</c:f>
              <c:numCache>
                <c:formatCode>0.0000</c:formatCode>
                <c:ptCount val="12"/>
                <c:pt idx="0">
                  <c:v>-18377.333333333332</c:v>
                </c:pt>
                <c:pt idx="1">
                  <c:v>-16285.666666666668</c:v>
                </c:pt>
                <c:pt idx="2">
                  <c:v>-14194</c:v>
                </c:pt>
                <c:pt idx="3">
                  <c:v>-12102.333333333334</c:v>
                </c:pt>
                <c:pt idx="4">
                  <c:v>-10010.666666666668</c:v>
                </c:pt>
                <c:pt idx="5">
                  <c:v>-7919</c:v>
                </c:pt>
                <c:pt idx="6">
                  <c:v>-5827.3333333333339</c:v>
                </c:pt>
                <c:pt idx="7">
                  <c:v>-3735.6666666666679</c:v>
                </c:pt>
                <c:pt idx="8">
                  <c:v>-1644</c:v>
                </c:pt>
                <c:pt idx="9">
                  <c:v>447.66666666666424</c:v>
                </c:pt>
                <c:pt idx="10">
                  <c:v>2539.3333333333321</c:v>
                </c:pt>
                <c:pt idx="11">
                  <c:v>4631</c:v>
                </c:pt>
              </c:numCache>
            </c:numRef>
          </c:cat>
          <c:val>
            <c:numRef>
              <c:f>NFP!$I$13:$I$24</c:f>
              <c:numCache>
                <c:formatCode>General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999</c:v>
                </c:pt>
                <c:pt idx="10">
                  <c:v>47</c:v>
                </c:pt>
                <c:pt idx="1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6D3-4762-9D13-7163CD8446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8408335"/>
        <c:axId val="1246796592"/>
      </c:barChart>
      <c:catAx>
        <c:axId val="1328408335"/>
        <c:scaling>
          <c:orientation val="minMax"/>
        </c:scaling>
        <c:delete val="0"/>
        <c:axPos val="b"/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595959"/>
                </a:solidFill>
                <a:latin typeface="Aptos Narrow"/>
                <a:ea typeface="Aptos Narrow"/>
                <a:cs typeface="Aptos Narrow"/>
              </a:defRPr>
            </a:pPr>
            <a:endParaRPr lang="en-US"/>
          </a:p>
        </c:txPr>
        <c:crossAx val="1246796592"/>
        <c:crosses val="autoZero"/>
        <c:auto val="1"/>
        <c:lblAlgn val="ctr"/>
        <c:lblOffset val="100"/>
        <c:noMultiLvlLbl val="1"/>
      </c:catAx>
      <c:valAx>
        <c:axId val="1246796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D9D9D9"/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595959"/>
                </a:solidFill>
                <a:latin typeface="Aptos Narrow"/>
                <a:ea typeface="Aptos Narrow"/>
                <a:cs typeface="Aptos Narrow"/>
              </a:defRPr>
            </a:pPr>
            <a:endParaRPr lang="en-US"/>
          </a:p>
        </c:txPr>
        <c:crossAx val="1328408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595959"/>
              </a:solidFill>
              <a:latin typeface="Aptos Narrow"/>
              <a:ea typeface="Aptos Narrow"/>
              <a:cs typeface="Aptos Narrow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rgbClr val="D9D9D9"/>
      </a:solidFill>
      <a:prstDash val="solid"/>
      <a:round/>
    </a:ln>
    <a:effectLst/>
  </c:spPr>
  <c:txPr>
    <a:bodyPr/>
    <a:lstStyle/>
    <a:p>
      <a:pPr>
        <a:defRPr sz="900">
          <a:solidFill>
            <a:srgbClr val="595959"/>
          </a:solidFill>
          <a:latin typeface="Aptos Narrow"/>
          <a:ea typeface="Aptos Narrow"/>
          <a:cs typeface="Aptos Narrow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1F4E79"/>
                </a:solidFill>
                <a:latin typeface="Aptos Narrow"/>
                <a:ea typeface="Aptos Narrow"/>
                <a:cs typeface="Aptos Narrow"/>
              </a:defRPr>
            </a:pPr>
            <a:r>
              <a:rPr lang="en-US"/>
              <a:t>NFP — distribution of Chg MoM (k) (histogram)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1F4E79"/>
              </a:solidFill>
              <a:latin typeface="Aptos Narrow"/>
              <a:ea typeface="Aptos Narrow"/>
              <a:cs typeface="Aptos Narrow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NFP!$V$8</c:f>
              <c:strCache>
                <c:ptCount val="1"/>
                <c:pt idx="0">
                  <c:v>Actual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NFP!$U$9:$U$11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cat>
          <c:val>
            <c:numRef>
              <c:f>NFP!$V$9:$V$11</c:f>
              <c:numCache>
                <c:formatCode>0.0%</c:formatCode>
                <c:ptCount val="3"/>
                <c:pt idx="0">
                  <c:v>0.97904761904761906</c:v>
                </c:pt>
                <c:pt idx="1">
                  <c:v>0.99333333333333329</c:v>
                </c:pt>
                <c:pt idx="2">
                  <c:v>0.99714285714285711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9DB-451C-BFD7-D4214274559D}"/>
            </c:ext>
          </c:extLst>
        </c:ser>
        <c:ser>
          <c:idx val="1"/>
          <c:order val="1"/>
          <c:tx>
            <c:strRef>
              <c:f>NFP!$W$8</c:f>
              <c:strCache>
                <c:ptCount val="1"/>
                <c:pt idx="0">
                  <c:v>Normal %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NFP!$U$9:$U$11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cat>
          <c:val>
            <c:numRef>
              <c:f>NFP!$W$9:$W$11</c:f>
              <c:numCache>
                <c:formatCode>0.0%</c:formatCode>
                <c:ptCount val="3"/>
                <c:pt idx="0">
                  <c:v>0.68200000000000005</c:v>
                </c:pt>
                <c:pt idx="1">
                  <c:v>0.95399999999999996</c:v>
                </c:pt>
                <c:pt idx="2">
                  <c:v>0.997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11-498A-9E55-D61B0F3D23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"/>
        <c:overlap val="-27"/>
        <c:axId val="1328348479"/>
        <c:axId val="1246798512"/>
      </c:barChart>
      <c:catAx>
        <c:axId val="1328348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595959"/>
                </a:solidFill>
                <a:latin typeface="Aptos Narrow"/>
                <a:ea typeface="Aptos Narrow"/>
                <a:cs typeface="Aptos Narrow"/>
              </a:defRPr>
            </a:pPr>
            <a:endParaRPr lang="en-US"/>
          </a:p>
        </c:txPr>
        <c:crossAx val="1246798512"/>
        <c:crosses val="autoZero"/>
        <c:auto val="1"/>
        <c:lblAlgn val="ctr"/>
        <c:lblOffset val="100"/>
        <c:noMultiLvlLbl val="0"/>
      </c:catAx>
      <c:valAx>
        <c:axId val="1246798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D9D9D9"/>
              </a:solidFill>
              <a:prstDash val="solid"/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595959"/>
                </a:solidFill>
                <a:latin typeface="Aptos Narrow"/>
                <a:ea typeface="Aptos Narrow"/>
                <a:cs typeface="Aptos Narrow"/>
              </a:defRPr>
            </a:pPr>
            <a:endParaRPr lang="en-US"/>
          </a:p>
        </c:txPr>
        <c:crossAx val="1328348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595959"/>
              </a:solidFill>
              <a:latin typeface="Aptos Narrow"/>
              <a:ea typeface="Aptos Narrow"/>
              <a:cs typeface="Aptos Narrow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rgbClr val="D9D9D9"/>
      </a:solidFill>
      <a:prstDash val="solid"/>
      <a:round/>
    </a:ln>
    <a:effectLst/>
  </c:spPr>
  <c:txPr>
    <a:bodyPr/>
    <a:lstStyle/>
    <a:p>
      <a:pPr>
        <a:defRPr sz="900">
          <a:solidFill>
            <a:srgbClr val="595959"/>
          </a:solidFill>
          <a:latin typeface="Aptos Narrow"/>
          <a:ea typeface="Aptos Narrow"/>
          <a:cs typeface="Aptos Narrow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1F4E79"/>
                </a:solidFill>
                <a:latin typeface="Aptos Narrow"/>
                <a:ea typeface="Aptos Narrow"/>
                <a:cs typeface="Aptos Narrow"/>
              </a:defRPr>
            </a:pPr>
            <a:r>
              <a:rPr lang="en-US"/>
              <a:t>Unemployment rate — level, 1948–present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1F4E79"/>
              </a:solidFill>
              <a:latin typeface="Aptos Narrow"/>
              <a:ea typeface="Aptos Narrow"/>
              <a:cs typeface="Aptos Narrow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UNEMP!$B$4</c:f>
              <c:strCache>
                <c:ptCount val="1"/>
                <c:pt idx="0">
                  <c:v>Value</c:v>
                </c:pt>
              </c:strCache>
            </c:strRef>
          </c:tx>
          <c:spPr>
            <a:ln w="25400" cap="rnd">
              <a:solidFill>
                <a:srgbClr val="1F4E79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UNEMP!$A$5:$A$946</c:f>
              <c:numCache>
                <c:formatCode>yyyy/mm/dd</c:formatCode>
                <c:ptCount val="942"/>
                <c:pt idx="0">
                  <c:v>17533</c:v>
                </c:pt>
                <c:pt idx="1">
                  <c:v>17564</c:v>
                </c:pt>
                <c:pt idx="2">
                  <c:v>17593</c:v>
                </c:pt>
                <c:pt idx="3">
                  <c:v>17624</c:v>
                </c:pt>
                <c:pt idx="4">
                  <c:v>17654</c:v>
                </c:pt>
                <c:pt idx="5">
                  <c:v>17685</c:v>
                </c:pt>
                <c:pt idx="6">
                  <c:v>17715</c:v>
                </c:pt>
                <c:pt idx="7">
                  <c:v>17746</c:v>
                </c:pt>
                <c:pt idx="8">
                  <c:v>17777</c:v>
                </c:pt>
                <c:pt idx="9">
                  <c:v>17807</c:v>
                </c:pt>
                <c:pt idx="10">
                  <c:v>17838</c:v>
                </c:pt>
                <c:pt idx="11">
                  <c:v>17868</c:v>
                </c:pt>
                <c:pt idx="12">
                  <c:v>17899</c:v>
                </c:pt>
                <c:pt idx="13">
                  <c:v>17930</c:v>
                </c:pt>
                <c:pt idx="14">
                  <c:v>17958</c:v>
                </c:pt>
                <c:pt idx="15">
                  <c:v>17989</c:v>
                </c:pt>
                <c:pt idx="16">
                  <c:v>18019</c:v>
                </c:pt>
                <c:pt idx="17">
                  <c:v>18050</c:v>
                </c:pt>
                <c:pt idx="18">
                  <c:v>18080</c:v>
                </c:pt>
                <c:pt idx="19">
                  <c:v>18111</c:v>
                </c:pt>
                <c:pt idx="20">
                  <c:v>18142</c:v>
                </c:pt>
                <c:pt idx="21">
                  <c:v>18172</c:v>
                </c:pt>
                <c:pt idx="22">
                  <c:v>18203</c:v>
                </c:pt>
                <c:pt idx="23">
                  <c:v>18233</c:v>
                </c:pt>
                <c:pt idx="24">
                  <c:v>18264</c:v>
                </c:pt>
                <c:pt idx="25">
                  <c:v>18295</c:v>
                </c:pt>
                <c:pt idx="26">
                  <c:v>18323</c:v>
                </c:pt>
                <c:pt idx="27">
                  <c:v>18354</c:v>
                </c:pt>
                <c:pt idx="28">
                  <c:v>18384</c:v>
                </c:pt>
                <c:pt idx="29">
                  <c:v>18415</c:v>
                </c:pt>
                <c:pt idx="30">
                  <c:v>18445</c:v>
                </c:pt>
                <c:pt idx="31">
                  <c:v>18476</c:v>
                </c:pt>
                <c:pt idx="32">
                  <c:v>18507</c:v>
                </c:pt>
                <c:pt idx="33">
                  <c:v>18537</c:v>
                </c:pt>
                <c:pt idx="34">
                  <c:v>18568</c:v>
                </c:pt>
                <c:pt idx="35">
                  <c:v>18598</c:v>
                </c:pt>
                <c:pt idx="36">
                  <c:v>18629</c:v>
                </c:pt>
                <c:pt idx="37">
                  <c:v>18660</c:v>
                </c:pt>
                <c:pt idx="38">
                  <c:v>18688</c:v>
                </c:pt>
                <c:pt idx="39">
                  <c:v>18719</c:v>
                </c:pt>
                <c:pt idx="40">
                  <c:v>18749</c:v>
                </c:pt>
                <c:pt idx="41">
                  <c:v>18780</c:v>
                </c:pt>
                <c:pt idx="42">
                  <c:v>18810</c:v>
                </c:pt>
                <c:pt idx="43">
                  <c:v>18841</c:v>
                </c:pt>
                <c:pt idx="44">
                  <c:v>18872</c:v>
                </c:pt>
                <c:pt idx="45">
                  <c:v>18902</c:v>
                </c:pt>
                <c:pt idx="46">
                  <c:v>18933</c:v>
                </c:pt>
                <c:pt idx="47">
                  <c:v>18963</c:v>
                </c:pt>
                <c:pt idx="48">
                  <c:v>18994</c:v>
                </c:pt>
                <c:pt idx="49">
                  <c:v>19025</c:v>
                </c:pt>
                <c:pt idx="50">
                  <c:v>19054</c:v>
                </c:pt>
                <c:pt idx="51">
                  <c:v>19085</c:v>
                </c:pt>
                <c:pt idx="52">
                  <c:v>19115</c:v>
                </c:pt>
                <c:pt idx="53">
                  <c:v>19146</c:v>
                </c:pt>
                <c:pt idx="54">
                  <c:v>19176</c:v>
                </c:pt>
                <c:pt idx="55">
                  <c:v>19207</c:v>
                </c:pt>
                <c:pt idx="56">
                  <c:v>19238</c:v>
                </c:pt>
                <c:pt idx="57">
                  <c:v>19268</c:v>
                </c:pt>
                <c:pt idx="58">
                  <c:v>19299</c:v>
                </c:pt>
                <c:pt idx="59">
                  <c:v>19329</c:v>
                </c:pt>
                <c:pt idx="60">
                  <c:v>19360</c:v>
                </c:pt>
                <c:pt idx="61">
                  <c:v>19391</c:v>
                </c:pt>
                <c:pt idx="62">
                  <c:v>19419</c:v>
                </c:pt>
                <c:pt idx="63">
                  <c:v>19450</c:v>
                </c:pt>
                <c:pt idx="64">
                  <c:v>19480</c:v>
                </c:pt>
                <c:pt idx="65">
                  <c:v>19511</c:v>
                </c:pt>
                <c:pt idx="66">
                  <c:v>19541</c:v>
                </c:pt>
                <c:pt idx="67">
                  <c:v>19572</c:v>
                </c:pt>
                <c:pt idx="68">
                  <c:v>19603</c:v>
                </c:pt>
                <c:pt idx="69">
                  <c:v>19633</c:v>
                </c:pt>
                <c:pt idx="70">
                  <c:v>19664</c:v>
                </c:pt>
                <c:pt idx="71">
                  <c:v>19694</c:v>
                </c:pt>
                <c:pt idx="72">
                  <c:v>19725</c:v>
                </c:pt>
                <c:pt idx="73">
                  <c:v>19756</c:v>
                </c:pt>
                <c:pt idx="74">
                  <c:v>19784</c:v>
                </c:pt>
                <c:pt idx="75">
                  <c:v>19815</c:v>
                </c:pt>
                <c:pt idx="76">
                  <c:v>19845</c:v>
                </c:pt>
                <c:pt idx="77">
                  <c:v>19876</c:v>
                </c:pt>
                <c:pt idx="78">
                  <c:v>19906</c:v>
                </c:pt>
                <c:pt idx="79">
                  <c:v>19937</c:v>
                </c:pt>
                <c:pt idx="80">
                  <c:v>19968</c:v>
                </c:pt>
                <c:pt idx="81">
                  <c:v>19998</c:v>
                </c:pt>
                <c:pt idx="82">
                  <c:v>20029</c:v>
                </c:pt>
                <c:pt idx="83">
                  <c:v>20059</c:v>
                </c:pt>
                <c:pt idx="84">
                  <c:v>20090</c:v>
                </c:pt>
                <c:pt idx="85">
                  <c:v>20121</c:v>
                </c:pt>
                <c:pt idx="86">
                  <c:v>20149</c:v>
                </c:pt>
                <c:pt idx="87">
                  <c:v>20180</c:v>
                </c:pt>
                <c:pt idx="88">
                  <c:v>20210</c:v>
                </c:pt>
                <c:pt idx="89">
                  <c:v>20241</c:v>
                </c:pt>
                <c:pt idx="90">
                  <c:v>20271</c:v>
                </c:pt>
                <c:pt idx="91">
                  <c:v>20302</c:v>
                </c:pt>
                <c:pt idx="92">
                  <c:v>20333</c:v>
                </c:pt>
                <c:pt idx="93">
                  <c:v>20363</c:v>
                </c:pt>
                <c:pt idx="94">
                  <c:v>20394</c:v>
                </c:pt>
                <c:pt idx="95">
                  <c:v>20424</c:v>
                </c:pt>
                <c:pt idx="96">
                  <c:v>20455</c:v>
                </c:pt>
                <c:pt idx="97">
                  <c:v>20486</c:v>
                </c:pt>
                <c:pt idx="98">
                  <c:v>20515</c:v>
                </c:pt>
                <c:pt idx="99">
                  <c:v>20546</c:v>
                </c:pt>
                <c:pt idx="100">
                  <c:v>20576</c:v>
                </c:pt>
                <c:pt idx="101">
                  <c:v>20607</c:v>
                </c:pt>
                <c:pt idx="102">
                  <c:v>20637</c:v>
                </c:pt>
                <c:pt idx="103">
                  <c:v>20668</c:v>
                </c:pt>
                <c:pt idx="104">
                  <c:v>20699</c:v>
                </c:pt>
                <c:pt idx="105">
                  <c:v>20729</c:v>
                </c:pt>
                <c:pt idx="106">
                  <c:v>20760</c:v>
                </c:pt>
                <c:pt idx="107">
                  <c:v>20790</c:v>
                </c:pt>
                <c:pt idx="108">
                  <c:v>20821</c:v>
                </c:pt>
                <c:pt idx="109">
                  <c:v>20852</c:v>
                </c:pt>
                <c:pt idx="110">
                  <c:v>20880</c:v>
                </c:pt>
                <c:pt idx="111">
                  <c:v>20911</c:v>
                </c:pt>
                <c:pt idx="112">
                  <c:v>20941</c:v>
                </c:pt>
                <c:pt idx="113">
                  <c:v>20972</c:v>
                </c:pt>
                <c:pt idx="114">
                  <c:v>21002</c:v>
                </c:pt>
                <c:pt idx="115">
                  <c:v>21033</c:v>
                </c:pt>
                <c:pt idx="116">
                  <c:v>21064</c:v>
                </c:pt>
                <c:pt idx="117">
                  <c:v>21094</c:v>
                </c:pt>
                <c:pt idx="118">
                  <c:v>21125</c:v>
                </c:pt>
                <c:pt idx="119">
                  <c:v>21155</c:v>
                </c:pt>
                <c:pt idx="120">
                  <c:v>21186</c:v>
                </c:pt>
                <c:pt idx="121">
                  <c:v>21217</c:v>
                </c:pt>
                <c:pt idx="122">
                  <c:v>21245</c:v>
                </c:pt>
                <c:pt idx="123">
                  <c:v>21276</c:v>
                </c:pt>
                <c:pt idx="124">
                  <c:v>21306</c:v>
                </c:pt>
                <c:pt idx="125">
                  <c:v>21337</c:v>
                </c:pt>
                <c:pt idx="126">
                  <c:v>21367</c:v>
                </c:pt>
                <c:pt idx="127">
                  <c:v>21398</c:v>
                </c:pt>
                <c:pt idx="128">
                  <c:v>21429</c:v>
                </c:pt>
                <c:pt idx="129">
                  <c:v>21459</c:v>
                </c:pt>
                <c:pt idx="130">
                  <c:v>21490</c:v>
                </c:pt>
                <c:pt idx="131">
                  <c:v>21520</c:v>
                </c:pt>
                <c:pt idx="132">
                  <c:v>21551</c:v>
                </c:pt>
                <c:pt idx="133">
                  <c:v>21582</c:v>
                </c:pt>
                <c:pt idx="134">
                  <c:v>21610</c:v>
                </c:pt>
                <c:pt idx="135">
                  <c:v>21641</c:v>
                </c:pt>
                <c:pt idx="136">
                  <c:v>21671</c:v>
                </c:pt>
                <c:pt idx="137">
                  <c:v>21702</c:v>
                </c:pt>
                <c:pt idx="138">
                  <c:v>21732</c:v>
                </c:pt>
                <c:pt idx="139">
                  <c:v>21763</c:v>
                </c:pt>
                <c:pt idx="140">
                  <c:v>21794</c:v>
                </c:pt>
                <c:pt idx="141">
                  <c:v>21824</c:v>
                </c:pt>
                <c:pt idx="142">
                  <c:v>21855</c:v>
                </c:pt>
                <c:pt idx="143">
                  <c:v>21885</c:v>
                </c:pt>
                <c:pt idx="144">
                  <c:v>21916</c:v>
                </c:pt>
                <c:pt idx="145">
                  <c:v>21947</c:v>
                </c:pt>
                <c:pt idx="146">
                  <c:v>21976</c:v>
                </c:pt>
                <c:pt idx="147">
                  <c:v>22007</c:v>
                </c:pt>
                <c:pt idx="148">
                  <c:v>22037</c:v>
                </c:pt>
                <c:pt idx="149">
                  <c:v>22068</c:v>
                </c:pt>
                <c:pt idx="150">
                  <c:v>22098</c:v>
                </c:pt>
                <c:pt idx="151">
                  <c:v>22129</c:v>
                </c:pt>
                <c:pt idx="152">
                  <c:v>22160</c:v>
                </c:pt>
                <c:pt idx="153">
                  <c:v>22190</c:v>
                </c:pt>
                <c:pt idx="154">
                  <c:v>22221</c:v>
                </c:pt>
                <c:pt idx="155">
                  <c:v>22251</c:v>
                </c:pt>
                <c:pt idx="156">
                  <c:v>22282</c:v>
                </c:pt>
                <c:pt idx="157">
                  <c:v>22313</c:v>
                </c:pt>
                <c:pt idx="158">
                  <c:v>22341</c:v>
                </c:pt>
                <c:pt idx="159">
                  <c:v>22372</c:v>
                </c:pt>
                <c:pt idx="160">
                  <c:v>22402</c:v>
                </c:pt>
                <c:pt idx="161">
                  <c:v>22433</c:v>
                </c:pt>
                <c:pt idx="162">
                  <c:v>22463</c:v>
                </c:pt>
                <c:pt idx="163">
                  <c:v>22494</c:v>
                </c:pt>
                <c:pt idx="164">
                  <c:v>22525</c:v>
                </c:pt>
                <c:pt idx="165">
                  <c:v>22555</c:v>
                </c:pt>
                <c:pt idx="166">
                  <c:v>22586</c:v>
                </c:pt>
                <c:pt idx="167">
                  <c:v>22616</c:v>
                </c:pt>
                <c:pt idx="168">
                  <c:v>22647</c:v>
                </c:pt>
                <c:pt idx="169">
                  <c:v>22678</c:v>
                </c:pt>
                <c:pt idx="170">
                  <c:v>22706</c:v>
                </c:pt>
                <c:pt idx="171">
                  <c:v>22737</c:v>
                </c:pt>
                <c:pt idx="172">
                  <c:v>22767</c:v>
                </c:pt>
                <c:pt idx="173">
                  <c:v>22798</c:v>
                </c:pt>
                <c:pt idx="174">
                  <c:v>22828</c:v>
                </c:pt>
                <c:pt idx="175">
                  <c:v>22859</c:v>
                </c:pt>
                <c:pt idx="176">
                  <c:v>22890</c:v>
                </c:pt>
                <c:pt idx="177">
                  <c:v>22920</c:v>
                </c:pt>
                <c:pt idx="178">
                  <c:v>22951</c:v>
                </c:pt>
                <c:pt idx="179">
                  <c:v>22981</c:v>
                </c:pt>
                <c:pt idx="180">
                  <c:v>23012</c:v>
                </c:pt>
                <c:pt idx="181">
                  <c:v>23043</c:v>
                </c:pt>
                <c:pt idx="182">
                  <c:v>23071</c:v>
                </c:pt>
                <c:pt idx="183">
                  <c:v>23102</c:v>
                </c:pt>
                <c:pt idx="184">
                  <c:v>23132</c:v>
                </c:pt>
                <c:pt idx="185">
                  <c:v>23163</c:v>
                </c:pt>
                <c:pt idx="186">
                  <c:v>23193</c:v>
                </c:pt>
                <c:pt idx="187">
                  <c:v>23224</c:v>
                </c:pt>
                <c:pt idx="188">
                  <c:v>23255</c:v>
                </c:pt>
                <c:pt idx="189">
                  <c:v>23285</c:v>
                </c:pt>
                <c:pt idx="190">
                  <c:v>23316</c:v>
                </c:pt>
                <c:pt idx="191">
                  <c:v>23346</c:v>
                </c:pt>
                <c:pt idx="192">
                  <c:v>23377</c:v>
                </c:pt>
                <c:pt idx="193">
                  <c:v>23408</c:v>
                </c:pt>
                <c:pt idx="194">
                  <c:v>23437</c:v>
                </c:pt>
                <c:pt idx="195">
                  <c:v>23468</c:v>
                </c:pt>
                <c:pt idx="196">
                  <c:v>23498</c:v>
                </c:pt>
                <c:pt idx="197">
                  <c:v>23529</c:v>
                </c:pt>
                <c:pt idx="198">
                  <c:v>23559</c:v>
                </c:pt>
                <c:pt idx="199">
                  <c:v>23590</c:v>
                </c:pt>
                <c:pt idx="200">
                  <c:v>23621</c:v>
                </c:pt>
                <c:pt idx="201">
                  <c:v>23651</c:v>
                </c:pt>
                <c:pt idx="202">
                  <c:v>23682</c:v>
                </c:pt>
                <c:pt idx="203">
                  <c:v>23712</c:v>
                </c:pt>
                <c:pt idx="204">
                  <c:v>23743</c:v>
                </c:pt>
                <c:pt idx="205">
                  <c:v>23774</c:v>
                </c:pt>
                <c:pt idx="206">
                  <c:v>23802</c:v>
                </c:pt>
                <c:pt idx="207">
                  <c:v>23833</c:v>
                </c:pt>
                <c:pt idx="208">
                  <c:v>23863</c:v>
                </c:pt>
                <c:pt idx="209">
                  <c:v>23894</c:v>
                </c:pt>
                <c:pt idx="210">
                  <c:v>23924</c:v>
                </c:pt>
                <c:pt idx="211">
                  <c:v>23955</c:v>
                </c:pt>
                <c:pt idx="212">
                  <c:v>23986</c:v>
                </c:pt>
                <c:pt idx="213">
                  <c:v>24016</c:v>
                </c:pt>
                <c:pt idx="214">
                  <c:v>24047</c:v>
                </c:pt>
                <c:pt idx="215">
                  <c:v>24077</c:v>
                </c:pt>
                <c:pt idx="216">
                  <c:v>24108</c:v>
                </c:pt>
                <c:pt idx="217">
                  <c:v>24139</c:v>
                </c:pt>
                <c:pt idx="218">
                  <c:v>24167</c:v>
                </c:pt>
                <c:pt idx="219">
                  <c:v>24198</c:v>
                </c:pt>
                <c:pt idx="220">
                  <c:v>24228</c:v>
                </c:pt>
                <c:pt idx="221">
                  <c:v>24259</c:v>
                </c:pt>
                <c:pt idx="222">
                  <c:v>24289</c:v>
                </c:pt>
                <c:pt idx="223">
                  <c:v>24320</c:v>
                </c:pt>
                <c:pt idx="224">
                  <c:v>24351</c:v>
                </c:pt>
                <c:pt idx="225">
                  <c:v>24381</c:v>
                </c:pt>
                <c:pt idx="226">
                  <c:v>24412</c:v>
                </c:pt>
                <c:pt idx="227">
                  <c:v>24442</c:v>
                </c:pt>
                <c:pt idx="228">
                  <c:v>24473</c:v>
                </c:pt>
                <c:pt idx="229">
                  <c:v>24504</c:v>
                </c:pt>
                <c:pt idx="230">
                  <c:v>24532</c:v>
                </c:pt>
                <c:pt idx="231">
                  <c:v>24563</c:v>
                </c:pt>
                <c:pt idx="232">
                  <c:v>24593</c:v>
                </c:pt>
                <c:pt idx="233">
                  <c:v>24624</c:v>
                </c:pt>
                <c:pt idx="234">
                  <c:v>24654</c:v>
                </c:pt>
                <c:pt idx="235">
                  <c:v>24685</c:v>
                </c:pt>
                <c:pt idx="236">
                  <c:v>24716</c:v>
                </c:pt>
                <c:pt idx="237">
                  <c:v>24746</c:v>
                </c:pt>
                <c:pt idx="238">
                  <c:v>24777</c:v>
                </c:pt>
                <c:pt idx="239">
                  <c:v>24807</c:v>
                </c:pt>
                <c:pt idx="240">
                  <c:v>24838</c:v>
                </c:pt>
                <c:pt idx="241">
                  <c:v>24869</c:v>
                </c:pt>
                <c:pt idx="242">
                  <c:v>24898</c:v>
                </c:pt>
                <c:pt idx="243">
                  <c:v>24929</c:v>
                </c:pt>
                <c:pt idx="244">
                  <c:v>24959</c:v>
                </c:pt>
                <c:pt idx="245">
                  <c:v>24990</c:v>
                </c:pt>
                <c:pt idx="246">
                  <c:v>25020</c:v>
                </c:pt>
                <c:pt idx="247">
                  <c:v>25051</c:v>
                </c:pt>
                <c:pt idx="248">
                  <c:v>25082</c:v>
                </c:pt>
                <c:pt idx="249">
                  <c:v>25112</c:v>
                </c:pt>
                <c:pt idx="250">
                  <c:v>25143</c:v>
                </c:pt>
                <c:pt idx="251">
                  <c:v>25173</c:v>
                </c:pt>
                <c:pt idx="252">
                  <c:v>25204</c:v>
                </c:pt>
                <c:pt idx="253">
                  <c:v>25235</c:v>
                </c:pt>
                <c:pt idx="254">
                  <c:v>25263</c:v>
                </c:pt>
                <c:pt idx="255">
                  <c:v>25294</c:v>
                </c:pt>
                <c:pt idx="256">
                  <c:v>25324</c:v>
                </c:pt>
                <c:pt idx="257">
                  <c:v>25355</c:v>
                </c:pt>
                <c:pt idx="258">
                  <c:v>25385</c:v>
                </c:pt>
                <c:pt idx="259">
                  <c:v>25416</c:v>
                </c:pt>
                <c:pt idx="260">
                  <c:v>25447</c:v>
                </c:pt>
                <c:pt idx="261">
                  <c:v>25477</c:v>
                </c:pt>
                <c:pt idx="262">
                  <c:v>25508</c:v>
                </c:pt>
                <c:pt idx="263">
                  <c:v>25538</c:v>
                </c:pt>
                <c:pt idx="264">
                  <c:v>25569</c:v>
                </c:pt>
                <c:pt idx="265">
                  <c:v>25600</c:v>
                </c:pt>
                <c:pt idx="266">
                  <c:v>25628</c:v>
                </c:pt>
                <c:pt idx="267">
                  <c:v>25659</c:v>
                </c:pt>
                <c:pt idx="268">
                  <c:v>25689</c:v>
                </c:pt>
                <c:pt idx="269">
                  <c:v>25720</c:v>
                </c:pt>
                <c:pt idx="270">
                  <c:v>25750</c:v>
                </c:pt>
                <c:pt idx="271">
                  <c:v>25781</c:v>
                </c:pt>
                <c:pt idx="272">
                  <c:v>25812</c:v>
                </c:pt>
                <c:pt idx="273">
                  <c:v>25842</c:v>
                </c:pt>
                <c:pt idx="274">
                  <c:v>25873</c:v>
                </c:pt>
                <c:pt idx="275">
                  <c:v>25903</c:v>
                </c:pt>
                <c:pt idx="276">
                  <c:v>25934</c:v>
                </c:pt>
                <c:pt idx="277">
                  <c:v>25965</c:v>
                </c:pt>
                <c:pt idx="278">
                  <c:v>25993</c:v>
                </c:pt>
                <c:pt idx="279">
                  <c:v>26024</c:v>
                </c:pt>
                <c:pt idx="280">
                  <c:v>26054</c:v>
                </c:pt>
                <c:pt idx="281">
                  <c:v>26085</c:v>
                </c:pt>
                <c:pt idx="282">
                  <c:v>26115</c:v>
                </c:pt>
                <c:pt idx="283">
                  <c:v>26146</c:v>
                </c:pt>
                <c:pt idx="284">
                  <c:v>26177</c:v>
                </c:pt>
                <c:pt idx="285">
                  <c:v>26207</c:v>
                </c:pt>
                <c:pt idx="286">
                  <c:v>26238</c:v>
                </c:pt>
                <c:pt idx="287">
                  <c:v>26268</c:v>
                </c:pt>
                <c:pt idx="288">
                  <c:v>26299</c:v>
                </c:pt>
                <c:pt idx="289">
                  <c:v>26330</c:v>
                </c:pt>
                <c:pt idx="290">
                  <c:v>26359</c:v>
                </c:pt>
                <c:pt idx="291">
                  <c:v>26390</c:v>
                </c:pt>
                <c:pt idx="292">
                  <c:v>26420</c:v>
                </c:pt>
                <c:pt idx="293">
                  <c:v>26451</c:v>
                </c:pt>
                <c:pt idx="294">
                  <c:v>26481</c:v>
                </c:pt>
                <c:pt idx="295">
                  <c:v>26512</c:v>
                </c:pt>
                <c:pt idx="296">
                  <c:v>26543</c:v>
                </c:pt>
                <c:pt idx="297">
                  <c:v>26573</c:v>
                </c:pt>
                <c:pt idx="298">
                  <c:v>26604</c:v>
                </c:pt>
                <c:pt idx="299">
                  <c:v>26634</c:v>
                </c:pt>
                <c:pt idx="300">
                  <c:v>26665</c:v>
                </c:pt>
                <c:pt idx="301">
                  <c:v>26696</c:v>
                </c:pt>
                <c:pt idx="302">
                  <c:v>26724</c:v>
                </c:pt>
                <c:pt idx="303">
                  <c:v>26755</c:v>
                </c:pt>
                <c:pt idx="304">
                  <c:v>26785</c:v>
                </c:pt>
                <c:pt idx="305">
                  <c:v>26816</c:v>
                </c:pt>
                <c:pt idx="306">
                  <c:v>26846</c:v>
                </c:pt>
                <c:pt idx="307">
                  <c:v>26877</c:v>
                </c:pt>
                <c:pt idx="308">
                  <c:v>26908</c:v>
                </c:pt>
                <c:pt idx="309">
                  <c:v>26938</c:v>
                </c:pt>
                <c:pt idx="310">
                  <c:v>26969</c:v>
                </c:pt>
                <c:pt idx="311">
                  <c:v>26999</c:v>
                </c:pt>
                <c:pt idx="312">
                  <c:v>27030</c:v>
                </c:pt>
                <c:pt idx="313">
                  <c:v>27061</c:v>
                </c:pt>
                <c:pt idx="314">
                  <c:v>27089</c:v>
                </c:pt>
                <c:pt idx="315">
                  <c:v>27120</c:v>
                </c:pt>
                <c:pt idx="316">
                  <c:v>27150</c:v>
                </c:pt>
                <c:pt idx="317">
                  <c:v>27181</c:v>
                </c:pt>
                <c:pt idx="318">
                  <c:v>27211</c:v>
                </c:pt>
                <c:pt idx="319">
                  <c:v>27242</c:v>
                </c:pt>
                <c:pt idx="320">
                  <c:v>27273</c:v>
                </c:pt>
                <c:pt idx="321">
                  <c:v>27303</c:v>
                </c:pt>
                <c:pt idx="322">
                  <c:v>27334</c:v>
                </c:pt>
                <c:pt idx="323">
                  <c:v>27364</c:v>
                </c:pt>
                <c:pt idx="324">
                  <c:v>27395</c:v>
                </c:pt>
                <c:pt idx="325">
                  <c:v>27426</c:v>
                </c:pt>
                <c:pt idx="326">
                  <c:v>27454</c:v>
                </c:pt>
                <c:pt idx="327">
                  <c:v>27485</c:v>
                </c:pt>
                <c:pt idx="328">
                  <c:v>27515</c:v>
                </c:pt>
                <c:pt idx="329">
                  <c:v>27546</c:v>
                </c:pt>
                <c:pt idx="330">
                  <c:v>27576</c:v>
                </c:pt>
                <c:pt idx="331">
                  <c:v>27607</c:v>
                </c:pt>
                <c:pt idx="332">
                  <c:v>27638</c:v>
                </c:pt>
                <c:pt idx="333">
                  <c:v>27668</c:v>
                </c:pt>
                <c:pt idx="334">
                  <c:v>27699</c:v>
                </c:pt>
                <c:pt idx="335">
                  <c:v>27729</c:v>
                </c:pt>
                <c:pt idx="336">
                  <c:v>27760</c:v>
                </c:pt>
                <c:pt idx="337">
                  <c:v>27791</c:v>
                </c:pt>
                <c:pt idx="338">
                  <c:v>27820</c:v>
                </c:pt>
                <c:pt idx="339">
                  <c:v>27851</c:v>
                </c:pt>
                <c:pt idx="340">
                  <c:v>27881</c:v>
                </c:pt>
                <c:pt idx="341">
                  <c:v>27912</c:v>
                </c:pt>
                <c:pt idx="342">
                  <c:v>27942</c:v>
                </c:pt>
                <c:pt idx="343">
                  <c:v>27973</c:v>
                </c:pt>
                <c:pt idx="344">
                  <c:v>28004</c:v>
                </c:pt>
                <c:pt idx="345">
                  <c:v>28034</c:v>
                </c:pt>
                <c:pt idx="346">
                  <c:v>28065</c:v>
                </c:pt>
                <c:pt idx="347">
                  <c:v>28095</c:v>
                </c:pt>
                <c:pt idx="348">
                  <c:v>28126</c:v>
                </c:pt>
                <c:pt idx="349">
                  <c:v>28157</c:v>
                </c:pt>
                <c:pt idx="350">
                  <c:v>28185</c:v>
                </c:pt>
                <c:pt idx="351">
                  <c:v>28216</c:v>
                </c:pt>
                <c:pt idx="352">
                  <c:v>28246</c:v>
                </c:pt>
                <c:pt idx="353">
                  <c:v>28277</c:v>
                </c:pt>
                <c:pt idx="354">
                  <c:v>28307</c:v>
                </c:pt>
                <c:pt idx="355">
                  <c:v>28338</c:v>
                </c:pt>
                <c:pt idx="356">
                  <c:v>28369</c:v>
                </c:pt>
                <c:pt idx="357">
                  <c:v>28399</c:v>
                </c:pt>
                <c:pt idx="358">
                  <c:v>28430</c:v>
                </c:pt>
                <c:pt idx="359">
                  <c:v>28460</c:v>
                </c:pt>
                <c:pt idx="360">
                  <c:v>28491</c:v>
                </c:pt>
                <c:pt idx="361">
                  <c:v>28522</c:v>
                </c:pt>
                <c:pt idx="362">
                  <c:v>28550</c:v>
                </c:pt>
                <c:pt idx="363">
                  <c:v>28581</c:v>
                </c:pt>
                <c:pt idx="364">
                  <c:v>28611</c:v>
                </c:pt>
                <c:pt idx="365">
                  <c:v>28642</c:v>
                </c:pt>
                <c:pt idx="366">
                  <c:v>28672</c:v>
                </c:pt>
                <c:pt idx="367">
                  <c:v>28703</c:v>
                </c:pt>
                <c:pt idx="368">
                  <c:v>28734</c:v>
                </c:pt>
                <c:pt idx="369">
                  <c:v>28764</c:v>
                </c:pt>
                <c:pt idx="370">
                  <c:v>28795</c:v>
                </c:pt>
                <c:pt idx="371">
                  <c:v>28825</c:v>
                </c:pt>
                <c:pt idx="372">
                  <c:v>28856</c:v>
                </c:pt>
                <c:pt idx="373">
                  <c:v>28887</c:v>
                </c:pt>
                <c:pt idx="374">
                  <c:v>28915</c:v>
                </c:pt>
                <c:pt idx="375">
                  <c:v>28946</c:v>
                </c:pt>
                <c:pt idx="376">
                  <c:v>28976</c:v>
                </c:pt>
                <c:pt idx="377">
                  <c:v>29007</c:v>
                </c:pt>
                <c:pt idx="378">
                  <c:v>29037</c:v>
                </c:pt>
                <c:pt idx="379">
                  <c:v>29068</c:v>
                </c:pt>
                <c:pt idx="380">
                  <c:v>29099</c:v>
                </c:pt>
                <c:pt idx="381">
                  <c:v>29129</c:v>
                </c:pt>
                <c:pt idx="382">
                  <c:v>29160</c:v>
                </c:pt>
                <c:pt idx="383">
                  <c:v>29190</c:v>
                </c:pt>
                <c:pt idx="384">
                  <c:v>29221</c:v>
                </c:pt>
                <c:pt idx="385">
                  <c:v>29252</c:v>
                </c:pt>
                <c:pt idx="386">
                  <c:v>29281</c:v>
                </c:pt>
                <c:pt idx="387">
                  <c:v>29312</c:v>
                </c:pt>
                <c:pt idx="388">
                  <c:v>29342</c:v>
                </c:pt>
                <c:pt idx="389">
                  <c:v>29373</c:v>
                </c:pt>
                <c:pt idx="390">
                  <c:v>29403</c:v>
                </c:pt>
                <c:pt idx="391">
                  <c:v>29434</c:v>
                </c:pt>
                <c:pt idx="392">
                  <c:v>29465</c:v>
                </c:pt>
                <c:pt idx="393">
                  <c:v>29495</c:v>
                </c:pt>
                <c:pt idx="394">
                  <c:v>29526</c:v>
                </c:pt>
                <c:pt idx="395">
                  <c:v>29556</c:v>
                </c:pt>
                <c:pt idx="396">
                  <c:v>29587</c:v>
                </c:pt>
                <c:pt idx="397">
                  <c:v>29618</c:v>
                </c:pt>
                <c:pt idx="398">
                  <c:v>29646</c:v>
                </c:pt>
                <c:pt idx="399">
                  <c:v>29677</c:v>
                </c:pt>
                <c:pt idx="400">
                  <c:v>29707</c:v>
                </c:pt>
                <c:pt idx="401">
                  <c:v>29738</c:v>
                </c:pt>
                <c:pt idx="402">
                  <c:v>29768</c:v>
                </c:pt>
                <c:pt idx="403">
                  <c:v>29799</c:v>
                </c:pt>
                <c:pt idx="404">
                  <c:v>29830</c:v>
                </c:pt>
                <c:pt idx="405">
                  <c:v>29860</c:v>
                </c:pt>
                <c:pt idx="406">
                  <c:v>29891</c:v>
                </c:pt>
                <c:pt idx="407">
                  <c:v>29921</c:v>
                </c:pt>
                <c:pt idx="408">
                  <c:v>29952</c:v>
                </c:pt>
                <c:pt idx="409">
                  <c:v>29983</c:v>
                </c:pt>
                <c:pt idx="410">
                  <c:v>30011</c:v>
                </c:pt>
                <c:pt idx="411">
                  <c:v>30042</c:v>
                </c:pt>
                <c:pt idx="412">
                  <c:v>30072</c:v>
                </c:pt>
                <c:pt idx="413">
                  <c:v>30103</c:v>
                </c:pt>
                <c:pt idx="414">
                  <c:v>30133</c:v>
                </c:pt>
                <c:pt idx="415">
                  <c:v>30164</c:v>
                </c:pt>
                <c:pt idx="416">
                  <c:v>30195</c:v>
                </c:pt>
                <c:pt idx="417">
                  <c:v>30225</c:v>
                </c:pt>
                <c:pt idx="418">
                  <c:v>30256</c:v>
                </c:pt>
                <c:pt idx="419">
                  <c:v>30286</c:v>
                </c:pt>
                <c:pt idx="420">
                  <c:v>30317</c:v>
                </c:pt>
                <c:pt idx="421">
                  <c:v>30348</c:v>
                </c:pt>
                <c:pt idx="422">
                  <c:v>30376</c:v>
                </c:pt>
                <c:pt idx="423">
                  <c:v>30407</c:v>
                </c:pt>
                <c:pt idx="424">
                  <c:v>30437</c:v>
                </c:pt>
                <c:pt idx="425">
                  <c:v>30468</c:v>
                </c:pt>
                <c:pt idx="426">
                  <c:v>30498</c:v>
                </c:pt>
                <c:pt idx="427">
                  <c:v>30529</c:v>
                </c:pt>
                <c:pt idx="428">
                  <c:v>30560</c:v>
                </c:pt>
                <c:pt idx="429">
                  <c:v>30590</c:v>
                </c:pt>
                <c:pt idx="430">
                  <c:v>30621</c:v>
                </c:pt>
                <c:pt idx="431">
                  <c:v>30651</c:v>
                </c:pt>
                <c:pt idx="432">
                  <c:v>30682</c:v>
                </c:pt>
                <c:pt idx="433">
                  <c:v>30713</c:v>
                </c:pt>
                <c:pt idx="434">
                  <c:v>30742</c:v>
                </c:pt>
                <c:pt idx="435">
                  <c:v>30773</c:v>
                </c:pt>
                <c:pt idx="436">
                  <c:v>30803</c:v>
                </c:pt>
                <c:pt idx="437">
                  <c:v>30834</c:v>
                </c:pt>
                <c:pt idx="438">
                  <c:v>30864</c:v>
                </c:pt>
                <c:pt idx="439">
                  <c:v>30895</c:v>
                </c:pt>
                <c:pt idx="440">
                  <c:v>30926</c:v>
                </c:pt>
                <c:pt idx="441">
                  <c:v>30956</c:v>
                </c:pt>
                <c:pt idx="442">
                  <c:v>30987</c:v>
                </c:pt>
                <c:pt idx="443">
                  <c:v>31017</c:v>
                </c:pt>
                <c:pt idx="444">
                  <c:v>31048</c:v>
                </c:pt>
                <c:pt idx="445">
                  <c:v>31079</c:v>
                </c:pt>
                <c:pt idx="446">
                  <c:v>31107</c:v>
                </c:pt>
                <c:pt idx="447">
                  <c:v>31138</c:v>
                </c:pt>
                <c:pt idx="448">
                  <c:v>31168</c:v>
                </c:pt>
                <c:pt idx="449">
                  <c:v>31199</c:v>
                </c:pt>
                <c:pt idx="450">
                  <c:v>31229</c:v>
                </c:pt>
                <c:pt idx="451">
                  <c:v>31260</c:v>
                </c:pt>
                <c:pt idx="452">
                  <c:v>31291</c:v>
                </c:pt>
                <c:pt idx="453">
                  <c:v>31321</c:v>
                </c:pt>
                <c:pt idx="454">
                  <c:v>31352</c:v>
                </c:pt>
                <c:pt idx="455">
                  <c:v>31382</c:v>
                </c:pt>
                <c:pt idx="456">
                  <c:v>31413</c:v>
                </c:pt>
                <c:pt idx="457">
                  <c:v>31444</c:v>
                </c:pt>
                <c:pt idx="458">
                  <c:v>31472</c:v>
                </c:pt>
                <c:pt idx="459">
                  <c:v>31503</c:v>
                </c:pt>
                <c:pt idx="460">
                  <c:v>31533</c:v>
                </c:pt>
                <c:pt idx="461">
                  <c:v>31564</c:v>
                </c:pt>
                <c:pt idx="462">
                  <c:v>31594</c:v>
                </c:pt>
                <c:pt idx="463">
                  <c:v>31625</c:v>
                </c:pt>
                <c:pt idx="464">
                  <c:v>31656</c:v>
                </c:pt>
                <c:pt idx="465">
                  <c:v>31686</c:v>
                </c:pt>
                <c:pt idx="466">
                  <c:v>31717</c:v>
                </c:pt>
                <c:pt idx="467">
                  <c:v>31747</c:v>
                </c:pt>
                <c:pt idx="468">
                  <c:v>31778</c:v>
                </c:pt>
                <c:pt idx="469">
                  <c:v>31809</c:v>
                </c:pt>
                <c:pt idx="470">
                  <c:v>31837</c:v>
                </c:pt>
                <c:pt idx="471">
                  <c:v>31868</c:v>
                </c:pt>
                <c:pt idx="472">
                  <c:v>31898</c:v>
                </c:pt>
                <c:pt idx="473">
                  <c:v>31929</c:v>
                </c:pt>
                <c:pt idx="474">
                  <c:v>31959</c:v>
                </c:pt>
                <c:pt idx="475">
                  <c:v>31990</c:v>
                </c:pt>
                <c:pt idx="476">
                  <c:v>32021</c:v>
                </c:pt>
                <c:pt idx="477">
                  <c:v>32051</c:v>
                </c:pt>
                <c:pt idx="478">
                  <c:v>32082</c:v>
                </c:pt>
                <c:pt idx="479">
                  <c:v>32112</c:v>
                </c:pt>
                <c:pt idx="480">
                  <c:v>32143</c:v>
                </c:pt>
                <c:pt idx="481">
                  <c:v>32174</c:v>
                </c:pt>
                <c:pt idx="482">
                  <c:v>32203</c:v>
                </c:pt>
                <c:pt idx="483">
                  <c:v>32234</c:v>
                </c:pt>
                <c:pt idx="484">
                  <c:v>32264</c:v>
                </c:pt>
                <c:pt idx="485">
                  <c:v>32295</c:v>
                </c:pt>
                <c:pt idx="486">
                  <c:v>32325</c:v>
                </c:pt>
                <c:pt idx="487">
                  <c:v>32356</c:v>
                </c:pt>
                <c:pt idx="488">
                  <c:v>32387</c:v>
                </c:pt>
                <c:pt idx="489">
                  <c:v>32417</c:v>
                </c:pt>
                <c:pt idx="490">
                  <c:v>32448</c:v>
                </c:pt>
                <c:pt idx="491">
                  <c:v>32478</c:v>
                </c:pt>
                <c:pt idx="492">
                  <c:v>32509</c:v>
                </c:pt>
                <c:pt idx="493">
                  <c:v>32540</c:v>
                </c:pt>
                <c:pt idx="494">
                  <c:v>32568</c:v>
                </c:pt>
                <c:pt idx="495">
                  <c:v>32599</c:v>
                </c:pt>
                <c:pt idx="496">
                  <c:v>32629</c:v>
                </c:pt>
                <c:pt idx="497">
                  <c:v>32660</c:v>
                </c:pt>
                <c:pt idx="498">
                  <c:v>32690</c:v>
                </c:pt>
                <c:pt idx="499">
                  <c:v>32721</c:v>
                </c:pt>
                <c:pt idx="500">
                  <c:v>32752</c:v>
                </c:pt>
                <c:pt idx="501">
                  <c:v>32782</c:v>
                </c:pt>
                <c:pt idx="502">
                  <c:v>32813</c:v>
                </c:pt>
                <c:pt idx="503">
                  <c:v>32843</c:v>
                </c:pt>
                <c:pt idx="504">
                  <c:v>32874</c:v>
                </c:pt>
                <c:pt idx="505">
                  <c:v>32905</c:v>
                </c:pt>
                <c:pt idx="506">
                  <c:v>32933</c:v>
                </c:pt>
                <c:pt idx="507">
                  <c:v>32964</c:v>
                </c:pt>
                <c:pt idx="508">
                  <c:v>32994</c:v>
                </c:pt>
                <c:pt idx="509">
                  <c:v>33025</c:v>
                </c:pt>
                <c:pt idx="510">
                  <c:v>33055</c:v>
                </c:pt>
                <c:pt idx="511">
                  <c:v>33086</c:v>
                </c:pt>
                <c:pt idx="512">
                  <c:v>33117</c:v>
                </c:pt>
                <c:pt idx="513">
                  <c:v>33147</c:v>
                </c:pt>
                <c:pt idx="514">
                  <c:v>33178</c:v>
                </c:pt>
                <c:pt idx="515">
                  <c:v>33208</c:v>
                </c:pt>
                <c:pt idx="516">
                  <c:v>33239</c:v>
                </c:pt>
                <c:pt idx="517">
                  <c:v>33270</c:v>
                </c:pt>
                <c:pt idx="518">
                  <c:v>33298</c:v>
                </c:pt>
                <c:pt idx="519">
                  <c:v>33329</c:v>
                </c:pt>
                <c:pt idx="520">
                  <c:v>33359</c:v>
                </c:pt>
                <c:pt idx="521">
                  <c:v>33390</c:v>
                </c:pt>
                <c:pt idx="522">
                  <c:v>33420</c:v>
                </c:pt>
                <c:pt idx="523">
                  <c:v>33451</c:v>
                </c:pt>
                <c:pt idx="524">
                  <c:v>33482</c:v>
                </c:pt>
                <c:pt idx="525">
                  <c:v>33512</c:v>
                </c:pt>
                <c:pt idx="526">
                  <c:v>33543</c:v>
                </c:pt>
                <c:pt idx="527">
                  <c:v>33573</c:v>
                </c:pt>
                <c:pt idx="528">
                  <c:v>33604</c:v>
                </c:pt>
                <c:pt idx="529">
                  <c:v>33635</c:v>
                </c:pt>
                <c:pt idx="530">
                  <c:v>33664</c:v>
                </c:pt>
                <c:pt idx="531">
                  <c:v>33695</c:v>
                </c:pt>
                <c:pt idx="532">
                  <c:v>33725</c:v>
                </c:pt>
                <c:pt idx="533">
                  <c:v>33756</c:v>
                </c:pt>
                <c:pt idx="534">
                  <c:v>33786</c:v>
                </c:pt>
                <c:pt idx="535">
                  <c:v>33817</c:v>
                </c:pt>
                <c:pt idx="536">
                  <c:v>33848</c:v>
                </c:pt>
                <c:pt idx="537">
                  <c:v>33878</c:v>
                </c:pt>
                <c:pt idx="538">
                  <c:v>33909</c:v>
                </c:pt>
                <c:pt idx="539">
                  <c:v>33939</c:v>
                </c:pt>
                <c:pt idx="540">
                  <c:v>33970</c:v>
                </c:pt>
                <c:pt idx="541">
                  <c:v>34001</c:v>
                </c:pt>
                <c:pt idx="542">
                  <c:v>34029</c:v>
                </c:pt>
                <c:pt idx="543">
                  <c:v>34060</c:v>
                </c:pt>
                <c:pt idx="544">
                  <c:v>34090</c:v>
                </c:pt>
                <c:pt idx="545">
                  <c:v>34121</c:v>
                </c:pt>
                <c:pt idx="546">
                  <c:v>34151</c:v>
                </c:pt>
                <c:pt idx="547">
                  <c:v>34182</c:v>
                </c:pt>
                <c:pt idx="548">
                  <c:v>34213</c:v>
                </c:pt>
                <c:pt idx="549">
                  <c:v>34243</c:v>
                </c:pt>
                <c:pt idx="550">
                  <c:v>34274</c:v>
                </c:pt>
                <c:pt idx="551">
                  <c:v>34304</c:v>
                </c:pt>
                <c:pt idx="552">
                  <c:v>34335</c:v>
                </c:pt>
                <c:pt idx="553">
                  <c:v>34366</c:v>
                </c:pt>
                <c:pt idx="554">
                  <c:v>34394</c:v>
                </c:pt>
                <c:pt idx="555">
                  <c:v>34425</c:v>
                </c:pt>
                <c:pt idx="556">
                  <c:v>34455</c:v>
                </c:pt>
                <c:pt idx="557">
                  <c:v>34486</c:v>
                </c:pt>
                <c:pt idx="558">
                  <c:v>34516</c:v>
                </c:pt>
                <c:pt idx="559">
                  <c:v>34547</c:v>
                </c:pt>
                <c:pt idx="560">
                  <c:v>34578</c:v>
                </c:pt>
                <c:pt idx="561">
                  <c:v>34608</c:v>
                </c:pt>
                <c:pt idx="562">
                  <c:v>34639</c:v>
                </c:pt>
                <c:pt idx="563">
                  <c:v>34669</c:v>
                </c:pt>
                <c:pt idx="564">
                  <c:v>34700</c:v>
                </c:pt>
                <c:pt idx="565">
                  <c:v>34731</c:v>
                </c:pt>
                <c:pt idx="566">
                  <c:v>34759</c:v>
                </c:pt>
                <c:pt idx="567">
                  <c:v>34790</c:v>
                </c:pt>
                <c:pt idx="568">
                  <c:v>34820</c:v>
                </c:pt>
                <c:pt idx="569">
                  <c:v>34851</c:v>
                </c:pt>
                <c:pt idx="570">
                  <c:v>34881</c:v>
                </c:pt>
                <c:pt idx="571">
                  <c:v>34912</c:v>
                </c:pt>
                <c:pt idx="572">
                  <c:v>34943</c:v>
                </c:pt>
                <c:pt idx="573">
                  <c:v>34973</c:v>
                </c:pt>
                <c:pt idx="574">
                  <c:v>35004</c:v>
                </c:pt>
                <c:pt idx="575">
                  <c:v>35034</c:v>
                </c:pt>
                <c:pt idx="576">
                  <c:v>35065</c:v>
                </c:pt>
                <c:pt idx="577">
                  <c:v>35096</c:v>
                </c:pt>
                <c:pt idx="578">
                  <c:v>35125</c:v>
                </c:pt>
                <c:pt idx="579">
                  <c:v>35156</c:v>
                </c:pt>
                <c:pt idx="580">
                  <c:v>35186</c:v>
                </c:pt>
                <c:pt idx="581">
                  <c:v>35217</c:v>
                </c:pt>
                <c:pt idx="582">
                  <c:v>35247</c:v>
                </c:pt>
                <c:pt idx="583">
                  <c:v>35278</c:v>
                </c:pt>
                <c:pt idx="584">
                  <c:v>35309</c:v>
                </c:pt>
                <c:pt idx="585">
                  <c:v>35339</c:v>
                </c:pt>
                <c:pt idx="586">
                  <c:v>35370</c:v>
                </c:pt>
                <c:pt idx="587">
                  <c:v>35400</c:v>
                </c:pt>
                <c:pt idx="588">
                  <c:v>35431</c:v>
                </c:pt>
                <c:pt idx="589">
                  <c:v>35462</c:v>
                </c:pt>
                <c:pt idx="590">
                  <c:v>35490</c:v>
                </c:pt>
                <c:pt idx="591">
                  <c:v>35521</c:v>
                </c:pt>
                <c:pt idx="592">
                  <c:v>35551</c:v>
                </c:pt>
                <c:pt idx="593">
                  <c:v>35582</c:v>
                </c:pt>
                <c:pt idx="594">
                  <c:v>35612</c:v>
                </c:pt>
                <c:pt idx="595">
                  <c:v>35643</c:v>
                </c:pt>
                <c:pt idx="596">
                  <c:v>35674</c:v>
                </c:pt>
                <c:pt idx="597">
                  <c:v>35704</c:v>
                </c:pt>
                <c:pt idx="598">
                  <c:v>35735</c:v>
                </c:pt>
                <c:pt idx="599">
                  <c:v>35765</c:v>
                </c:pt>
                <c:pt idx="600">
                  <c:v>35796</c:v>
                </c:pt>
                <c:pt idx="601">
                  <c:v>35827</c:v>
                </c:pt>
                <c:pt idx="602">
                  <c:v>35855</c:v>
                </c:pt>
                <c:pt idx="603">
                  <c:v>35886</c:v>
                </c:pt>
                <c:pt idx="604">
                  <c:v>35916</c:v>
                </c:pt>
                <c:pt idx="605">
                  <c:v>35947</c:v>
                </c:pt>
                <c:pt idx="606">
                  <c:v>35977</c:v>
                </c:pt>
                <c:pt idx="607">
                  <c:v>36008</c:v>
                </c:pt>
                <c:pt idx="608">
                  <c:v>36039</c:v>
                </c:pt>
                <c:pt idx="609">
                  <c:v>36069</c:v>
                </c:pt>
                <c:pt idx="610">
                  <c:v>36100</c:v>
                </c:pt>
                <c:pt idx="611">
                  <c:v>36130</c:v>
                </c:pt>
                <c:pt idx="612">
                  <c:v>36161</c:v>
                </c:pt>
                <c:pt idx="613">
                  <c:v>36192</c:v>
                </c:pt>
                <c:pt idx="614">
                  <c:v>36220</c:v>
                </c:pt>
                <c:pt idx="615">
                  <c:v>36251</c:v>
                </c:pt>
                <c:pt idx="616">
                  <c:v>36281</c:v>
                </c:pt>
                <c:pt idx="617">
                  <c:v>36312</c:v>
                </c:pt>
                <c:pt idx="618">
                  <c:v>36342</c:v>
                </c:pt>
                <c:pt idx="619">
                  <c:v>36373</c:v>
                </c:pt>
                <c:pt idx="620">
                  <c:v>36404</c:v>
                </c:pt>
                <c:pt idx="621">
                  <c:v>36434</c:v>
                </c:pt>
                <c:pt idx="622">
                  <c:v>36465</c:v>
                </c:pt>
                <c:pt idx="623">
                  <c:v>36495</c:v>
                </c:pt>
                <c:pt idx="624">
                  <c:v>36526</c:v>
                </c:pt>
                <c:pt idx="625">
                  <c:v>36557</c:v>
                </c:pt>
                <c:pt idx="626">
                  <c:v>36586</c:v>
                </c:pt>
                <c:pt idx="627">
                  <c:v>36617</c:v>
                </c:pt>
                <c:pt idx="628">
                  <c:v>36647</c:v>
                </c:pt>
                <c:pt idx="629">
                  <c:v>36678</c:v>
                </c:pt>
                <c:pt idx="630">
                  <c:v>36708</c:v>
                </c:pt>
                <c:pt idx="631">
                  <c:v>36739</c:v>
                </c:pt>
                <c:pt idx="632">
                  <c:v>36770</c:v>
                </c:pt>
                <c:pt idx="633">
                  <c:v>36800</c:v>
                </c:pt>
                <c:pt idx="634">
                  <c:v>36831</c:v>
                </c:pt>
                <c:pt idx="635">
                  <c:v>36861</c:v>
                </c:pt>
                <c:pt idx="636">
                  <c:v>36892</c:v>
                </c:pt>
                <c:pt idx="637">
                  <c:v>36923</c:v>
                </c:pt>
                <c:pt idx="638">
                  <c:v>36951</c:v>
                </c:pt>
                <c:pt idx="639">
                  <c:v>36982</c:v>
                </c:pt>
                <c:pt idx="640">
                  <c:v>37012</c:v>
                </c:pt>
                <c:pt idx="641">
                  <c:v>37043</c:v>
                </c:pt>
                <c:pt idx="642">
                  <c:v>37073</c:v>
                </c:pt>
                <c:pt idx="643">
                  <c:v>37104</c:v>
                </c:pt>
                <c:pt idx="644">
                  <c:v>37135</c:v>
                </c:pt>
                <c:pt idx="645">
                  <c:v>37165</c:v>
                </c:pt>
                <c:pt idx="646">
                  <c:v>37196</c:v>
                </c:pt>
                <c:pt idx="647">
                  <c:v>37226</c:v>
                </c:pt>
                <c:pt idx="648">
                  <c:v>37257</c:v>
                </c:pt>
                <c:pt idx="649">
                  <c:v>37288</c:v>
                </c:pt>
                <c:pt idx="650">
                  <c:v>37316</c:v>
                </c:pt>
                <c:pt idx="651">
                  <c:v>37347</c:v>
                </c:pt>
                <c:pt idx="652">
                  <c:v>37377</c:v>
                </c:pt>
                <c:pt idx="653">
                  <c:v>37408</c:v>
                </c:pt>
                <c:pt idx="654">
                  <c:v>37438</c:v>
                </c:pt>
                <c:pt idx="655">
                  <c:v>37469</c:v>
                </c:pt>
                <c:pt idx="656">
                  <c:v>37500</c:v>
                </c:pt>
                <c:pt idx="657">
                  <c:v>37530</c:v>
                </c:pt>
                <c:pt idx="658">
                  <c:v>37561</c:v>
                </c:pt>
                <c:pt idx="659">
                  <c:v>37591</c:v>
                </c:pt>
                <c:pt idx="660">
                  <c:v>37622</c:v>
                </c:pt>
                <c:pt idx="661">
                  <c:v>37653</c:v>
                </c:pt>
                <c:pt idx="662">
                  <c:v>37681</c:v>
                </c:pt>
                <c:pt idx="663">
                  <c:v>37712</c:v>
                </c:pt>
                <c:pt idx="664">
                  <c:v>37742</c:v>
                </c:pt>
                <c:pt idx="665">
                  <c:v>37773</c:v>
                </c:pt>
                <c:pt idx="666">
                  <c:v>37803</c:v>
                </c:pt>
                <c:pt idx="667">
                  <c:v>37834</c:v>
                </c:pt>
                <c:pt idx="668">
                  <c:v>37865</c:v>
                </c:pt>
                <c:pt idx="669">
                  <c:v>37895</c:v>
                </c:pt>
                <c:pt idx="670">
                  <c:v>37926</c:v>
                </c:pt>
                <c:pt idx="671">
                  <c:v>37956</c:v>
                </c:pt>
                <c:pt idx="672">
                  <c:v>37987</c:v>
                </c:pt>
                <c:pt idx="673">
                  <c:v>38018</c:v>
                </c:pt>
                <c:pt idx="674">
                  <c:v>38047</c:v>
                </c:pt>
                <c:pt idx="675">
                  <c:v>38078</c:v>
                </c:pt>
                <c:pt idx="676">
                  <c:v>38108</c:v>
                </c:pt>
                <c:pt idx="677">
                  <c:v>38139</c:v>
                </c:pt>
                <c:pt idx="678">
                  <c:v>38169</c:v>
                </c:pt>
                <c:pt idx="679">
                  <c:v>38200</c:v>
                </c:pt>
                <c:pt idx="680">
                  <c:v>38231</c:v>
                </c:pt>
                <c:pt idx="681">
                  <c:v>38261</c:v>
                </c:pt>
                <c:pt idx="682">
                  <c:v>38292</c:v>
                </c:pt>
                <c:pt idx="683">
                  <c:v>38322</c:v>
                </c:pt>
                <c:pt idx="684">
                  <c:v>38353</c:v>
                </c:pt>
                <c:pt idx="685">
                  <c:v>38384</c:v>
                </c:pt>
                <c:pt idx="686">
                  <c:v>38412</c:v>
                </c:pt>
                <c:pt idx="687">
                  <c:v>38443</c:v>
                </c:pt>
                <c:pt idx="688">
                  <c:v>38473</c:v>
                </c:pt>
                <c:pt idx="689">
                  <c:v>38504</c:v>
                </c:pt>
                <c:pt idx="690">
                  <c:v>38534</c:v>
                </c:pt>
                <c:pt idx="691">
                  <c:v>38565</c:v>
                </c:pt>
                <c:pt idx="692">
                  <c:v>38596</c:v>
                </c:pt>
                <c:pt idx="693">
                  <c:v>38626</c:v>
                </c:pt>
                <c:pt idx="694">
                  <c:v>38657</c:v>
                </c:pt>
                <c:pt idx="695">
                  <c:v>38687</c:v>
                </c:pt>
                <c:pt idx="696">
                  <c:v>38718</c:v>
                </c:pt>
                <c:pt idx="697">
                  <c:v>38749</c:v>
                </c:pt>
                <c:pt idx="698">
                  <c:v>38777</c:v>
                </c:pt>
                <c:pt idx="699">
                  <c:v>38808</c:v>
                </c:pt>
                <c:pt idx="700">
                  <c:v>38838</c:v>
                </c:pt>
                <c:pt idx="701">
                  <c:v>38869</c:v>
                </c:pt>
                <c:pt idx="702">
                  <c:v>38899</c:v>
                </c:pt>
                <c:pt idx="703">
                  <c:v>38930</c:v>
                </c:pt>
                <c:pt idx="704">
                  <c:v>38961</c:v>
                </c:pt>
                <c:pt idx="705">
                  <c:v>38991</c:v>
                </c:pt>
                <c:pt idx="706">
                  <c:v>39022</c:v>
                </c:pt>
                <c:pt idx="707">
                  <c:v>39052</c:v>
                </c:pt>
                <c:pt idx="708">
                  <c:v>39083</c:v>
                </c:pt>
                <c:pt idx="709">
                  <c:v>39114</c:v>
                </c:pt>
                <c:pt idx="710">
                  <c:v>39142</c:v>
                </c:pt>
                <c:pt idx="711">
                  <c:v>39173</c:v>
                </c:pt>
                <c:pt idx="712">
                  <c:v>39203</c:v>
                </c:pt>
                <c:pt idx="713">
                  <c:v>39234</c:v>
                </c:pt>
                <c:pt idx="714">
                  <c:v>39264</c:v>
                </c:pt>
                <c:pt idx="715">
                  <c:v>39295</c:v>
                </c:pt>
                <c:pt idx="716">
                  <c:v>39326</c:v>
                </c:pt>
                <c:pt idx="717">
                  <c:v>39356</c:v>
                </c:pt>
                <c:pt idx="718">
                  <c:v>39387</c:v>
                </c:pt>
                <c:pt idx="719">
                  <c:v>39417</c:v>
                </c:pt>
                <c:pt idx="720">
                  <c:v>39448</c:v>
                </c:pt>
                <c:pt idx="721">
                  <c:v>39479</c:v>
                </c:pt>
                <c:pt idx="722">
                  <c:v>39508</c:v>
                </c:pt>
                <c:pt idx="723">
                  <c:v>39539</c:v>
                </c:pt>
                <c:pt idx="724">
                  <c:v>39569</c:v>
                </c:pt>
                <c:pt idx="725">
                  <c:v>39600</c:v>
                </c:pt>
                <c:pt idx="726">
                  <c:v>39630</c:v>
                </c:pt>
                <c:pt idx="727">
                  <c:v>39661</c:v>
                </c:pt>
                <c:pt idx="728">
                  <c:v>39692</c:v>
                </c:pt>
                <c:pt idx="729">
                  <c:v>39722</c:v>
                </c:pt>
                <c:pt idx="730">
                  <c:v>39753</c:v>
                </c:pt>
                <c:pt idx="731">
                  <c:v>39783</c:v>
                </c:pt>
                <c:pt idx="732">
                  <c:v>39814</c:v>
                </c:pt>
                <c:pt idx="733">
                  <c:v>39845</c:v>
                </c:pt>
                <c:pt idx="734">
                  <c:v>39873</c:v>
                </c:pt>
                <c:pt idx="735">
                  <c:v>39904</c:v>
                </c:pt>
                <c:pt idx="736">
                  <c:v>39934</c:v>
                </c:pt>
                <c:pt idx="737">
                  <c:v>39965</c:v>
                </c:pt>
                <c:pt idx="738">
                  <c:v>39995</c:v>
                </c:pt>
                <c:pt idx="739">
                  <c:v>40026</c:v>
                </c:pt>
                <c:pt idx="740">
                  <c:v>40057</c:v>
                </c:pt>
                <c:pt idx="741">
                  <c:v>40087</c:v>
                </c:pt>
                <c:pt idx="742">
                  <c:v>40118</c:v>
                </c:pt>
                <c:pt idx="743">
                  <c:v>40148</c:v>
                </c:pt>
                <c:pt idx="744">
                  <c:v>40179</c:v>
                </c:pt>
                <c:pt idx="745">
                  <c:v>40210</c:v>
                </c:pt>
                <c:pt idx="746">
                  <c:v>40238</c:v>
                </c:pt>
                <c:pt idx="747">
                  <c:v>40269</c:v>
                </c:pt>
                <c:pt idx="748">
                  <c:v>40299</c:v>
                </c:pt>
                <c:pt idx="749">
                  <c:v>40330</c:v>
                </c:pt>
                <c:pt idx="750">
                  <c:v>40360</c:v>
                </c:pt>
                <c:pt idx="751">
                  <c:v>40391</c:v>
                </c:pt>
                <c:pt idx="752">
                  <c:v>40422</c:v>
                </c:pt>
                <c:pt idx="753">
                  <c:v>40452</c:v>
                </c:pt>
                <c:pt idx="754">
                  <c:v>40483</c:v>
                </c:pt>
                <c:pt idx="755">
                  <c:v>40513</c:v>
                </c:pt>
                <c:pt idx="756">
                  <c:v>40544</c:v>
                </c:pt>
                <c:pt idx="757">
                  <c:v>40575</c:v>
                </c:pt>
                <c:pt idx="758">
                  <c:v>40603</c:v>
                </c:pt>
                <c:pt idx="759">
                  <c:v>40634</c:v>
                </c:pt>
                <c:pt idx="760">
                  <c:v>40664</c:v>
                </c:pt>
                <c:pt idx="761">
                  <c:v>40695</c:v>
                </c:pt>
                <c:pt idx="762">
                  <c:v>40725</c:v>
                </c:pt>
                <c:pt idx="763">
                  <c:v>40756</c:v>
                </c:pt>
                <c:pt idx="764">
                  <c:v>40787</c:v>
                </c:pt>
                <c:pt idx="765">
                  <c:v>40817</c:v>
                </c:pt>
                <c:pt idx="766">
                  <c:v>40848</c:v>
                </c:pt>
                <c:pt idx="767">
                  <c:v>40878</c:v>
                </c:pt>
                <c:pt idx="768">
                  <c:v>40909</c:v>
                </c:pt>
                <c:pt idx="769">
                  <c:v>40940</c:v>
                </c:pt>
                <c:pt idx="770">
                  <c:v>40969</c:v>
                </c:pt>
                <c:pt idx="771">
                  <c:v>41000</c:v>
                </c:pt>
                <c:pt idx="772">
                  <c:v>41030</c:v>
                </c:pt>
                <c:pt idx="773">
                  <c:v>41061</c:v>
                </c:pt>
                <c:pt idx="774">
                  <c:v>41091</c:v>
                </c:pt>
                <c:pt idx="775">
                  <c:v>41122</c:v>
                </c:pt>
                <c:pt idx="776">
                  <c:v>41153</c:v>
                </c:pt>
                <c:pt idx="777">
                  <c:v>41183</c:v>
                </c:pt>
                <c:pt idx="778">
                  <c:v>41214</c:v>
                </c:pt>
                <c:pt idx="779">
                  <c:v>41244</c:v>
                </c:pt>
                <c:pt idx="780">
                  <c:v>41275</c:v>
                </c:pt>
                <c:pt idx="781">
                  <c:v>41306</c:v>
                </c:pt>
                <c:pt idx="782">
                  <c:v>41334</c:v>
                </c:pt>
                <c:pt idx="783">
                  <c:v>41365</c:v>
                </c:pt>
                <c:pt idx="784">
                  <c:v>41395</c:v>
                </c:pt>
                <c:pt idx="785">
                  <c:v>41426</c:v>
                </c:pt>
                <c:pt idx="786">
                  <c:v>41456</c:v>
                </c:pt>
                <c:pt idx="787">
                  <c:v>41487</c:v>
                </c:pt>
                <c:pt idx="788">
                  <c:v>41518</c:v>
                </c:pt>
                <c:pt idx="789">
                  <c:v>41548</c:v>
                </c:pt>
                <c:pt idx="790">
                  <c:v>41579</c:v>
                </c:pt>
                <c:pt idx="791">
                  <c:v>41609</c:v>
                </c:pt>
                <c:pt idx="792">
                  <c:v>41640</c:v>
                </c:pt>
                <c:pt idx="793">
                  <c:v>41671</c:v>
                </c:pt>
                <c:pt idx="794">
                  <c:v>41699</c:v>
                </c:pt>
                <c:pt idx="795">
                  <c:v>41730</c:v>
                </c:pt>
                <c:pt idx="796">
                  <c:v>41760</c:v>
                </c:pt>
                <c:pt idx="797">
                  <c:v>41791</c:v>
                </c:pt>
                <c:pt idx="798">
                  <c:v>41821</c:v>
                </c:pt>
                <c:pt idx="799">
                  <c:v>41852</c:v>
                </c:pt>
                <c:pt idx="800">
                  <c:v>41883</c:v>
                </c:pt>
                <c:pt idx="801">
                  <c:v>41913</c:v>
                </c:pt>
                <c:pt idx="802">
                  <c:v>41944</c:v>
                </c:pt>
                <c:pt idx="803">
                  <c:v>41974</c:v>
                </c:pt>
                <c:pt idx="804">
                  <c:v>42005</c:v>
                </c:pt>
                <c:pt idx="805">
                  <c:v>42036</c:v>
                </c:pt>
                <c:pt idx="806">
                  <c:v>42064</c:v>
                </c:pt>
                <c:pt idx="807">
                  <c:v>42095</c:v>
                </c:pt>
                <c:pt idx="808">
                  <c:v>42125</c:v>
                </c:pt>
                <c:pt idx="809">
                  <c:v>42156</c:v>
                </c:pt>
                <c:pt idx="810">
                  <c:v>42186</c:v>
                </c:pt>
                <c:pt idx="811">
                  <c:v>42217</c:v>
                </c:pt>
                <c:pt idx="812">
                  <c:v>42248</c:v>
                </c:pt>
                <c:pt idx="813">
                  <c:v>42278</c:v>
                </c:pt>
                <c:pt idx="814">
                  <c:v>42309</c:v>
                </c:pt>
                <c:pt idx="815">
                  <c:v>42339</c:v>
                </c:pt>
                <c:pt idx="816">
                  <c:v>42370</c:v>
                </c:pt>
                <c:pt idx="817">
                  <c:v>42401</c:v>
                </c:pt>
                <c:pt idx="818">
                  <c:v>42430</c:v>
                </c:pt>
                <c:pt idx="819">
                  <c:v>42461</c:v>
                </c:pt>
                <c:pt idx="820">
                  <c:v>42491</c:v>
                </c:pt>
                <c:pt idx="821">
                  <c:v>42522</c:v>
                </c:pt>
                <c:pt idx="822">
                  <c:v>42552</c:v>
                </c:pt>
                <c:pt idx="823">
                  <c:v>42583</c:v>
                </c:pt>
                <c:pt idx="824">
                  <c:v>42614</c:v>
                </c:pt>
                <c:pt idx="825">
                  <c:v>42644</c:v>
                </c:pt>
                <c:pt idx="826">
                  <c:v>42675</c:v>
                </c:pt>
                <c:pt idx="827">
                  <c:v>42705</c:v>
                </c:pt>
                <c:pt idx="828">
                  <c:v>42736</c:v>
                </c:pt>
                <c:pt idx="829">
                  <c:v>42767</c:v>
                </c:pt>
                <c:pt idx="830">
                  <c:v>42795</c:v>
                </c:pt>
                <c:pt idx="831">
                  <c:v>42826</c:v>
                </c:pt>
                <c:pt idx="832">
                  <c:v>42856</c:v>
                </c:pt>
                <c:pt idx="833">
                  <c:v>42887</c:v>
                </c:pt>
                <c:pt idx="834">
                  <c:v>42917</c:v>
                </c:pt>
                <c:pt idx="835">
                  <c:v>42948</c:v>
                </c:pt>
                <c:pt idx="836">
                  <c:v>42979</c:v>
                </c:pt>
                <c:pt idx="837">
                  <c:v>43009</c:v>
                </c:pt>
                <c:pt idx="838">
                  <c:v>43040</c:v>
                </c:pt>
                <c:pt idx="839">
                  <c:v>43070</c:v>
                </c:pt>
                <c:pt idx="840">
                  <c:v>43101</c:v>
                </c:pt>
                <c:pt idx="841">
                  <c:v>43132</c:v>
                </c:pt>
                <c:pt idx="842">
                  <c:v>43160</c:v>
                </c:pt>
                <c:pt idx="843">
                  <c:v>43191</c:v>
                </c:pt>
                <c:pt idx="844">
                  <c:v>43221</c:v>
                </c:pt>
                <c:pt idx="845">
                  <c:v>43252</c:v>
                </c:pt>
                <c:pt idx="846">
                  <c:v>43282</c:v>
                </c:pt>
                <c:pt idx="847">
                  <c:v>43313</c:v>
                </c:pt>
                <c:pt idx="848">
                  <c:v>43344</c:v>
                </c:pt>
                <c:pt idx="849">
                  <c:v>43374</c:v>
                </c:pt>
                <c:pt idx="850">
                  <c:v>43405</c:v>
                </c:pt>
                <c:pt idx="851">
                  <c:v>43435</c:v>
                </c:pt>
                <c:pt idx="852">
                  <c:v>43466</c:v>
                </c:pt>
                <c:pt idx="853">
                  <c:v>43497</c:v>
                </c:pt>
                <c:pt idx="854">
                  <c:v>43525</c:v>
                </c:pt>
                <c:pt idx="855">
                  <c:v>43556</c:v>
                </c:pt>
                <c:pt idx="856">
                  <c:v>43586</c:v>
                </c:pt>
                <c:pt idx="857">
                  <c:v>43617</c:v>
                </c:pt>
                <c:pt idx="858">
                  <c:v>43647</c:v>
                </c:pt>
                <c:pt idx="859">
                  <c:v>43678</c:v>
                </c:pt>
                <c:pt idx="860">
                  <c:v>43709</c:v>
                </c:pt>
                <c:pt idx="861">
                  <c:v>43739</c:v>
                </c:pt>
                <c:pt idx="862">
                  <c:v>43770</c:v>
                </c:pt>
                <c:pt idx="863">
                  <c:v>43800</c:v>
                </c:pt>
                <c:pt idx="864">
                  <c:v>43831</c:v>
                </c:pt>
                <c:pt idx="865">
                  <c:v>43862</c:v>
                </c:pt>
                <c:pt idx="866">
                  <c:v>43891</c:v>
                </c:pt>
                <c:pt idx="867">
                  <c:v>43922</c:v>
                </c:pt>
                <c:pt idx="868">
                  <c:v>43952</c:v>
                </c:pt>
                <c:pt idx="869">
                  <c:v>43983</c:v>
                </c:pt>
                <c:pt idx="870">
                  <c:v>44013</c:v>
                </c:pt>
                <c:pt idx="871">
                  <c:v>44044</c:v>
                </c:pt>
                <c:pt idx="872">
                  <c:v>44075</c:v>
                </c:pt>
                <c:pt idx="873">
                  <c:v>44105</c:v>
                </c:pt>
                <c:pt idx="874">
                  <c:v>44136</c:v>
                </c:pt>
                <c:pt idx="875">
                  <c:v>44166</c:v>
                </c:pt>
                <c:pt idx="876">
                  <c:v>44197</c:v>
                </c:pt>
                <c:pt idx="877">
                  <c:v>44228</c:v>
                </c:pt>
                <c:pt idx="878">
                  <c:v>44256</c:v>
                </c:pt>
                <c:pt idx="879">
                  <c:v>44287</c:v>
                </c:pt>
                <c:pt idx="880">
                  <c:v>44317</c:v>
                </c:pt>
                <c:pt idx="881">
                  <c:v>44348</c:v>
                </c:pt>
                <c:pt idx="882">
                  <c:v>44378</c:v>
                </c:pt>
                <c:pt idx="883">
                  <c:v>44409</c:v>
                </c:pt>
                <c:pt idx="884">
                  <c:v>44440</c:v>
                </c:pt>
                <c:pt idx="885">
                  <c:v>44470</c:v>
                </c:pt>
                <c:pt idx="886">
                  <c:v>44501</c:v>
                </c:pt>
                <c:pt idx="887">
                  <c:v>44531</c:v>
                </c:pt>
                <c:pt idx="888">
                  <c:v>44562</c:v>
                </c:pt>
                <c:pt idx="889">
                  <c:v>44593</c:v>
                </c:pt>
                <c:pt idx="890">
                  <c:v>44621</c:v>
                </c:pt>
                <c:pt idx="891">
                  <c:v>44652</c:v>
                </c:pt>
                <c:pt idx="892">
                  <c:v>44682</c:v>
                </c:pt>
                <c:pt idx="893">
                  <c:v>44713</c:v>
                </c:pt>
                <c:pt idx="894">
                  <c:v>44743</c:v>
                </c:pt>
                <c:pt idx="895">
                  <c:v>44774</c:v>
                </c:pt>
                <c:pt idx="896">
                  <c:v>44805</c:v>
                </c:pt>
                <c:pt idx="897">
                  <c:v>44835</c:v>
                </c:pt>
                <c:pt idx="898">
                  <c:v>44866</c:v>
                </c:pt>
                <c:pt idx="899">
                  <c:v>44896</c:v>
                </c:pt>
                <c:pt idx="900">
                  <c:v>44927</c:v>
                </c:pt>
                <c:pt idx="901">
                  <c:v>44958</c:v>
                </c:pt>
                <c:pt idx="902">
                  <c:v>44986</c:v>
                </c:pt>
                <c:pt idx="903">
                  <c:v>45017</c:v>
                </c:pt>
                <c:pt idx="904">
                  <c:v>45047</c:v>
                </c:pt>
                <c:pt idx="905">
                  <c:v>45078</c:v>
                </c:pt>
                <c:pt idx="906">
                  <c:v>45108</c:v>
                </c:pt>
                <c:pt idx="907">
                  <c:v>45139</c:v>
                </c:pt>
                <c:pt idx="908">
                  <c:v>45170</c:v>
                </c:pt>
                <c:pt idx="909">
                  <c:v>45200</c:v>
                </c:pt>
                <c:pt idx="910">
                  <c:v>45231</c:v>
                </c:pt>
                <c:pt idx="911">
                  <c:v>45261</c:v>
                </c:pt>
                <c:pt idx="912">
                  <c:v>45292</c:v>
                </c:pt>
                <c:pt idx="913">
                  <c:v>45323</c:v>
                </c:pt>
                <c:pt idx="914">
                  <c:v>45352</c:v>
                </c:pt>
                <c:pt idx="915">
                  <c:v>45383</c:v>
                </c:pt>
                <c:pt idx="916">
                  <c:v>45413</c:v>
                </c:pt>
                <c:pt idx="917">
                  <c:v>45444</c:v>
                </c:pt>
                <c:pt idx="918">
                  <c:v>45474</c:v>
                </c:pt>
                <c:pt idx="919">
                  <c:v>45505</c:v>
                </c:pt>
                <c:pt idx="920">
                  <c:v>45536</c:v>
                </c:pt>
                <c:pt idx="921">
                  <c:v>45566</c:v>
                </c:pt>
                <c:pt idx="922">
                  <c:v>45597</c:v>
                </c:pt>
                <c:pt idx="923">
                  <c:v>45627</c:v>
                </c:pt>
                <c:pt idx="924">
                  <c:v>45658</c:v>
                </c:pt>
                <c:pt idx="925">
                  <c:v>45689</c:v>
                </c:pt>
                <c:pt idx="926">
                  <c:v>45717</c:v>
                </c:pt>
                <c:pt idx="927">
                  <c:v>45748</c:v>
                </c:pt>
                <c:pt idx="928">
                  <c:v>45778</c:v>
                </c:pt>
                <c:pt idx="929">
                  <c:v>45809</c:v>
                </c:pt>
                <c:pt idx="930">
                  <c:v>45839</c:v>
                </c:pt>
                <c:pt idx="931">
                  <c:v>45870</c:v>
                </c:pt>
                <c:pt idx="932">
                  <c:v>45901</c:v>
                </c:pt>
                <c:pt idx="933">
                  <c:v>45962</c:v>
                </c:pt>
                <c:pt idx="934">
                  <c:v>45992</c:v>
                </c:pt>
                <c:pt idx="935">
                  <c:v>46023</c:v>
                </c:pt>
                <c:pt idx="936">
                  <c:v>46054</c:v>
                </c:pt>
                <c:pt idx="937">
                  <c:v>46082</c:v>
                </c:pt>
                <c:pt idx="938">
                  <c:v>46113</c:v>
                </c:pt>
                <c:pt idx="939">
                  <c:v>46143</c:v>
                </c:pt>
                <c:pt idx="940">
                  <c:v>46174</c:v>
                </c:pt>
                <c:pt idx="941">
                  <c:v>46204</c:v>
                </c:pt>
              </c:numCache>
            </c:numRef>
          </c:cat>
          <c:val>
            <c:numRef>
              <c:f>UNEMP!$B$5:$B$946</c:f>
              <c:numCache>
                <c:formatCode>0.0</c:formatCode>
                <c:ptCount val="942"/>
                <c:pt idx="0">
                  <c:v>3.4</c:v>
                </c:pt>
                <c:pt idx="1">
                  <c:v>3.8</c:v>
                </c:pt>
                <c:pt idx="2">
                  <c:v>4</c:v>
                </c:pt>
                <c:pt idx="3">
                  <c:v>3.9</c:v>
                </c:pt>
                <c:pt idx="4">
                  <c:v>3.5</c:v>
                </c:pt>
                <c:pt idx="5">
                  <c:v>3.6</c:v>
                </c:pt>
                <c:pt idx="6">
                  <c:v>3.6</c:v>
                </c:pt>
                <c:pt idx="7">
                  <c:v>3.9</c:v>
                </c:pt>
                <c:pt idx="8">
                  <c:v>3.8</c:v>
                </c:pt>
                <c:pt idx="9">
                  <c:v>3.7</c:v>
                </c:pt>
                <c:pt idx="10">
                  <c:v>3.8</c:v>
                </c:pt>
                <c:pt idx="11">
                  <c:v>4</c:v>
                </c:pt>
                <c:pt idx="12">
                  <c:v>4.3</c:v>
                </c:pt>
                <c:pt idx="13">
                  <c:v>4.7</c:v>
                </c:pt>
                <c:pt idx="14">
                  <c:v>5</c:v>
                </c:pt>
                <c:pt idx="15">
                  <c:v>5.3</c:v>
                </c:pt>
                <c:pt idx="16">
                  <c:v>6.1</c:v>
                </c:pt>
                <c:pt idx="17">
                  <c:v>6.2</c:v>
                </c:pt>
                <c:pt idx="18">
                  <c:v>6.7</c:v>
                </c:pt>
                <c:pt idx="19">
                  <c:v>6.8</c:v>
                </c:pt>
                <c:pt idx="20">
                  <c:v>6.6</c:v>
                </c:pt>
                <c:pt idx="21">
                  <c:v>7.9</c:v>
                </c:pt>
                <c:pt idx="22">
                  <c:v>6.4</c:v>
                </c:pt>
                <c:pt idx="23">
                  <c:v>6.6</c:v>
                </c:pt>
                <c:pt idx="24">
                  <c:v>6.5</c:v>
                </c:pt>
                <c:pt idx="25">
                  <c:v>6.4</c:v>
                </c:pt>
                <c:pt idx="26">
                  <c:v>6.3</c:v>
                </c:pt>
                <c:pt idx="27">
                  <c:v>5.8</c:v>
                </c:pt>
                <c:pt idx="28">
                  <c:v>5.5</c:v>
                </c:pt>
                <c:pt idx="29">
                  <c:v>5.4</c:v>
                </c:pt>
                <c:pt idx="30">
                  <c:v>5</c:v>
                </c:pt>
                <c:pt idx="31">
                  <c:v>4.5</c:v>
                </c:pt>
                <c:pt idx="32">
                  <c:v>4.4000000000000004</c:v>
                </c:pt>
                <c:pt idx="33">
                  <c:v>4.2</c:v>
                </c:pt>
                <c:pt idx="34">
                  <c:v>4.2</c:v>
                </c:pt>
                <c:pt idx="35">
                  <c:v>4.3</c:v>
                </c:pt>
                <c:pt idx="36">
                  <c:v>3.7</c:v>
                </c:pt>
                <c:pt idx="37">
                  <c:v>3.4</c:v>
                </c:pt>
                <c:pt idx="38">
                  <c:v>3.4</c:v>
                </c:pt>
                <c:pt idx="39">
                  <c:v>3.1</c:v>
                </c:pt>
                <c:pt idx="40">
                  <c:v>3</c:v>
                </c:pt>
                <c:pt idx="41">
                  <c:v>3.2</c:v>
                </c:pt>
                <c:pt idx="42">
                  <c:v>3.1</c:v>
                </c:pt>
                <c:pt idx="43">
                  <c:v>3.1</c:v>
                </c:pt>
                <c:pt idx="44">
                  <c:v>3.3</c:v>
                </c:pt>
                <c:pt idx="45">
                  <c:v>3.5</c:v>
                </c:pt>
                <c:pt idx="46">
                  <c:v>3.5</c:v>
                </c:pt>
                <c:pt idx="47">
                  <c:v>3.1</c:v>
                </c:pt>
                <c:pt idx="48">
                  <c:v>3.2</c:v>
                </c:pt>
                <c:pt idx="49">
                  <c:v>3.1</c:v>
                </c:pt>
                <c:pt idx="50">
                  <c:v>2.9</c:v>
                </c:pt>
                <c:pt idx="51">
                  <c:v>2.9</c:v>
                </c:pt>
                <c:pt idx="52">
                  <c:v>3</c:v>
                </c:pt>
                <c:pt idx="53">
                  <c:v>3</c:v>
                </c:pt>
                <c:pt idx="54">
                  <c:v>3.2</c:v>
                </c:pt>
                <c:pt idx="55">
                  <c:v>3.4</c:v>
                </c:pt>
                <c:pt idx="56">
                  <c:v>3.1</c:v>
                </c:pt>
                <c:pt idx="57">
                  <c:v>3</c:v>
                </c:pt>
                <c:pt idx="58">
                  <c:v>2.8</c:v>
                </c:pt>
                <c:pt idx="59">
                  <c:v>2.7</c:v>
                </c:pt>
                <c:pt idx="60">
                  <c:v>2.9</c:v>
                </c:pt>
                <c:pt idx="61">
                  <c:v>2.6</c:v>
                </c:pt>
                <c:pt idx="62">
                  <c:v>2.6</c:v>
                </c:pt>
                <c:pt idx="63">
                  <c:v>2.7</c:v>
                </c:pt>
                <c:pt idx="64">
                  <c:v>2.5</c:v>
                </c:pt>
                <c:pt idx="65">
                  <c:v>2.5</c:v>
                </c:pt>
                <c:pt idx="66">
                  <c:v>2.6</c:v>
                </c:pt>
                <c:pt idx="67">
                  <c:v>2.7</c:v>
                </c:pt>
                <c:pt idx="68">
                  <c:v>2.9</c:v>
                </c:pt>
                <c:pt idx="69">
                  <c:v>3.1</c:v>
                </c:pt>
                <c:pt idx="70">
                  <c:v>3.5</c:v>
                </c:pt>
                <c:pt idx="71">
                  <c:v>4.5</c:v>
                </c:pt>
                <c:pt idx="72">
                  <c:v>4.9000000000000004</c:v>
                </c:pt>
                <c:pt idx="73">
                  <c:v>5.2</c:v>
                </c:pt>
                <c:pt idx="74">
                  <c:v>5.7</c:v>
                </c:pt>
                <c:pt idx="75">
                  <c:v>5.9</c:v>
                </c:pt>
                <c:pt idx="76">
                  <c:v>5.9</c:v>
                </c:pt>
                <c:pt idx="77">
                  <c:v>5.6</c:v>
                </c:pt>
                <c:pt idx="78">
                  <c:v>5.8</c:v>
                </c:pt>
                <c:pt idx="79">
                  <c:v>6</c:v>
                </c:pt>
                <c:pt idx="80">
                  <c:v>6.1</c:v>
                </c:pt>
                <c:pt idx="81">
                  <c:v>5.7</c:v>
                </c:pt>
                <c:pt idx="82">
                  <c:v>5.3</c:v>
                </c:pt>
                <c:pt idx="83">
                  <c:v>5</c:v>
                </c:pt>
                <c:pt idx="84">
                  <c:v>4.9000000000000004</c:v>
                </c:pt>
                <c:pt idx="85">
                  <c:v>4.7</c:v>
                </c:pt>
                <c:pt idx="86">
                  <c:v>4.5999999999999996</c:v>
                </c:pt>
                <c:pt idx="87">
                  <c:v>4.7</c:v>
                </c:pt>
                <c:pt idx="88">
                  <c:v>4.3</c:v>
                </c:pt>
                <c:pt idx="89">
                  <c:v>4.2</c:v>
                </c:pt>
                <c:pt idx="90">
                  <c:v>4</c:v>
                </c:pt>
                <c:pt idx="91">
                  <c:v>4.2</c:v>
                </c:pt>
                <c:pt idx="92">
                  <c:v>4.0999999999999996</c:v>
                </c:pt>
                <c:pt idx="93">
                  <c:v>4.3</c:v>
                </c:pt>
                <c:pt idx="94">
                  <c:v>4.2</c:v>
                </c:pt>
                <c:pt idx="95">
                  <c:v>4.2</c:v>
                </c:pt>
                <c:pt idx="96">
                  <c:v>4</c:v>
                </c:pt>
                <c:pt idx="97">
                  <c:v>3.9</c:v>
                </c:pt>
                <c:pt idx="98">
                  <c:v>4.2</c:v>
                </c:pt>
                <c:pt idx="99">
                  <c:v>4</c:v>
                </c:pt>
                <c:pt idx="100">
                  <c:v>4.3</c:v>
                </c:pt>
                <c:pt idx="101">
                  <c:v>4.3</c:v>
                </c:pt>
                <c:pt idx="102">
                  <c:v>4.4000000000000004</c:v>
                </c:pt>
                <c:pt idx="103">
                  <c:v>4.0999999999999996</c:v>
                </c:pt>
                <c:pt idx="104">
                  <c:v>3.9</c:v>
                </c:pt>
                <c:pt idx="105">
                  <c:v>3.9</c:v>
                </c:pt>
                <c:pt idx="106">
                  <c:v>4.3</c:v>
                </c:pt>
                <c:pt idx="107">
                  <c:v>4.2</c:v>
                </c:pt>
                <c:pt idx="108">
                  <c:v>4.2</c:v>
                </c:pt>
                <c:pt idx="109">
                  <c:v>3.9</c:v>
                </c:pt>
                <c:pt idx="110">
                  <c:v>3.7</c:v>
                </c:pt>
                <c:pt idx="111">
                  <c:v>3.9</c:v>
                </c:pt>
                <c:pt idx="112">
                  <c:v>4.0999999999999996</c:v>
                </c:pt>
                <c:pt idx="113">
                  <c:v>4.3</c:v>
                </c:pt>
                <c:pt idx="114">
                  <c:v>4.2</c:v>
                </c:pt>
                <c:pt idx="115">
                  <c:v>4.0999999999999996</c:v>
                </c:pt>
                <c:pt idx="116">
                  <c:v>4.4000000000000004</c:v>
                </c:pt>
                <c:pt idx="117">
                  <c:v>4.5</c:v>
                </c:pt>
                <c:pt idx="118">
                  <c:v>5.0999999999999996</c:v>
                </c:pt>
                <c:pt idx="119">
                  <c:v>5.2</c:v>
                </c:pt>
                <c:pt idx="120">
                  <c:v>5.8</c:v>
                </c:pt>
                <c:pt idx="121">
                  <c:v>6.4</c:v>
                </c:pt>
                <c:pt idx="122">
                  <c:v>6.7</c:v>
                </c:pt>
                <c:pt idx="123">
                  <c:v>7.4</c:v>
                </c:pt>
                <c:pt idx="124">
                  <c:v>7.4</c:v>
                </c:pt>
                <c:pt idx="125">
                  <c:v>7.3</c:v>
                </c:pt>
                <c:pt idx="126">
                  <c:v>7.5</c:v>
                </c:pt>
                <c:pt idx="127">
                  <c:v>7.4</c:v>
                </c:pt>
                <c:pt idx="128">
                  <c:v>7.1</c:v>
                </c:pt>
                <c:pt idx="129">
                  <c:v>6.7</c:v>
                </c:pt>
                <c:pt idx="130">
                  <c:v>6.2</c:v>
                </c:pt>
                <c:pt idx="131">
                  <c:v>6.2</c:v>
                </c:pt>
                <c:pt idx="132">
                  <c:v>6</c:v>
                </c:pt>
                <c:pt idx="133">
                  <c:v>5.9</c:v>
                </c:pt>
                <c:pt idx="134">
                  <c:v>5.6</c:v>
                </c:pt>
                <c:pt idx="135">
                  <c:v>5.2</c:v>
                </c:pt>
                <c:pt idx="136">
                  <c:v>5.0999999999999996</c:v>
                </c:pt>
                <c:pt idx="137">
                  <c:v>5</c:v>
                </c:pt>
                <c:pt idx="138">
                  <c:v>5.0999999999999996</c:v>
                </c:pt>
                <c:pt idx="139">
                  <c:v>5.2</c:v>
                </c:pt>
                <c:pt idx="140">
                  <c:v>5.5</c:v>
                </c:pt>
                <c:pt idx="141">
                  <c:v>5.7</c:v>
                </c:pt>
                <c:pt idx="142">
                  <c:v>5.8</c:v>
                </c:pt>
                <c:pt idx="143">
                  <c:v>5.3</c:v>
                </c:pt>
                <c:pt idx="144">
                  <c:v>5.2</c:v>
                </c:pt>
                <c:pt idx="145">
                  <c:v>4.8</c:v>
                </c:pt>
                <c:pt idx="146">
                  <c:v>5.4</c:v>
                </c:pt>
                <c:pt idx="147">
                  <c:v>5.2</c:v>
                </c:pt>
                <c:pt idx="148">
                  <c:v>5.0999999999999996</c:v>
                </c:pt>
                <c:pt idx="149">
                  <c:v>5.4</c:v>
                </c:pt>
                <c:pt idx="150">
                  <c:v>5.5</c:v>
                </c:pt>
                <c:pt idx="151">
                  <c:v>5.6</c:v>
                </c:pt>
                <c:pt idx="152">
                  <c:v>5.5</c:v>
                </c:pt>
                <c:pt idx="153">
                  <c:v>6.1</c:v>
                </c:pt>
                <c:pt idx="154">
                  <c:v>6.1</c:v>
                </c:pt>
                <c:pt idx="155">
                  <c:v>6.6</c:v>
                </c:pt>
                <c:pt idx="156">
                  <c:v>6.6</c:v>
                </c:pt>
                <c:pt idx="157">
                  <c:v>6.9</c:v>
                </c:pt>
                <c:pt idx="158">
                  <c:v>6.9</c:v>
                </c:pt>
                <c:pt idx="159">
                  <c:v>7</c:v>
                </c:pt>
                <c:pt idx="160">
                  <c:v>7.1</c:v>
                </c:pt>
                <c:pt idx="161">
                  <c:v>6.9</c:v>
                </c:pt>
                <c:pt idx="162">
                  <c:v>7</c:v>
                </c:pt>
                <c:pt idx="163">
                  <c:v>6.6</c:v>
                </c:pt>
                <c:pt idx="164">
                  <c:v>6.7</c:v>
                </c:pt>
                <c:pt idx="165">
                  <c:v>6.5</c:v>
                </c:pt>
                <c:pt idx="166">
                  <c:v>6.1</c:v>
                </c:pt>
                <c:pt idx="167">
                  <c:v>6</c:v>
                </c:pt>
                <c:pt idx="168">
                  <c:v>5.8</c:v>
                </c:pt>
                <c:pt idx="169">
                  <c:v>5.5</c:v>
                </c:pt>
                <c:pt idx="170">
                  <c:v>5.6</c:v>
                </c:pt>
                <c:pt idx="171">
                  <c:v>5.6</c:v>
                </c:pt>
                <c:pt idx="172">
                  <c:v>5.5</c:v>
                </c:pt>
                <c:pt idx="173">
                  <c:v>5.5</c:v>
                </c:pt>
                <c:pt idx="174">
                  <c:v>5.4</c:v>
                </c:pt>
                <c:pt idx="175">
                  <c:v>5.7</c:v>
                </c:pt>
                <c:pt idx="176">
                  <c:v>5.6</c:v>
                </c:pt>
                <c:pt idx="177">
                  <c:v>5.4</c:v>
                </c:pt>
                <c:pt idx="178">
                  <c:v>5.7</c:v>
                </c:pt>
                <c:pt idx="179">
                  <c:v>5.5</c:v>
                </c:pt>
                <c:pt idx="180">
                  <c:v>5.7</c:v>
                </c:pt>
                <c:pt idx="181">
                  <c:v>5.9</c:v>
                </c:pt>
                <c:pt idx="182">
                  <c:v>5.7</c:v>
                </c:pt>
                <c:pt idx="183">
                  <c:v>5.7</c:v>
                </c:pt>
                <c:pt idx="184">
                  <c:v>5.9</c:v>
                </c:pt>
                <c:pt idx="185">
                  <c:v>5.6</c:v>
                </c:pt>
                <c:pt idx="186">
                  <c:v>5.6</c:v>
                </c:pt>
                <c:pt idx="187">
                  <c:v>5.4</c:v>
                </c:pt>
                <c:pt idx="188">
                  <c:v>5.5</c:v>
                </c:pt>
                <c:pt idx="189">
                  <c:v>5.5</c:v>
                </c:pt>
                <c:pt idx="190">
                  <c:v>5.7</c:v>
                </c:pt>
                <c:pt idx="191">
                  <c:v>5.5</c:v>
                </c:pt>
                <c:pt idx="192">
                  <c:v>5.6</c:v>
                </c:pt>
                <c:pt idx="193">
                  <c:v>5.4</c:v>
                </c:pt>
                <c:pt idx="194">
                  <c:v>5.4</c:v>
                </c:pt>
                <c:pt idx="195">
                  <c:v>5.3</c:v>
                </c:pt>
                <c:pt idx="196">
                  <c:v>5.0999999999999996</c:v>
                </c:pt>
                <c:pt idx="197">
                  <c:v>5.2</c:v>
                </c:pt>
                <c:pt idx="198">
                  <c:v>4.9000000000000004</c:v>
                </c:pt>
                <c:pt idx="199">
                  <c:v>5</c:v>
                </c:pt>
                <c:pt idx="200">
                  <c:v>5.0999999999999996</c:v>
                </c:pt>
                <c:pt idx="201">
                  <c:v>5.0999999999999996</c:v>
                </c:pt>
                <c:pt idx="202">
                  <c:v>4.8</c:v>
                </c:pt>
                <c:pt idx="203">
                  <c:v>5</c:v>
                </c:pt>
                <c:pt idx="204">
                  <c:v>4.9000000000000004</c:v>
                </c:pt>
                <c:pt idx="205">
                  <c:v>5.0999999999999996</c:v>
                </c:pt>
                <c:pt idx="206">
                  <c:v>4.7</c:v>
                </c:pt>
                <c:pt idx="207">
                  <c:v>4.8</c:v>
                </c:pt>
                <c:pt idx="208">
                  <c:v>4.5999999999999996</c:v>
                </c:pt>
                <c:pt idx="209">
                  <c:v>4.5999999999999996</c:v>
                </c:pt>
                <c:pt idx="210">
                  <c:v>4.4000000000000004</c:v>
                </c:pt>
                <c:pt idx="211">
                  <c:v>4.4000000000000004</c:v>
                </c:pt>
                <c:pt idx="212">
                  <c:v>4.3</c:v>
                </c:pt>
                <c:pt idx="213">
                  <c:v>4.2</c:v>
                </c:pt>
                <c:pt idx="214">
                  <c:v>4.0999999999999996</c:v>
                </c:pt>
                <c:pt idx="215">
                  <c:v>4</c:v>
                </c:pt>
                <c:pt idx="216">
                  <c:v>4</c:v>
                </c:pt>
                <c:pt idx="217">
                  <c:v>3.8</c:v>
                </c:pt>
                <c:pt idx="218">
                  <c:v>3.8</c:v>
                </c:pt>
                <c:pt idx="219">
                  <c:v>3.8</c:v>
                </c:pt>
                <c:pt idx="220">
                  <c:v>3.9</c:v>
                </c:pt>
                <c:pt idx="221">
                  <c:v>3.8</c:v>
                </c:pt>
                <c:pt idx="222">
                  <c:v>3.8</c:v>
                </c:pt>
                <c:pt idx="223">
                  <c:v>3.8</c:v>
                </c:pt>
                <c:pt idx="224">
                  <c:v>3.7</c:v>
                </c:pt>
                <c:pt idx="225">
                  <c:v>3.7</c:v>
                </c:pt>
                <c:pt idx="226">
                  <c:v>3.6</c:v>
                </c:pt>
                <c:pt idx="227">
                  <c:v>3.8</c:v>
                </c:pt>
                <c:pt idx="228">
                  <c:v>3.9</c:v>
                </c:pt>
                <c:pt idx="229">
                  <c:v>3.8</c:v>
                </c:pt>
                <c:pt idx="230">
                  <c:v>3.8</c:v>
                </c:pt>
                <c:pt idx="231">
                  <c:v>3.8</c:v>
                </c:pt>
                <c:pt idx="232">
                  <c:v>3.8</c:v>
                </c:pt>
                <c:pt idx="233">
                  <c:v>3.9</c:v>
                </c:pt>
                <c:pt idx="234">
                  <c:v>3.8</c:v>
                </c:pt>
                <c:pt idx="235">
                  <c:v>3.8</c:v>
                </c:pt>
                <c:pt idx="236">
                  <c:v>3.8</c:v>
                </c:pt>
                <c:pt idx="237">
                  <c:v>4</c:v>
                </c:pt>
                <c:pt idx="238">
                  <c:v>3.9</c:v>
                </c:pt>
                <c:pt idx="239">
                  <c:v>3.8</c:v>
                </c:pt>
                <c:pt idx="240">
                  <c:v>3.7</c:v>
                </c:pt>
                <c:pt idx="241">
                  <c:v>3.8</c:v>
                </c:pt>
                <c:pt idx="242">
                  <c:v>3.7</c:v>
                </c:pt>
                <c:pt idx="243">
                  <c:v>3.5</c:v>
                </c:pt>
                <c:pt idx="244">
                  <c:v>3.5</c:v>
                </c:pt>
                <c:pt idx="245">
                  <c:v>3.7</c:v>
                </c:pt>
                <c:pt idx="246">
                  <c:v>3.7</c:v>
                </c:pt>
                <c:pt idx="247">
                  <c:v>3.5</c:v>
                </c:pt>
                <c:pt idx="248">
                  <c:v>3.4</c:v>
                </c:pt>
                <c:pt idx="249">
                  <c:v>3.4</c:v>
                </c:pt>
                <c:pt idx="250">
                  <c:v>3.4</c:v>
                </c:pt>
                <c:pt idx="251">
                  <c:v>3.4</c:v>
                </c:pt>
                <c:pt idx="252">
                  <c:v>3.4</c:v>
                </c:pt>
                <c:pt idx="253">
                  <c:v>3.4</c:v>
                </c:pt>
                <c:pt idx="254">
                  <c:v>3.4</c:v>
                </c:pt>
                <c:pt idx="255">
                  <c:v>3.4</c:v>
                </c:pt>
                <c:pt idx="256">
                  <c:v>3.4</c:v>
                </c:pt>
                <c:pt idx="257">
                  <c:v>3.5</c:v>
                </c:pt>
                <c:pt idx="258">
                  <c:v>3.5</c:v>
                </c:pt>
                <c:pt idx="259">
                  <c:v>3.5</c:v>
                </c:pt>
                <c:pt idx="260">
                  <c:v>3.7</c:v>
                </c:pt>
                <c:pt idx="261">
                  <c:v>3.7</c:v>
                </c:pt>
                <c:pt idx="262">
                  <c:v>3.5</c:v>
                </c:pt>
                <c:pt idx="263">
                  <c:v>3.5</c:v>
                </c:pt>
                <c:pt idx="264">
                  <c:v>3.9</c:v>
                </c:pt>
                <c:pt idx="265">
                  <c:v>4.2</c:v>
                </c:pt>
                <c:pt idx="266">
                  <c:v>4.4000000000000004</c:v>
                </c:pt>
                <c:pt idx="267">
                  <c:v>4.5999999999999996</c:v>
                </c:pt>
                <c:pt idx="268">
                  <c:v>4.8</c:v>
                </c:pt>
                <c:pt idx="269">
                  <c:v>4.9000000000000004</c:v>
                </c:pt>
                <c:pt idx="270">
                  <c:v>5</c:v>
                </c:pt>
                <c:pt idx="271">
                  <c:v>5.0999999999999996</c:v>
                </c:pt>
                <c:pt idx="272">
                  <c:v>5.4</c:v>
                </c:pt>
                <c:pt idx="273">
                  <c:v>5.5</c:v>
                </c:pt>
                <c:pt idx="274">
                  <c:v>5.9</c:v>
                </c:pt>
                <c:pt idx="275">
                  <c:v>6.1</c:v>
                </c:pt>
                <c:pt idx="276">
                  <c:v>5.9</c:v>
                </c:pt>
                <c:pt idx="277">
                  <c:v>5.9</c:v>
                </c:pt>
                <c:pt idx="278">
                  <c:v>6</c:v>
                </c:pt>
                <c:pt idx="279">
                  <c:v>5.9</c:v>
                </c:pt>
                <c:pt idx="280">
                  <c:v>5.9</c:v>
                </c:pt>
                <c:pt idx="281">
                  <c:v>5.9</c:v>
                </c:pt>
                <c:pt idx="282">
                  <c:v>6</c:v>
                </c:pt>
                <c:pt idx="283">
                  <c:v>6.1</c:v>
                </c:pt>
                <c:pt idx="284">
                  <c:v>6</c:v>
                </c:pt>
                <c:pt idx="285">
                  <c:v>5.8</c:v>
                </c:pt>
                <c:pt idx="286">
                  <c:v>6</c:v>
                </c:pt>
                <c:pt idx="287">
                  <c:v>6</c:v>
                </c:pt>
                <c:pt idx="288">
                  <c:v>5.8</c:v>
                </c:pt>
                <c:pt idx="289">
                  <c:v>5.7</c:v>
                </c:pt>
                <c:pt idx="290">
                  <c:v>5.8</c:v>
                </c:pt>
                <c:pt idx="291">
                  <c:v>5.7</c:v>
                </c:pt>
                <c:pt idx="292">
                  <c:v>5.7</c:v>
                </c:pt>
                <c:pt idx="293">
                  <c:v>5.7</c:v>
                </c:pt>
                <c:pt idx="294">
                  <c:v>5.6</c:v>
                </c:pt>
                <c:pt idx="295">
                  <c:v>5.6</c:v>
                </c:pt>
                <c:pt idx="296">
                  <c:v>5.5</c:v>
                </c:pt>
                <c:pt idx="297">
                  <c:v>5.6</c:v>
                </c:pt>
                <c:pt idx="298">
                  <c:v>5.3</c:v>
                </c:pt>
                <c:pt idx="299">
                  <c:v>5.2</c:v>
                </c:pt>
                <c:pt idx="300">
                  <c:v>4.9000000000000004</c:v>
                </c:pt>
                <c:pt idx="301">
                  <c:v>5</c:v>
                </c:pt>
                <c:pt idx="302">
                  <c:v>4.9000000000000004</c:v>
                </c:pt>
                <c:pt idx="303">
                  <c:v>5</c:v>
                </c:pt>
                <c:pt idx="304">
                  <c:v>4.9000000000000004</c:v>
                </c:pt>
                <c:pt idx="305">
                  <c:v>4.9000000000000004</c:v>
                </c:pt>
                <c:pt idx="306">
                  <c:v>4.8</c:v>
                </c:pt>
                <c:pt idx="307">
                  <c:v>4.8</c:v>
                </c:pt>
                <c:pt idx="308">
                  <c:v>4.8</c:v>
                </c:pt>
                <c:pt idx="309">
                  <c:v>4.5999999999999996</c:v>
                </c:pt>
                <c:pt idx="310">
                  <c:v>4.8</c:v>
                </c:pt>
                <c:pt idx="311">
                  <c:v>4.9000000000000004</c:v>
                </c:pt>
                <c:pt idx="312">
                  <c:v>5.0999999999999996</c:v>
                </c:pt>
                <c:pt idx="313">
                  <c:v>5.2</c:v>
                </c:pt>
                <c:pt idx="314">
                  <c:v>5.0999999999999996</c:v>
                </c:pt>
                <c:pt idx="315">
                  <c:v>5.0999999999999996</c:v>
                </c:pt>
                <c:pt idx="316">
                  <c:v>5.0999999999999996</c:v>
                </c:pt>
                <c:pt idx="317">
                  <c:v>5.4</c:v>
                </c:pt>
                <c:pt idx="318">
                  <c:v>5.5</c:v>
                </c:pt>
                <c:pt idx="319">
                  <c:v>5.5</c:v>
                </c:pt>
                <c:pt idx="320">
                  <c:v>5.9</c:v>
                </c:pt>
                <c:pt idx="321">
                  <c:v>6</c:v>
                </c:pt>
                <c:pt idx="322">
                  <c:v>6.6</c:v>
                </c:pt>
                <c:pt idx="323">
                  <c:v>7.2</c:v>
                </c:pt>
                <c:pt idx="324">
                  <c:v>8.1</c:v>
                </c:pt>
                <c:pt idx="325">
                  <c:v>8.1</c:v>
                </c:pt>
                <c:pt idx="326">
                  <c:v>8.6</c:v>
                </c:pt>
                <c:pt idx="327">
                  <c:v>8.8000000000000007</c:v>
                </c:pt>
                <c:pt idx="328">
                  <c:v>9</c:v>
                </c:pt>
                <c:pt idx="329">
                  <c:v>8.8000000000000007</c:v>
                </c:pt>
                <c:pt idx="330">
                  <c:v>8.6</c:v>
                </c:pt>
                <c:pt idx="331">
                  <c:v>8.4</c:v>
                </c:pt>
                <c:pt idx="332">
                  <c:v>8.4</c:v>
                </c:pt>
                <c:pt idx="333">
                  <c:v>8.4</c:v>
                </c:pt>
                <c:pt idx="334">
                  <c:v>8.3000000000000007</c:v>
                </c:pt>
                <c:pt idx="335">
                  <c:v>8.1999999999999993</c:v>
                </c:pt>
                <c:pt idx="336">
                  <c:v>7.9</c:v>
                </c:pt>
                <c:pt idx="337">
                  <c:v>7.7</c:v>
                </c:pt>
                <c:pt idx="338">
                  <c:v>7.6</c:v>
                </c:pt>
                <c:pt idx="339">
                  <c:v>7.7</c:v>
                </c:pt>
                <c:pt idx="340">
                  <c:v>7.4</c:v>
                </c:pt>
                <c:pt idx="341">
                  <c:v>7.6</c:v>
                </c:pt>
                <c:pt idx="342">
                  <c:v>7.8</c:v>
                </c:pt>
                <c:pt idx="343">
                  <c:v>7.8</c:v>
                </c:pt>
                <c:pt idx="344">
                  <c:v>7.6</c:v>
                </c:pt>
                <c:pt idx="345">
                  <c:v>7.7</c:v>
                </c:pt>
                <c:pt idx="346">
                  <c:v>7.8</c:v>
                </c:pt>
                <c:pt idx="347">
                  <c:v>7.8</c:v>
                </c:pt>
                <c:pt idx="348">
                  <c:v>7.5</c:v>
                </c:pt>
                <c:pt idx="349">
                  <c:v>7.6</c:v>
                </c:pt>
                <c:pt idx="350">
                  <c:v>7.4</c:v>
                </c:pt>
                <c:pt idx="351">
                  <c:v>7.2</c:v>
                </c:pt>
                <c:pt idx="352">
                  <c:v>7</c:v>
                </c:pt>
                <c:pt idx="353">
                  <c:v>7.2</c:v>
                </c:pt>
                <c:pt idx="354">
                  <c:v>6.9</c:v>
                </c:pt>
                <c:pt idx="355">
                  <c:v>7</c:v>
                </c:pt>
                <c:pt idx="356">
                  <c:v>6.8</c:v>
                </c:pt>
                <c:pt idx="357">
                  <c:v>6.8</c:v>
                </c:pt>
                <c:pt idx="358">
                  <c:v>6.8</c:v>
                </c:pt>
                <c:pt idx="359">
                  <c:v>6.4</c:v>
                </c:pt>
                <c:pt idx="360">
                  <c:v>6.4</c:v>
                </c:pt>
                <c:pt idx="361">
                  <c:v>6.3</c:v>
                </c:pt>
                <c:pt idx="362">
                  <c:v>6.3</c:v>
                </c:pt>
                <c:pt idx="363">
                  <c:v>6.1</c:v>
                </c:pt>
                <c:pt idx="364">
                  <c:v>6</c:v>
                </c:pt>
                <c:pt idx="365">
                  <c:v>5.9</c:v>
                </c:pt>
                <c:pt idx="366">
                  <c:v>6.2</c:v>
                </c:pt>
                <c:pt idx="367">
                  <c:v>5.9</c:v>
                </c:pt>
                <c:pt idx="368">
                  <c:v>6</c:v>
                </c:pt>
                <c:pt idx="369">
                  <c:v>5.8</c:v>
                </c:pt>
                <c:pt idx="370">
                  <c:v>5.9</c:v>
                </c:pt>
                <c:pt idx="371">
                  <c:v>6</c:v>
                </c:pt>
                <c:pt idx="372">
                  <c:v>5.9</c:v>
                </c:pt>
                <c:pt idx="373">
                  <c:v>5.9</c:v>
                </c:pt>
                <c:pt idx="374">
                  <c:v>5.8</c:v>
                </c:pt>
                <c:pt idx="375">
                  <c:v>5.8</c:v>
                </c:pt>
                <c:pt idx="376">
                  <c:v>5.6</c:v>
                </c:pt>
                <c:pt idx="377">
                  <c:v>5.7</c:v>
                </c:pt>
                <c:pt idx="378">
                  <c:v>5.7</c:v>
                </c:pt>
                <c:pt idx="379">
                  <c:v>6</c:v>
                </c:pt>
                <c:pt idx="380">
                  <c:v>5.9</c:v>
                </c:pt>
                <c:pt idx="381">
                  <c:v>6</c:v>
                </c:pt>
                <c:pt idx="382">
                  <c:v>5.9</c:v>
                </c:pt>
                <c:pt idx="383">
                  <c:v>6</c:v>
                </c:pt>
                <c:pt idx="384">
                  <c:v>6.3</c:v>
                </c:pt>
                <c:pt idx="385">
                  <c:v>6.3</c:v>
                </c:pt>
                <c:pt idx="386">
                  <c:v>6.3</c:v>
                </c:pt>
                <c:pt idx="387">
                  <c:v>6.9</c:v>
                </c:pt>
                <c:pt idx="388">
                  <c:v>7.5</c:v>
                </c:pt>
                <c:pt idx="389">
                  <c:v>7.6</c:v>
                </c:pt>
                <c:pt idx="390">
                  <c:v>7.8</c:v>
                </c:pt>
                <c:pt idx="391">
                  <c:v>7.7</c:v>
                </c:pt>
                <c:pt idx="392">
                  <c:v>7.5</c:v>
                </c:pt>
                <c:pt idx="393">
                  <c:v>7.5</c:v>
                </c:pt>
                <c:pt idx="394">
                  <c:v>7.5</c:v>
                </c:pt>
                <c:pt idx="395">
                  <c:v>7.2</c:v>
                </c:pt>
                <c:pt idx="396">
                  <c:v>7.5</c:v>
                </c:pt>
                <c:pt idx="397">
                  <c:v>7.4</c:v>
                </c:pt>
                <c:pt idx="398">
                  <c:v>7.4</c:v>
                </c:pt>
                <c:pt idx="399">
                  <c:v>7.2</c:v>
                </c:pt>
                <c:pt idx="400">
                  <c:v>7.5</c:v>
                </c:pt>
                <c:pt idx="401">
                  <c:v>7.5</c:v>
                </c:pt>
                <c:pt idx="402">
                  <c:v>7.2</c:v>
                </c:pt>
                <c:pt idx="403">
                  <c:v>7.4</c:v>
                </c:pt>
                <c:pt idx="404">
                  <c:v>7.6</c:v>
                </c:pt>
                <c:pt idx="405">
                  <c:v>7.9</c:v>
                </c:pt>
                <c:pt idx="406">
                  <c:v>8.3000000000000007</c:v>
                </c:pt>
                <c:pt idx="407">
                  <c:v>8.5</c:v>
                </c:pt>
                <c:pt idx="408">
                  <c:v>8.6</c:v>
                </c:pt>
                <c:pt idx="409">
                  <c:v>8.9</c:v>
                </c:pt>
                <c:pt idx="410">
                  <c:v>9</c:v>
                </c:pt>
                <c:pt idx="411">
                  <c:v>9.3000000000000007</c:v>
                </c:pt>
                <c:pt idx="412">
                  <c:v>9.4</c:v>
                </c:pt>
                <c:pt idx="413">
                  <c:v>9.6</c:v>
                </c:pt>
                <c:pt idx="414">
                  <c:v>9.8000000000000007</c:v>
                </c:pt>
                <c:pt idx="415">
                  <c:v>9.8000000000000007</c:v>
                </c:pt>
                <c:pt idx="416">
                  <c:v>10.1</c:v>
                </c:pt>
                <c:pt idx="417">
                  <c:v>10.4</c:v>
                </c:pt>
                <c:pt idx="418">
                  <c:v>10.8</c:v>
                </c:pt>
                <c:pt idx="419">
                  <c:v>10.8</c:v>
                </c:pt>
                <c:pt idx="420">
                  <c:v>10.4</c:v>
                </c:pt>
                <c:pt idx="421">
                  <c:v>10.4</c:v>
                </c:pt>
                <c:pt idx="422">
                  <c:v>10.3</c:v>
                </c:pt>
                <c:pt idx="423">
                  <c:v>10.199999999999999</c:v>
                </c:pt>
                <c:pt idx="424">
                  <c:v>10.1</c:v>
                </c:pt>
                <c:pt idx="425">
                  <c:v>10.1</c:v>
                </c:pt>
                <c:pt idx="426">
                  <c:v>9.4</c:v>
                </c:pt>
                <c:pt idx="427">
                  <c:v>9.5</c:v>
                </c:pt>
                <c:pt idx="428">
                  <c:v>9.1999999999999993</c:v>
                </c:pt>
                <c:pt idx="429">
                  <c:v>8.8000000000000007</c:v>
                </c:pt>
                <c:pt idx="430">
                  <c:v>8.5</c:v>
                </c:pt>
                <c:pt idx="431">
                  <c:v>8.3000000000000007</c:v>
                </c:pt>
                <c:pt idx="432">
                  <c:v>8</c:v>
                </c:pt>
                <c:pt idx="433">
                  <c:v>7.8</c:v>
                </c:pt>
                <c:pt idx="434">
                  <c:v>7.8</c:v>
                </c:pt>
                <c:pt idx="435">
                  <c:v>7.7</c:v>
                </c:pt>
                <c:pt idx="436">
                  <c:v>7.4</c:v>
                </c:pt>
                <c:pt idx="437">
                  <c:v>7.2</c:v>
                </c:pt>
                <c:pt idx="438">
                  <c:v>7.5</c:v>
                </c:pt>
                <c:pt idx="439">
                  <c:v>7.5</c:v>
                </c:pt>
                <c:pt idx="440">
                  <c:v>7.3</c:v>
                </c:pt>
                <c:pt idx="441">
                  <c:v>7.4</c:v>
                </c:pt>
                <c:pt idx="442">
                  <c:v>7.2</c:v>
                </c:pt>
                <c:pt idx="443">
                  <c:v>7.3</c:v>
                </c:pt>
                <c:pt idx="444">
                  <c:v>7.3</c:v>
                </c:pt>
                <c:pt idx="445">
                  <c:v>7.2</c:v>
                </c:pt>
                <c:pt idx="446">
                  <c:v>7.2</c:v>
                </c:pt>
                <c:pt idx="447">
                  <c:v>7.3</c:v>
                </c:pt>
                <c:pt idx="448">
                  <c:v>7.2</c:v>
                </c:pt>
                <c:pt idx="449">
                  <c:v>7.4</c:v>
                </c:pt>
                <c:pt idx="450">
                  <c:v>7.4</c:v>
                </c:pt>
                <c:pt idx="451">
                  <c:v>7.1</c:v>
                </c:pt>
                <c:pt idx="452">
                  <c:v>7.1</c:v>
                </c:pt>
                <c:pt idx="453">
                  <c:v>7.1</c:v>
                </c:pt>
                <c:pt idx="454">
                  <c:v>7</c:v>
                </c:pt>
                <c:pt idx="455">
                  <c:v>7</c:v>
                </c:pt>
                <c:pt idx="456">
                  <c:v>6.7</c:v>
                </c:pt>
                <c:pt idx="457">
                  <c:v>7.2</c:v>
                </c:pt>
                <c:pt idx="458">
                  <c:v>7.2</c:v>
                </c:pt>
                <c:pt idx="459">
                  <c:v>7.1</c:v>
                </c:pt>
                <c:pt idx="460">
                  <c:v>7.2</c:v>
                </c:pt>
                <c:pt idx="461">
                  <c:v>7.2</c:v>
                </c:pt>
                <c:pt idx="462">
                  <c:v>7</c:v>
                </c:pt>
                <c:pt idx="463">
                  <c:v>6.9</c:v>
                </c:pt>
                <c:pt idx="464">
                  <c:v>7</c:v>
                </c:pt>
                <c:pt idx="465">
                  <c:v>7</c:v>
                </c:pt>
                <c:pt idx="466">
                  <c:v>6.9</c:v>
                </c:pt>
                <c:pt idx="467">
                  <c:v>6.6</c:v>
                </c:pt>
                <c:pt idx="468">
                  <c:v>6.6</c:v>
                </c:pt>
                <c:pt idx="469">
                  <c:v>6.6</c:v>
                </c:pt>
                <c:pt idx="470">
                  <c:v>6.6</c:v>
                </c:pt>
                <c:pt idx="471">
                  <c:v>6.3</c:v>
                </c:pt>
                <c:pt idx="472">
                  <c:v>6.3</c:v>
                </c:pt>
                <c:pt idx="473">
                  <c:v>6.2</c:v>
                </c:pt>
                <c:pt idx="474">
                  <c:v>6.1</c:v>
                </c:pt>
                <c:pt idx="475">
                  <c:v>6</c:v>
                </c:pt>
                <c:pt idx="476">
                  <c:v>5.9</c:v>
                </c:pt>
                <c:pt idx="477">
                  <c:v>6</c:v>
                </c:pt>
                <c:pt idx="478">
                  <c:v>5.8</c:v>
                </c:pt>
                <c:pt idx="479">
                  <c:v>5.7</c:v>
                </c:pt>
                <c:pt idx="480">
                  <c:v>5.7</c:v>
                </c:pt>
                <c:pt idx="481">
                  <c:v>5.7</c:v>
                </c:pt>
                <c:pt idx="482">
                  <c:v>5.7</c:v>
                </c:pt>
                <c:pt idx="483">
                  <c:v>5.4</c:v>
                </c:pt>
                <c:pt idx="484">
                  <c:v>5.6</c:v>
                </c:pt>
                <c:pt idx="485">
                  <c:v>5.4</c:v>
                </c:pt>
                <c:pt idx="486">
                  <c:v>5.4</c:v>
                </c:pt>
                <c:pt idx="487">
                  <c:v>5.6</c:v>
                </c:pt>
                <c:pt idx="488">
                  <c:v>5.4</c:v>
                </c:pt>
                <c:pt idx="489">
                  <c:v>5.4</c:v>
                </c:pt>
                <c:pt idx="490">
                  <c:v>5.3</c:v>
                </c:pt>
                <c:pt idx="491">
                  <c:v>5.3</c:v>
                </c:pt>
                <c:pt idx="492">
                  <c:v>5.4</c:v>
                </c:pt>
                <c:pt idx="493">
                  <c:v>5.2</c:v>
                </c:pt>
                <c:pt idx="494">
                  <c:v>5</c:v>
                </c:pt>
                <c:pt idx="495">
                  <c:v>5.2</c:v>
                </c:pt>
                <c:pt idx="496">
                  <c:v>5.2</c:v>
                </c:pt>
                <c:pt idx="497">
                  <c:v>5.3</c:v>
                </c:pt>
                <c:pt idx="498">
                  <c:v>5.2</c:v>
                </c:pt>
                <c:pt idx="499">
                  <c:v>5.2</c:v>
                </c:pt>
                <c:pt idx="500">
                  <c:v>5.3</c:v>
                </c:pt>
                <c:pt idx="501">
                  <c:v>5.3</c:v>
                </c:pt>
                <c:pt idx="502">
                  <c:v>5.4</c:v>
                </c:pt>
                <c:pt idx="503">
                  <c:v>5.4</c:v>
                </c:pt>
                <c:pt idx="504">
                  <c:v>5.4</c:v>
                </c:pt>
                <c:pt idx="505">
                  <c:v>5.3</c:v>
                </c:pt>
                <c:pt idx="506">
                  <c:v>5.2</c:v>
                </c:pt>
                <c:pt idx="507">
                  <c:v>5.4</c:v>
                </c:pt>
                <c:pt idx="508">
                  <c:v>5.4</c:v>
                </c:pt>
                <c:pt idx="509">
                  <c:v>5.2</c:v>
                </c:pt>
                <c:pt idx="510">
                  <c:v>5.5</c:v>
                </c:pt>
                <c:pt idx="511">
                  <c:v>5.7</c:v>
                </c:pt>
                <c:pt idx="512">
                  <c:v>5.9</c:v>
                </c:pt>
                <c:pt idx="513">
                  <c:v>5.9</c:v>
                </c:pt>
                <c:pt idx="514">
                  <c:v>6.2</c:v>
                </c:pt>
                <c:pt idx="515">
                  <c:v>6.3</c:v>
                </c:pt>
                <c:pt idx="516">
                  <c:v>6.4</c:v>
                </c:pt>
                <c:pt idx="517">
                  <c:v>6.6</c:v>
                </c:pt>
                <c:pt idx="518">
                  <c:v>6.8</c:v>
                </c:pt>
                <c:pt idx="519">
                  <c:v>6.7</c:v>
                </c:pt>
                <c:pt idx="520">
                  <c:v>6.9</c:v>
                </c:pt>
                <c:pt idx="521">
                  <c:v>6.9</c:v>
                </c:pt>
                <c:pt idx="522">
                  <c:v>6.8</c:v>
                </c:pt>
                <c:pt idx="523">
                  <c:v>6.9</c:v>
                </c:pt>
                <c:pt idx="524">
                  <c:v>6.9</c:v>
                </c:pt>
                <c:pt idx="525">
                  <c:v>7</c:v>
                </c:pt>
                <c:pt idx="526">
                  <c:v>7</c:v>
                </c:pt>
                <c:pt idx="527">
                  <c:v>7.3</c:v>
                </c:pt>
                <c:pt idx="528">
                  <c:v>7.3</c:v>
                </c:pt>
                <c:pt idx="529">
                  <c:v>7.4</c:v>
                </c:pt>
                <c:pt idx="530">
                  <c:v>7.4</c:v>
                </c:pt>
                <c:pt idx="531">
                  <c:v>7.4</c:v>
                </c:pt>
                <c:pt idx="532">
                  <c:v>7.6</c:v>
                </c:pt>
                <c:pt idx="533">
                  <c:v>7.8</c:v>
                </c:pt>
                <c:pt idx="534">
                  <c:v>7.7</c:v>
                </c:pt>
                <c:pt idx="535">
                  <c:v>7.6</c:v>
                </c:pt>
                <c:pt idx="536">
                  <c:v>7.6</c:v>
                </c:pt>
                <c:pt idx="537">
                  <c:v>7.3</c:v>
                </c:pt>
                <c:pt idx="538">
                  <c:v>7.4</c:v>
                </c:pt>
                <c:pt idx="539">
                  <c:v>7.4</c:v>
                </c:pt>
                <c:pt idx="540">
                  <c:v>7.3</c:v>
                </c:pt>
                <c:pt idx="541">
                  <c:v>7.1</c:v>
                </c:pt>
                <c:pt idx="542">
                  <c:v>7</c:v>
                </c:pt>
                <c:pt idx="543">
                  <c:v>7.1</c:v>
                </c:pt>
                <c:pt idx="544">
                  <c:v>7.1</c:v>
                </c:pt>
                <c:pt idx="545">
                  <c:v>7</c:v>
                </c:pt>
                <c:pt idx="546">
                  <c:v>6.9</c:v>
                </c:pt>
                <c:pt idx="547">
                  <c:v>6.8</c:v>
                </c:pt>
                <c:pt idx="548">
                  <c:v>6.7</c:v>
                </c:pt>
                <c:pt idx="549">
                  <c:v>6.8</c:v>
                </c:pt>
                <c:pt idx="550">
                  <c:v>6.6</c:v>
                </c:pt>
                <c:pt idx="551">
                  <c:v>6.5</c:v>
                </c:pt>
                <c:pt idx="552">
                  <c:v>6.6</c:v>
                </c:pt>
                <c:pt idx="553">
                  <c:v>6.6</c:v>
                </c:pt>
                <c:pt idx="554">
                  <c:v>6.5</c:v>
                </c:pt>
                <c:pt idx="555">
                  <c:v>6.4</c:v>
                </c:pt>
                <c:pt idx="556">
                  <c:v>6.1</c:v>
                </c:pt>
                <c:pt idx="557">
                  <c:v>6.1</c:v>
                </c:pt>
                <c:pt idx="558">
                  <c:v>6.1</c:v>
                </c:pt>
                <c:pt idx="559">
                  <c:v>6</c:v>
                </c:pt>
                <c:pt idx="560">
                  <c:v>5.9</c:v>
                </c:pt>
                <c:pt idx="561">
                  <c:v>5.8</c:v>
                </c:pt>
                <c:pt idx="562">
                  <c:v>5.6</c:v>
                </c:pt>
                <c:pt idx="563">
                  <c:v>5.5</c:v>
                </c:pt>
                <c:pt idx="564">
                  <c:v>5.6</c:v>
                </c:pt>
                <c:pt idx="565">
                  <c:v>5.4</c:v>
                </c:pt>
                <c:pt idx="566">
                  <c:v>5.4</c:v>
                </c:pt>
                <c:pt idx="567">
                  <c:v>5.8</c:v>
                </c:pt>
                <c:pt idx="568">
                  <c:v>5.6</c:v>
                </c:pt>
                <c:pt idx="569">
                  <c:v>5.6</c:v>
                </c:pt>
                <c:pt idx="570">
                  <c:v>5.7</c:v>
                </c:pt>
                <c:pt idx="571">
                  <c:v>5.7</c:v>
                </c:pt>
                <c:pt idx="572">
                  <c:v>5.6</c:v>
                </c:pt>
                <c:pt idx="573">
                  <c:v>5.5</c:v>
                </c:pt>
                <c:pt idx="574">
                  <c:v>5.6</c:v>
                </c:pt>
                <c:pt idx="575">
                  <c:v>5.6</c:v>
                </c:pt>
                <c:pt idx="576">
                  <c:v>5.6</c:v>
                </c:pt>
                <c:pt idx="577">
                  <c:v>5.5</c:v>
                </c:pt>
                <c:pt idx="578">
                  <c:v>5.5</c:v>
                </c:pt>
                <c:pt idx="579">
                  <c:v>5.6</c:v>
                </c:pt>
                <c:pt idx="580">
                  <c:v>5.6</c:v>
                </c:pt>
                <c:pt idx="581">
                  <c:v>5.3</c:v>
                </c:pt>
                <c:pt idx="582">
                  <c:v>5.5</c:v>
                </c:pt>
                <c:pt idx="583">
                  <c:v>5.0999999999999996</c:v>
                </c:pt>
                <c:pt idx="584">
                  <c:v>5.2</c:v>
                </c:pt>
                <c:pt idx="585">
                  <c:v>5.2</c:v>
                </c:pt>
                <c:pt idx="586">
                  <c:v>5.4</c:v>
                </c:pt>
                <c:pt idx="587">
                  <c:v>5.4</c:v>
                </c:pt>
                <c:pt idx="588">
                  <c:v>5.3</c:v>
                </c:pt>
                <c:pt idx="589">
                  <c:v>5.2</c:v>
                </c:pt>
                <c:pt idx="590">
                  <c:v>5.2</c:v>
                </c:pt>
                <c:pt idx="591">
                  <c:v>5.0999999999999996</c:v>
                </c:pt>
                <c:pt idx="592">
                  <c:v>4.9000000000000004</c:v>
                </c:pt>
                <c:pt idx="593">
                  <c:v>5</c:v>
                </c:pt>
                <c:pt idx="594">
                  <c:v>4.9000000000000004</c:v>
                </c:pt>
                <c:pt idx="595">
                  <c:v>4.8</c:v>
                </c:pt>
                <c:pt idx="596">
                  <c:v>4.9000000000000004</c:v>
                </c:pt>
                <c:pt idx="597">
                  <c:v>4.7</c:v>
                </c:pt>
                <c:pt idx="598">
                  <c:v>4.5999999999999996</c:v>
                </c:pt>
                <c:pt idx="599">
                  <c:v>4.7</c:v>
                </c:pt>
                <c:pt idx="600">
                  <c:v>4.5999999999999996</c:v>
                </c:pt>
                <c:pt idx="601">
                  <c:v>4.5999999999999996</c:v>
                </c:pt>
                <c:pt idx="602">
                  <c:v>4.7</c:v>
                </c:pt>
                <c:pt idx="603">
                  <c:v>4.3</c:v>
                </c:pt>
                <c:pt idx="604">
                  <c:v>4.4000000000000004</c:v>
                </c:pt>
                <c:pt idx="605">
                  <c:v>4.5</c:v>
                </c:pt>
                <c:pt idx="606">
                  <c:v>4.5</c:v>
                </c:pt>
                <c:pt idx="607">
                  <c:v>4.5</c:v>
                </c:pt>
                <c:pt idx="608">
                  <c:v>4.5999999999999996</c:v>
                </c:pt>
                <c:pt idx="609">
                  <c:v>4.5</c:v>
                </c:pt>
                <c:pt idx="610">
                  <c:v>4.4000000000000004</c:v>
                </c:pt>
                <c:pt idx="611">
                  <c:v>4.4000000000000004</c:v>
                </c:pt>
                <c:pt idx="612">
                  <c:v>4.3</c:v>
                </c:pt>
                <c:pt idx="613">
                  <c:v>4.4000000000000004</c:v>
                </c:pt>
                <c:pt idx="614">
                  <c:v>4.2</c:v>
                </c:pt>
                <c:pt idx="615">
                  <c:v>4.3</c:v>
                </c:pt>
                <c:pt idx="616">
                  <c:v>4.2</c:v>
                </c:pt>
                <c:pt idx="617">
                  <c:v>4.3</c:v>
                </c:pt>
                <c:pt idx="618">
                  <c:v>4.3</c:v>
                </c:pt>
                <c:pt idx="619">
                  <c:v>4.2</c:v>
                </c:pt>
                <c:pt idx="620">
                  <c:v>4.2</c:v>
                </c:pt>
                <c:pt idx="621">
                  <c:v>4.0999999999999996</c:v>
                </c:pt>
                <c:pt idx="622">
                  <c:v>4.0999999999999996</c:v>
                </c:pt>
                <c:pt idx="623">
                  <c:v>4</c:v>
                </c:pt>
                <c:pt idx="624">
                  <c:v>4</c:v>
                </c:pt>
                <c:pt idx="625">
                  <c:v>4.0999999999999996</c:v>
                </c:pt>
                <c:pt idx="626">
                  <c:v>4</c:v>
                </c:pt>
                <c:pt idx="627">
                  <c:v>3.8</c:v>
                </c:pt>
                <c:pt idx="628">
                  <c:v>4</c:v>
                </c:pt>
                <c:pt idx="629">
                  <c:v>4</c:v>
                </c:pt>
                <c:pt idx="630">
                  <c:v>4</c:v>
                </c:pt>
                <c:pt idx="631">
                  <c:v>4.0999999999999996</c:v>
                </c:pt>
                <c:pt idx="632">
                  <c:v>3.9</c:v>
                </c:pt>
                <c:pt idx="633">
                  <c:v>3.9</c:v>
                </c:pt>
                <c:pt idx="634">
                  <c:v>3.9</c:v>
                </c:pt>
                <c:pt idx="635">
                  <c:v>3.9</c:v>
                </c:pt>
                <c:pt idx="636">
                  <c:v>4.2</c:v>
                </c:pt>
                <c:pt idx="637">
                  <c:v>4.2</c:v>
                </c:pt>
                <c:pt idx="638">
                  <c:v>4.3</c:v>
                </c:pt>
                <c:pt idx="639">
                  <c:v>4.4000000000000004</c:v>
                </c:pt>
                <c:pt idx="640">
                  <c:v>4.3</c:v>
                </c:pt>
                <c:pt idx="641">
                  <c:v>4.5</c:v>
                </c:pt>
                <c:pt idx="642">
                  <c:v>4.5999999999999996</c:v>
                </c:pt>
                <c:pt idx="643">
                  <c:v>4.9000000000000004</c:v>
                </c:pt>
                <c:pt idx="644">
                  <c:v>5</c:v>
                </c:pt>
                <c:pt idx="645">
                  <c:v>5.3</c:v>
                </c:pt>
                <c:pt idx="646">
                  <c:v>5.5</c:v>
                </c:pt>
                <c:pt idx="647">
                  <c:v>5.7</c:v>
                </c:pt>
                <c:pt idx="648">
                  <c:v>5.7</c:v>
                </c:pt>
                <c:pt idx="649">
                  <c:v>5.7</c:v>
                </c:pt>
                <c:pt idx="650">
                  <c:v>5.7</c:v>
                </c:pt>
                <c:pt idx="651">
                  <c:v>5.9</c:v>
                </c:pt>
                <c:pt idx="652">
                  <c:v>5.8</c:v>
                </c:pt>
                <c:pt idx="653">
                  <c:v>5.8</c:v>
                </c:pt>
                <c:pt idx="654">
                  <c:v>5.8</c:v>
                </c:pt>
                <c:pt idx="655">
                  <c:v>5.7</c:v>
                </c:pt>
                <c:pt idx="656">
                  <c:v>5.7</c:v>
                </c:pt>
                <c:pt idx="657">
                  <c:v>5.7</c:v>
                </c:pt>
                <c:pt idx="658">
                  <c:v>5.9</c:v>
                </c:pt>
                <c:pt idx="659">
                  <c:v>6</c:v>
                </c:pt>
                <c:pt idx="660">
                  <c:v>5.8</c:v>
                </c:pt>
                <c:pt idx="661">
                  <c:v>5.9</c:v>
                </c:pt>
                <c:pt idx="662">
                  <c:v>5.9</c:v>
                </c:pt>
                <c:pt idx="663">
                  <c:v>6</c:v>
                </c:pt>
                <c:pt idx="664">
                  <c:v>6.1</c:v>
                </c:pt>
                <c:pt idx="665">
                  <c:v>6.3</c:v>
                </c:pt>
                <c:pt idx="666">
                  <c:v>6.2</c:v>
                </c:pt>
                <c:pt idx="667">
                  <c:v>6.1</c:v>
                </c:pt>
                <c:pt idx="668">
                  <c:v>6.1</c:v>
                </c:pt>
                <c:pt idx="669">
                  <c:v>6</c:v>
                </c:pt>
                <c:pt idx="670">
                  <c:v>5.8</c:v>
                </c:pt>
                <c:pt idx="671">
                  <c:v>5.7</c:v>
                </c:pt>
                <c:pt idx="672">
                  <c:v>5.7</c:v>
                </c:pt>
                <c:pt idx="673">
                  <c:v>5.6</c:v>
                </c:pt>
                <c:pt idx="674">
                  <c:v>5.8</c:v>
                </c:pt>
                <c:pt idx="675">
                  <c:v>5.6</c:v>
                </c:pt>
                <c:pt idx="676">
                  <c:v>5.6</c:v>
                </c:pt>
                <c:pt idx="677">
                  <c:v>5.6</c:v>
                </c:pt>
                <c:pt idx="678">
                  <c:v>5.5</c:v>
                </c:pt>
                <c:pt idx="679">
                  <c:v>5.4</c:v>
                </c:pt>
                <c:pt idx="680">
                  <c:v>5.4</c:v>
                </c:pt>
                <c:pt idx="681">
                  <c:v>5.5</c:v>
                </c:pt>
                <c:pt idx="682">
                  <c:v>5.4</c:v>
                </c:pt>
                <c:pt idx="683">
                  <c:v>5.4</c:v>
                </c:pt>
                <c:pt idx="684">
                  <c:v>5.3</c:v>
                </c:pt>
                <c:pt idx="685">
                  <c:v>5.4</c:v>
                </c:pt>
                <c:pt idx="686">
                  <c:v>5.2</c:v>
                </c:pt>
                <c:pt idx="687">
                  <c:v>5.2</c:v>
                </c:pt>
                <c:pt idx="688">
                  <c:v>5.0999999999999996</c:v>
                </c:pt>
                <c:pt idx="689">
                  <c:v>5</c:v>
                </c:pt>
                <c:pt idx="690">
                  <c:v>5</c:v>
                </c:pt>
                <c:pt idx="691">
                  <c:v>4.9000000000000004</c:v>
                </c:pt>
                <c:pt idx="692">
                  <c:v>5</c:v>
                </c:pt>
                <c:pt idx="693">
                  <c:v>5</c:v>
                </c:pt>
                <c:pt idx="694">
                  <c:v>5</c:v>
                </c:pt>
                <c:pt idx="695">
                  <c:v>4.9000000000000004</c:v>
                </c:pt>
                <c:pt idx="696">
                  <c:v>4.7</c:v>
                </c:pt>
                <c:pt idx="697">
                  <c:v>4.8</c:v>
                </c:pt>
                <c:pt idx="698">
                  <c:v>4.7</c:v>
                </c:pt>
                <c:pt idx="699">
                  <c:v>4.7</c:v>
                </c:pt>
                <c:pt idx="700">
                  <c:v>4.5999999999999996</c:v>
                </c:pt>
                <c:pt idx="701">
                  <c:v>4.5999999999999996</c:v>
                </c:pt>
                <c:pt idx="702">
                  <c:v>4.7</c:v>
                </c:pt>
                <c:pt idx="703">
                  <c:v>4.7</c:v>
                </c:pt>
                <c:pt idx="704">
                  <c:v>4.5</c:v>
                </c:pt>
                <c:pt idx="705">
                  <c:v>4.4000000000000004</c:v>
                </c:pt>
                <c:pt idx="706">
                  <c:v>4.5</c:v>
                </c:pt>
                <c:pt idx="707">
                  <c:v>4.4000000000000004</c:v>
                </c:pt>
                <c:pt idx="708">
                  <c:v>4.5999999999999996</c:v>
                </c:pt>
                <c:pt idx="709">
                  <c:v>4.5</c:v>
                </c:pt>
                <c:pt idx="710">
                  <c:v>4.4000000000000004</c:v>
                </c:pt>
                <c:pt idx="711">
                  <c:v>4.5</c:v>
                </c:pt>
                <c:pt idx="712">
                  <c:v>4.4000000000000004</c:v>
                </c:pt>
                <c:pt idx="713">
                  <c:v>4.5999999999999996</c:v>
                </c:pt>
                <c:pt idx="714">
                  <c:v>4.7</c:v>
                </c:pt>
                <c:pt idx="715">
                  <c:v>4.5999999999999996</c:v>
                </c:pt>
                <c:pt idx="716">
                  <c:v>4.7</c:v>
                </c:pt>
                <c:pt idx="717">
                  <c:v>4.7</c:v>
                </c:pt>
                <c:pt idx="718">
                  <c:v>4.7</c:v>
                </c:pt>
                <c:pt idx="719">
                  <c:v>5</c:v>
                </c:pt>
                <c:pt idx="720">
                  <c:v>5</c:v>
                </c:pt>
                <c:pt idx="721">
                  <c:v>4.9000000000000004</c:v>
                </c:pt>
                <c:pt idx="722">
                  <c:v>5.0999999999999996</c:v>
                </c:pt>
                <c:pt idx="723">
                  <c:v>5</c:v>
                </c:pt>
                <c:pt idx="724">
                  <c:v>5.4</c:v>
                </c:pt>
                <c:pt idx="725">
                  <c:v>5.6</c:v>
                </c:pt>
                <c:pt idx="726">
                  <c:v>5.8</c:v>
                </c:pt>
                <c:pt idx="727">
                  <c:v>6.1</c:v>
                </c:pt>
                <c:pt idx="728">
                  <c:v>6.1</c:v>
                </c:pt>
                <c:pt idx="729">
                  <c:v>6.5</c:v>
                </c:pt>
                <c:pt idx="730">
                  <c:v>6.8</c:v>
                </c:pt>
                <c:pt idx="731">
                  <c:v>7.3</c:v>
                </c:pt>
                <c:pt idx="732">
                  <c:v>7.8</c:v>
                </c:pt>
                <c:pt idx="733">
                  <c:v>8.3000000000000007</c:v>
                </c:pt>
                <c:pt idx="734">
                  <c:v>8.6999999999999993</c:v>
                </c:pt>
                <c:pt idx="735">
                  <c:v>9</c:v>
                </c:pt>
                <c:pt idx="736">
                  <c:v>9.4</c:v>
                </c:pt>
                <c:pt idx="737">
                  <c:v>9.5</c:v>
                </c:pt>
                <c:pt idx="738">
                  <c:v>9.5</c:v>
                </c:pt>
                <c:pt idx="739">
                  <c:v>9.6</c:v>
                </c:pt>
                <c:pt idx="740">
                  <c:v>9.8000000000000007</c:v>
                </c:pt>
                <c:pt idx="741">
                  <c:v>10</c:v>
                </c:pt>
                <c:pt idx="742">
                  <c:v>9.9</c:v>
                </c:pt>
                <c:pt idx="743">
                  <c:v>9.9</c:v>
                </c:pt>
                <c:pt idx="744">
                  <c:v>9.8000000000000007</c:v>
                </c:pt>
                <c:pt idx="745">
                  <c:v>9.8000000000000007</c:v>
                </c:pt>
                <c:pt idx="746">
                  <c:v>9.9</c:v>
                </c:pt>
                <c:pt idx="747">
                  <c:v>9.9</c:v>
                </c:pt>
                <c:pt idx="748">
                  <c:v>9.6</c:v>
                </c:pt>
                <c:pt idx="749">
                  <c:v>9.4</c:v>
                </c:pt>
                <c:pt idx="750">
                  <c:v>9.4</c:v>
                </c:pt>
                <c:pt idx="751">
                  <c:v>9.5</c:v>
                </c:pt>
                <c:pt idx="752">
                  <c:v>9.5</c:v>
                </c:pt>
                <c:pt idx="753">
                  <c:v>9.4</c:v>
                </c:pt>
                <c:pt idx="754">
                  <c:v>9.8000000000000007</c:v>
                </c:pt>
                <c:pt idx="755">
                  <c:v>9.3000000000000007</c:v>
                </c:pt>
                <c:pt idx="756">
                  <c:v>9.1</c:v>
                </c:pt>
                <c:pt idx="757">
                  <c:v>9</c:v>
                </c:pt>
                <c:pt idx="758">
                  <c:v>9</c:v>
                </c:pt>
                <c:pt idx="759">
                  <c:v>9.1</c:v>
                </c:pt>
                <c:pt idx="760">
                  <c:v>9</c:v>
                </c:pt>
                <c:pt idx="761">
                  <c:v>9.1</c:v>
                </c:pt>
                <c:pt idx="762">
                  <c:v>9</c:v>
                </c:pt>
                <c:pt idx="763">
                  <c:v>9</c:v>
                </c:pt>
                <c:pt idx="764">
                  <c:v>9</c:v>
                </c:pt>
                <c:pt idx="765">
                  <c:v>8.8000000000000007</c:v>
                </c:pt>
                <c:pt idx="766">
                  <c:v>8.6</c:v>
                </c:pt>
                <c:pt idx="767">
                  <c:v>8.5</c:v>
                </c:pt>
                <c:pt idx="768">
                  <c:v>8.3000000000000007</c:v>
                </c:pt>
                <c:pt idx="769">
                  <c:v>8.3000000000000007</c:v>
                </c:pt>
                <c:pt idx="770">
                  <c:v>8.1999999999999993</c:v>
                </c:pt>
                <c:pt idx="771">
                  <c:v>8.1999999999999993</c:v>
                </c:pt>
                <c:pt idx="772">
                  <c:v>8.1999999999999993</c:v>
                </c:pt>
                <c:pt idx="773">
                  <c:v>8.1999999999999993</c:v>
                </c:pt>
                <c:pt idx="774">
                  <c:v>8.1999999999999993</c:v>
                </c:pt>
                <c:pt idx="775">
                  <c:v>8.1</c:v>
                </c:pt>
                <c:pt idx="776">
                  <c:v>7.8</c:v>
                </c:pt>
                <c:pt idx="777">
                  <c:v>7.8</c:v>
                </c:pt>
                <c:pt idx="778">
                  <c:v>7.7</c:v>
                </c:pt>
                <c:pt idx="779">
                  <c:v>7.9</c:v>
                </c:pt>
                <c:pt idx="780">
                  <c:v>8</c:v>
                </c:pt>
                <c:pt idx="781">
                  <c:v>7.7</c:v>
                </c:pt>
                <c:pt idx="782">
                  <c:v>7.5</c:v>
                </c:pt>
                <c:pt idx="783">
                  <c:v>7.6</c:v>
                </c:pt>
                <c:pt idx="784">
                  <c:v>7.5</c:v>
                </c:pt>
                <c:pt idx="785">
                  <c:v>7.5</c:v>
                </c:pt>
                <c:pt idx="786">
                  <c:v>7.3</c:v>
                </c:pt>
                <c:pt idx="787">
                  <c:v>7.2</c:v>
                </c:pt>
                <c:pt idx="788">
                  <c:v>7.2</c:v>
                </c:pt>
                <c:pt idx="789">
                  <c:v>7.2</c:v>
                </c:pt>
                <c:pt idx="790">
                  <c:v>6.9</c:v>
                </c:pt>
                <c:pt idx="791">
                  <c:v>6.7</c:v>
                </c:pt>
                <c:pt idx="792">
                  <c:v>6.6</c:v>
                </c:pt>
                <c:pt idx="793">
                  <c:v>6.7</c:v>
                </c:pt>
                <c:pt idx="794">
                  <c:v>6.7</c:v>
                </c:pt>
                <c:pt idx="795">
                  <c:v>6.2</c:v>
                </c:pt>
                <c:pt idx="796">
                  <c:v>6.3</c:v>
                </c:pt>
                <c:pt idx="797">
                  <c:v>6.1</c:v>
                </c:pt>
                <c:pt idx="798">
                  <c:v>6.2</c:v>
                </c:pt>
                <c:pt idx="799">
                  <c:v>6.1</c:v>
                </c:pt>
                <c:pt idx="800">
                  <c:v>5.9</c:v>
                </c:pt>
                <c:pt idx="801">
                  <c:v>5.7</c:v>
                </c:pt>
                <c:pt idx="802">
                  <c:v>5.8</c:v>
                </c:pt>
                <c:pt idx="803">
                  <c:v>5.6</c:v>
                </c:pt>
                <c:pt idx="804">
                  <c:v>5.7</c:v>
                </c:pt>
                <c:pt idx="805">
                  <c:v>5.5</c:v>
                </c:pt>
                <c:pt idx="806">
                  <c:v>5.4</c:v>
                </c:pt>
                <c:pt idx="807">
                  <c:v>5.4</c:v>
                </c:pt>
                <c:pt idx="808">
                  <c:v>5.6</c:v>
                </c:pt>
                <c:pt idx="809">
                  <c:v>5.3</c:v>
                </c:pt>
                <c:pt idx="810">
                  <c:v>5.2</c:v>
                </c:pt>
                <c:pt idx="811">
                  <c:v>5.0999999999999996</c:v>
                </c:pt>
                <c:pt idx="812">
                  <c:v>5</c:v>
                </c:pt>
                <c:pt idx="813">
                  <c:v>5</c:v>
                </c:pt>
                <c:pt idx="814">
                  <c:v>5.0999999999999996</c:v>
                </c:pt>
                <c:pt idx="815">
                  <c:v>5</c:v>
                </c:pt>
                <c:pt idx="816">
                  <c:v>4.8</c:v>
                </c:pt>
                <c:pt idx="817">
                  <c:v>4.9000000000000004</c:v>
                </c:pt>
                <c:pt idx="818">
                  <c:v>5</c:v>
                </c:pt>
                <c:pt idx="819">
                  <c:v>5.0999999999999996</c:v>
                </c:pt>
                <c:pt idx="820">
                  <c:v>4.8</c:v>
                </c:pt>
                <c:pt idx="821">
                  <c:v>4.9000000000000004</c:v>
                </c:pt>
                <c:pt idx="822">
                  <c:v>4.8</c:v>
                </c:pt>
                <c:pt idx="823">
                  <c:v>4.9000000000000004</c:v>
                </c:pt>
                <c:pt idx="824">
                  <c:v>5</c:v>
                </c:pt>
                <c:pt idx="825">
                  <c:v>4.9000000000000004</c:v>
                </c:pt>
                <c:pt idx="826">
                  <c:v>4.7</c:v>
                </c:pt>
                <c:pt idx="827">
                  <c:v>4.7</c:v>
                </c:pt>
                <c:pt idx="828">
                  <c:v>4.7</c:v>
                </c:pt>
                <c:pt idx="829">
                  <c:v>4.5999999999999996</c:v>
                </c:pt>
                <c:pt idx="830">
                  <c:v>4.4000000000000004</c:v>
                </c:pt>
                <c:pt idx="831">
                  <c:v>4.4000000000000004</c:v>
                </c:pt>
                <c:pt idx="832">
                  <c:v>4.4000000000000004</c:v>
                </c:pt>
                <c:pt idx="833">
                  <c:v>4.3</c:v>
                </c:pt>
                <c:pt idx="834">
                  <c:v>4.3</c:v>
                </c:pt>
                <c:pt idx="835">
                  <c:v>4.4000000000000004</c:v>
                </c:pt>
                <c:pt idx="836">
                  <c:v>4.3</c:v>
                </c:pt>
                <c:pt idx="837">
                  <c:v>4.2</c:v>
                </c:pt>
                <c:pt idx="838">
                  <c:v>4.2</c:v>
                </c:pt>
                <c:pt idx="839">
                  <c:v>4.0999999999999996</c:v>
                </c:pt>
                <c:pt idx="840">
                  <c:v>4</c:v>
                </c:pt>
                <c:pt idx="841">
                  <c:v>4.0999999999999996</c:v>
                </c:pt>
                <c:pt idx="842">
                  <c:v>4</c:v>
                </c:pt>
                <c:pt idx="843">
                  <c:v>4</c:v>
                </c:pt>
                <c:pt idx="844">
                  <c:v>3.8</c:v>
                </c:pt>
                <c:pt idx="845">
                  <c:v>4</c:v>
                </c:pt>
                <c:pt idx="846">
                  <c:v>3.8</c:v>
                </c:pt>
                <c:pt idx="847">
                  <c:v>3.8</c:v>
                </c:pt>
                <c:pt idx="848">
                  <c:v>3.7</c:v>
                </c:pt>
                <c:pt idx="849">
                  <c:v>3.8</c:v>
                </c:pt>
                <c:pt idx="850">
                  <c:v>3.8</c:v>
                </c:pt>
                <c:pt idx="851">
                  <c:v>3.9</c:v>
                </c:pt>
                <c:pt idx="852">
                  <c:v>4</c:v>
                </c:pt>
                <c:pt idx="853">
                  <c:v>3.8</c:v>
                </c:pt>
                <c:pt idx="854">
                  <c:v>3.8</c:v>
                </c:pt>
                <c:pt idx="855">
                  <c:v>3.7</c:v>
                </c:pt>
                <c:pt idx="856">
                  <c:v>3.6</c:v>
                </c:pt>
                <c:pt idx="857">
                  <c:v>3.6</c:v>
                </c:pt>
                <c:pt idx="858">
                  <c:v>3.7</c:v>
                </c:pt>
                <c:pt idx="859">
                  <c:v>3.6</c:v>
                </c:pt>
                <c:pt idx="860">
                  <c:v>3.5</c:v>
                </c:pt>
                <c:pt idx="861">
                  <c:v>3.6</c:v>
                </c:pt>
                <c:pt idx="862">
                  <c:v>3.6</c:v>
                </c:pt>
                <c:pt idx="863">
                  <c:v>3.6</c:v>
                </c:pt>
                <c:pt idx="864">
                  <c:v>3.6</c:v>
                </c:pt>
                <c:pt idx="865">
                  <c:v>3.5</c:v>
                </c:pt>
                <c:pt idx="866">
                  <c:v>4.4000000000000004</c:v>
                </c:pt>
                <c:pt idx="867">
                  <c:v>14.8</c:v>
                </c:pt>
                <c:pt idx="868">
                  <c:v>13.2</c:v>
                </c:pt>
                <c:pt idx="869">
                  <c:v>11</c:v>
                </c:pt>
                <c:pt idx="870">
                  <c:v>10.199999999999999</c:v>
                </c:pt>
                <c:pt idx="871">
                  <c:v>8.4</c:v>
                </c:pt>
                <c:pt idx="872">
                  <c:v>7.8</c:v>
                </c:pt>
                <c:pt idx="873">
                  <c:v>6.9</c:v>
                </c:pt>
                <c:pt idx="874">
                  <c:v>6.7</c:v>
                </c:pt>
                <c:pt idx="875">
                  <c:v>6.7</c:v>
                </c:pt>
                <c:pt idx="876">
                  <c:v>6.4</c:v>
                </c:pt>
                <c:pt idx="877">
                  <c:v>6.2</c:v>
                </c:pt>
                <c:pt idx="878">
                  <c:v>6.1</c:v>
                </c:pt>
                <c:pt idx="879">
                  <c:v>6.1</c:v>
                </c:pt>
                <c:pt idx="880">
                  <c:v>5.8</c:v>
                </c:pt>
                <c:pt idx="881">
                  <c:v>5.9</c:v>
                </c:pt>
                <c:pt idx="882">
                  <c:v>5.4</c:v>
                </c:pt>
                <c:pt idx="883">
                  <c:v>5.0999999999999996</c:v>
                </c:pt>
                <c:pt idx="884">
                  <c:v>4.7</c:v>
                </c:pt>
                <c:pt idx="885">
                  <c:v>4.5</c:v>
                </c:pt>
                <c:pt idx="886">
                  <c:v>4.0999999999999996</c:v>
                </c:pt>
                <c:pt idx="887">
                  <c:v>3.9</c:v>
                </c:pt>
                <c:pt idx="888">
                  <c:v>4</c:v>
                </c:pt>
                <c:pt idx="889">
                  <c:v>3.9</c:v>
                </c:pt>
                <c:pt idx="890">
                  <c:v>3.7</c:v>
                </c:pt>
                <c:pt idx="891">
                  <c:v>3.7</c:v>
                </c:pt>
                <c:pt idx="892">
                  <c:v>3.6</c:v>
                </c:pt>
                <c:pt idx="893">
                  <c:v>3.6</c:v>
                </c:pt>
                <c:pt idx="894">
                  <c:v>3.5</c:v>
                </c:pt>
                <c:pt idx="895">
                  <c:v>3.6</c:v>
                </c:pt>
                <c:pt idx="896">
                  <c:v>3.5</c:v>
                </c:pt>
                <c:pt idx="897">
                  <c:v>3.6</c:v>
                </c:pt>
                <c:pt idx="898">
                  <c:v>3.6</c:v>
                </c:pt>
                <c:pt idx="899">
                  <c:v>3.5</c:v>
                </c:pt>
                <c:pt idx="900">
                  <c:v>3.5</c:v>
                </c:pt>
                <c:pt idx="901">
                  <c:v>3.6</c:v>
                </c:pt>
                <c:pt idx="902">
                  <c:v>3.5</c:v>
                </c:pt>
                <c:pt idx="903">
                  <c:v>3.4</c:v>
                </c:pt>
                <c:pt idx="904">
                  <c:v>3.6</c:v>
                </c:pt>
                <c:pt idx="905">
                  <c:v>3.6</c:v>
                </c:pt>
                <c:pt idx="906">
                  <c:v>3.5</c:v>
                </c:pt>
                <c:pt idx="907">
                  <c:v>3.7</c:v>
                </c:pt>
                <c:pt idx="908">
                  <c:v>3.7</c:v>
                </c:pt>
                <c:pt idx="909">
                  <c:v>3.9</c:v>
                </c:pt>
                <c:pt idx="910">
                  <c:v>3.7</c:v>
                </c:pt>
                <c:pt idx="911">
                  <c:v>3.8</c:v>
                </c:pt>
                <c:pt idx="912">
                  <c:v>3.7</c:v>
                </c:pt>
                <c:pt idx="913">
                  <c:v>3.9</c:v>
                </c:pt>
                <c:pt idx="914">
                  <c:v>3.9</c:v>
                </c:pt>
                <c:pt idx="915">
                  <c:v>3.9</c:v>
                </c:pt>
                <c:pt idx="916">
                  <c:v>3.9</c:v>
                </c:pt>
                <c:pt idx="917">
                  <c:v>4.0999999999999996</c:v>
                </c:pt>
                <c:pt idx="918">
                  <c:v>4.2</c:v>
                </c:pt>
                <c:pt idx="919">
                  <c:v>4.2</c:v>
                </c:pt>
                <c:pt idx="920">
                  <c:v>4.0999999999999996</c:v>
                </c:pt>
                <c:pt idx="921">
                  <c:v>4.0999999999999996</c:v>
                </c:pt>
                <c:pt idx="922">
                  <c:v>4.2</c:v>
                </c:pt>
                <c:pt idx="923">
                  <c:v>4.0999999999999996</c:v>
                </c:pt>
                <c:pt idx="924">
                  <c:v>4</c:v>
                </c:pt>
                <c:pt idx="925">
                  <c:v>4.2</c:v>
                </c:pt>
                <c:pt idx="926">
                  <c:v>4.2</c:v>
                </c:pt>
                <c:pt idx="927">
                  <c:v>4.2</c:v>
                </c:pt>
                <c:pt idx="928">
                  <c:v>4.3</c:v>
                </c:pt>
                <c:pt idx="929">
                  <c:v>4.0999999999999996</c:v>
                </c:pt>
                <c:pt idx="930">
                  <c:v>4.3</c:v>
                </c:pt>
                <c:pt idx="931">
                  <c:v>4.3</c:v>
                </c:pt>
                <c:pt idx="932">
                  <c:v>4.4000000000000004</c:v>
                </c:pt>
                <c:pt idx="933">
                  <c:v>4.5</c:v>
                </c:pt>
                <c:pt idx="934">
                  <c:v>4.4000000000000004</c:v>
                </c:pt>
                <c:pt idx="935">
                  <c:v>4.3</c:v>
                </c:pt>
                <c:pt idx="936">
                  <c:v>4.4000000000000004</c:v>
                </c:pt>
                <c:pt idx="937">
                  <c:v>4.3</c:v>
                </c:pt>
                <c:pt idx="938">
                  <c:v>4.3</c:v>
                </c:pt>
                <c:pt idx="939">
                  <c:v>4.3</c:v>
                </c:pt>
                <c:pt idx="940">
                  <c:v>4.2</c:v>
                </c:pt>
                <c:pt idx="941">
                  <c:v>4.0999999999999996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708-4F49-ABB6-5882A77FA6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32305695"/>
        <c:axId val="1246813392"/>
      </c:lineChart>
      <c:dateAx>
        <c:axId val="1332305695"/>
        <c:scaling>
          <c:orientation val="minMax"/>
        </c:scaling>
        <c:delete val="0"/>
        <c:axPos val="b"/>
        <c:numFmt formatCode="yyyy/mm/dd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595959"/>
                </a:solidFill>
                <a:latin typeface="Aptos Narrow"/>
                <a:ea typeface="Aptos Narrow"/>
                <a:cs typeface="Aptos Narrow"/>
              </a:defRPr>
            </a:pPr>
            <a:endParaRPr lang="en-US"/>
          </a:p>
        </c:txPr>
        <c:crossAx val="1246813392"/>
        <c:crosses val="autoZero"/>
        <c:auto val="0"/>
        <c:lblOffset val="100"/>
        <c:baseTimeUnit val="months"/>
      </c:dateAx>
      <c:valAx>
        <c:axId val="124681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D9D9D9"/>
              </a:solidFill>
              <a:prstDash val="solid"/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595959"/>
                </a:solidFill>
                <a:latin typeface="Aptos Narrow"/>
                <a:ea typeface="Aptos Narrow"/>
                <a:cs typeface="Aptos Narrow"/>
              </a:defRPr>
            </a:pPr>
            <a:endParaRPr lang="en-US"/>
          </a:p>
        </c:txPr>
        <c:crossAx val="13323056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rgbClr val="D9D9D9"/>
      </a:solidFill>
      <a:prstDash val="solid"/>
      <a:round/>
    </a:ln>
    <a:effectLst/>
  </c:spPr>
  <c:txPr>
    <a:bodyPr/>
    <a:lstStyle/>
    <a:p>
      <a:pPr>
        <a:defRPr sz="900">
          <a:solidFill>
            <a:srgbClr val="595959"/>
          </a:solidFill>
          <a:latin typeface="Aptos Narrow"/>
          <a:ea typeface="Aptos Narrow"/>
          <a:cs typeface="Aptos Narrow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1F4E79"/>
                </a:solidFill>
                <a:latin typeface="Aptos Narrow"/>
                <a:ea typeface="Aptos Narrow"/>
                <a:cs typeface="Aptos Narrow"/>
              </a:defRPr>
            </a:pPr>
            <a:r>
              <a:rPr lang="en-US"/>
              <a:t>UNEMP — Chg MoM (pp) (bars) vs level (line, rhs)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1F4E79"/>
              </a:solidFill>
              <a:latin typeface="Aptos Narrow"/>
              <a:ea typeface="Aptos Narrow"/>
              <a:cs typeface="Aptos Narrow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UNEMP!$I$12</c:f>
              <c:strCache>
                <c:ptCount val="1"/>
                <c:pt idx="0">
                  <c:v>Frequency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UNEMP!$H$13:$H$24</c:f>
              <c:numCache>
                <c:formatCode>0.0000</c:formatCode>
                <c:ptCount val="12"/>
                <c:pt idx="0">
                  <c:v>-1.1499999999999992</c:v>
                </c:pt>
                <c:pt idx="1">
                  <c:v>-9.9999999999999201E-2</c:v>
                </c:pt>
                <c:pt idx="2">
                  <c:v>0.95000000000000107</c:v>
                </c:pt>
                <c:pt idx="3">
                  <c:v>2.0000000000000009</c:v>
                </c:pt>
                <c:pt idx="4">
                  <c:v>3.0500000000000007</c:v>
                </c:pt>
                <c:pt idx="5">
                  <c:v>4.1000000000000014</c:v>
                </c:pt>
                <c:pt idx="6">
                  <c:v>5.1500000000000012</c:v>
                </c:pt>
                <c:pt idx="7">
                  <c:v>6.2000000000000011</c:v>
                </c:pt>
                <c:pt idx="8">
                  <c:v>7.2500000000000018</c:v>
                </c:pt>
                <c:pt idx="9">
                  <c:v>8.3000000000000007</c:v>
                </c:pt>
                <c:pt idx="10">
                  <c:v>9.3500000000000014</c:v>
                </c:pt>
                <c:pt idx="11">
                  <c:v>10.400000000000002</c:v>
                </c:pt>
              </c:numCache>
            </c:numRef>
          </c:cat>
          <c:val>
            <c:numRef>
              <c:f>UNEMP!$I$13:$I$24</c:f>
              <c:numCache>
                <c:formatCode>General</c:formatCode>
                <c:ptCount val="12"/>
                <c:pt idx="0">
                  <c:v>4</c:v>
                </c:pt>
                <c:pt idx="1">
                  <c:v>382</c:v>
                </c:pt>
                <c:pt idx="2">
                  <c:v>552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D26-4141-A35B-C0E8B83A22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32295023"/>
        <c:axId val="1246823472"/>
      </c:barChart>
      <c:catAx>
        <c:axId val="1332295023"/>
        <c:scaling>
          <c:orientation val="minMax"/>
        </c:scaling>
        <c:delete val="0"/>
        <c:axPos val="b"/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595959"/>
                </a:solidFill>
                <a:latin typeface="Aptos Narrow"/>
                <a:ea typeface="Aptos Narrow"/>
                <a:cs typeface="Aptos Narrow"/>
              </a:defRPr>
            </a:pPr>
            <a:endParaRPr lang="en-US"/>
          </a:p>
        </c:txPr>
        <c:crossAx val="1246823472"/>
        <c:crosses val="autoZero"/>
        <c:auto val="1"/>
        <c:lblAlgn val="ctr"/>
        <c:lblOffset val="100"/>
        <c:noMultiLvlLbl val="1"/>
      </c:catAx>
      <c:valAx>
        <c:axId val="1246823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D9D9D9"/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595959"/>
                </a:solidFill>
                <a:latin typeface="Aptos Narrow"/>
                <a:ea typeface="Aptos Narrow"/>
                <a:cs typeface="Aptos Narrow"/>
              </a:defRPr>
            </a:pPr>
            <a:endParaRPr lang="en-US"/>
          </a:p>
        </c:txPr>
        <c:crossAx val="1332295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595959"/>
              </a:solidFill>
              <a:latin typeface="Aptos Narrow"/>
              <a:ea typeface="Aptos Narrow"/>
              <a:cs typeface="Aptos Narrow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rgbClr val="D9D9D9"/>
      </a:solidFill>
      <a:prstDash val="solid"/>
      <a:round/>
    </a:ln>
    <a:effectLst/>
  </c:spPr>
  <c:txPr>
    <a:bodyPr/>
    <a:lstStyle/>
    <a:p>
      <a:pPr>
        <a:defRPr sz="900">
          <a:solidFill>
            <a:srgbClr val="595959"/>
          </a:solidFill>
          <a:latin typeface="Aptos Narrow"/>
          <a:ea typeface="Aptos Narrow"/>
          <a:cs typeface="Aptos Narrow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1F4E79"/>
                </a:solidFill>
                <a:latin typeface="Aptos Narrow"/>
                <a:ea typeface="Aptos Narrow"/>
                <a:cs typeface="Aptos Narrow"/>
              </a:defRPr>
            </a:pPr>
            <a:r>
              <a:rPr lang="en-US"/>
              <a:t>UNEMP — distribution of Chg MoM (pp) (histogram)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1F4E79"/>
              </a:solidFill>
              <a:latin typeface="Aptos Narrow"/>
              <a:ea typeface="Aptos Narrow"/>
              <a:cs typeface="Aptos Narrow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UNEMP!$V$8</c:f>
              <c:strCache>
                <c:ptCount val="1"/>
                <c:pt idx="0">
                  <c:v>Actual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UNEMP!$U$9:$U$11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cat>
          <c:val>
            <c:numRef>
              <c:f>UNEMP!$V$9:$V$11</c:f>
              <c:numCache>
                <c:formatCode>0.0%</c:formatCode>
                <c:ptCount val="3"/>
                <c:pt idx="0">
                  <c:v>0.95749202975557912</c:v>
                </c:pt>
                <c:pt idx="1">
                  <c:v>0.98937300743889478</c:v>
                </c:pt>
                <c:pt idx="2">
                  <c:v>0.99362380446333687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6CA-497E-A5DF-4FCF4434EEAA}"/>
            </c:ext>
          </c:extLst>
        </c:ser>
        <c:ser>
          <c:idx val="1"/>
          <c:order val="1"/>
          <c:tx>
            <c:strRef>
              <c:f>UNEMP!$W$8</c:f>
              <c:strCache>
                <c:ptCount val="1"/>
                <c:pt idx="0">
                  <c:v>Normal %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UNEMP!$U$9:$U$11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cat>
          <c:val>
            <c:numRef>
              <c:f>UNEMP!$W$9:$W$11</c:f>
              <c:numCache>
                <c:formatCode>0.0%</c:formatCode>
                <c:ptCount val="3"/>
                <c:pt idx="0">
                  <c:v>0.68200000000000005</c:v>
                </c:pt>
                <c:pt idx="1">
                  <c:v>0.95399999999999996</c:v>
                </c:pt>
                <c:pt idx="2">
                  <c:v>0.997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02-4677-B0E8-6C7351C8C5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"/>
        <c:overlap val="-27"/>
        <c:axId val="1332309871"/>
        <c:axId val="1246816272"/>
      </c:barChart>
      <c:catAx>
        <c:axId val="1332309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595959"/>
                </a:solidFill>
                <a:latin typeface="Aptos Narrow"/>
                <a:ea typeface="Aptos Narrow"/>
                <a:cs typeface="Aptos Narrow"/>
              </a:defRPr>
            </a:pPr>
            <a:endParaRPr lang="en-US"/>
          </a:p>
        </c:txPr>
        <c:crossAx val="1246816272"/>
        <c:crosses val="autoZero"/>
        <c:auto val="1"/>
        <c:lblAlgn val="ctr"/>
        <c:lblOffset val="100"/>
        <c:noMultiLvlLbl val="0"/>
      </c:catAx>
      <c:valAx>
        <c:axId val="1246816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D9D9D9"/>
              </a:solidFill>
              <a:prstDash val="solid"/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595959"/>
                </a:solidFill>
                <a:latin typeface="Aptos Narrow"/>
                <a:ea typeface="Aptos Narrow"/>
                <a:cs typeface="Aptos Narrow"/>
              </a:defRPr>
            </a:pPr>
            <a:endParaRPr lang="en-US"/>
          </a:p>
        </c:txPr>
        <c:crossAx val="13323098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595959"/>
              </a:solidFill>
              <a:latin typeface="Aptos Narrow"/>
              <a:ea typeface="Aptos Narrow"/>
              <a:cs typeface="Aptos Narrow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rgbClr val="D9D9D9"/>
      </a:solidFill>
      <a:prstDash val="solid"/>
      <a:round/>
    </a:ln>
    <a:effectLst/>
  </c:spPr>
  <c:txPr>
    <a:bodyPr/>
    <a:lstStyle/>
    <a:p>
      <a:pPr>
        <a:defRPr sz="900">
          <a:solidFill>
            <a:srgbClr val="595959"/>
          </a:solidFill>
          <a:latin typeface="Aptos Narrow"/>
          <a:ea typeface="Aptos Narrow"/>
          <a:cs typeface="Aptos Narrow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1F4E79"/>
                </a:solidFill>
                <a:latin typeface="Aptos Narrow"/>
                <a:ea typeface="Aptos Narrow"/>
                <a:cs typeface="Aptos Narrow"/>
              </a:defRPr>
            </a:pPr>
            <a:r>
              <a:rPr lang="en-US"/>
              <a:t>Capacity utilization (total) — level, 1967–present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1F4E79"/>
              </a:solidFill>
              <a:latin typeface="Aptos Narrow"/>
              <a:ea typeface="Aptos Narrow"/>
              <a:cs typeface="Aptos Narrow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CAPU!$B$4</c:f>
              <c:strCache>
                <c:ptCount val="1"/>
                <c:pt idx="0">
                  <c:v>Value</c:v>
                </c:pt>
              </c:strCache>
            </c:strRef>
          </c:tx>
          <c:spPr>
            <a:ln w="25400" cap="rnd">
              <a:solidFill>
                <a:srgbClr val="1F4E79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CAPU!$A$5:$A$718</c:f>
              <c:numCache>
                <c:formatCode>yyyy/mm/dd</c:formatCode>
                <c:ptCount val="714"/>
                <c:pt idx="0">
                  <c:v>24473</c:v>
                </c:pt>
                <c:pt idx="1">
                  <c:v>24504</c:v>
                </c:pt>
                <c:pt idx="2">
                  <c:v>24532</c:v>
                </c:pt>
                <c:pt idx="3">
                  <c:v>24563</c:v>
                </c:pt>
                <c:pt idx="4">
                  <c:v>24593</c:v>
                </c:pt>
                <c:pt idx="5">
                  <c:v>24624</c:v>
                </c:pt>
                <c:pt idx="6">
                  <c:v>24654</c:v>
                </c:pt>
                <c:pt idx="7">
                  <c:v>24685</c:v>
                </c:pt>
                <c:pt idx="8">
                  <c:v>24716</c:v>
                </c:pt>
                <c:pt idx="9">
                  <c:v>24746</c:v>
                </c:pt>
                <c:pt idx="10">
                  <c:v>24777</c:v>
                </c:pt>
                <c:pt idx="11">
                  <c:v>24807</c:v>
                </c:pt>
                <c:pt idx="12">
                  <c:v>24838</c:v>
                </c:pt>
                <c:pt idx="13">
                  <c:v>24869</c:v>
                </c:pt>
                <c:pt idx="14">
                  <c:v>24898</c:v>
                </c:pt>
                <c:pt idx="15">
                  <c:v>24929</c:v>
                </c:pt>
                <c:pt idx="16">
                  <c:v>24959</c:v>
                </c:pt>
                <c:pt idx="17">
                  <c:v>24990</c:v>
                </c:pt>
                <c:pt idx="18">
                  <c:v>25020</c:v>
                </c:pt>
                <c:pt idx="19">
                  <c:v>25051</c:v>
                </c:pt>
                <c:pt idx="20">
                  <c:v>25082</c:v>
                </c:pt>
                <c:pt idx="21">
                  <c:v>25112</c:v>
                </c:pt>
                <c:pt idx="22">
                  <c:v>25143</c:v>
                </c:pt>
                <c:pt idx="23">
                  <c:v>25173</c:v>
                </c:pt>
                <c:pt idx="24">
                  <c:v>25204</c:v>
                </c:pt>
                <c:pt idx="25">
                  <c:v>25235</c:v>
                </c:pt>
                <c:pt idx="26">
                  <c:v>25263</c:v>
                </c:pt>
                <c:pt idx="27">
                  <c:v>25294</c:v>
                </c:pt>
                <c:pt idx="28">
                  <c:v>25324</c:v>
                </c:pt>
                <c:pt idx="29">
                  <c:v>25355</c:v>
                </c:pt>
                <c:pt idx="30">
                  <c:v>25385</c:v>
                </c:pt>
                <c:pt idx="31">
                  <c:v>25416</c:v>
                </c:pt>
                <c:pt idx="32">
                  <c:v>25447</c:v>
                </c:pt>
                <c:pt idx="33">
                  <c:v>25477</c:v>
                </c:pt>
                <c:pt idx="34">
                  <c:v>25508</c:v>
                </c:pt>
                <c:pt idx="35">
                  <c:v>25538</c:v>
                </c:pt>
                <c:pt idx="36">
                  <c:v>25569</c:v>
                </c:pt>
                <c:pt idx="37">
                  <c:v>25600</c:v>
                </c:pt>
                <c:pt idx="38">
                  <c:v>25628</c:v>
                </c:pt>
                <c:pt idx="39">
                  <c:v>25659</c:v>
                </c:pt>
                <c:pt idx="40">
                  <c:v>25689</c:v>
                </c:pt>
                <c:pt idx="41">
                  <c:v>25720</c:v>
                </c:pt>
                <c:pt idx="42">
                  <c:v>25750</c:v>
                </c:pt>
                <c:pt idx="43">
                  <c:v>25781</c:v>
                </c:pt>
                <c:pt idx="44">
                  <c:v>25812</c:v>
                </c:pt>
                <c:pt idx="45">
                  <c:v>25842</c:v>
                </c:pt>
                <c:pt idx="46">
                  <c:v>25873</c:v>
                </c:pt>
                <c:pt idx="47">
                  <c:v>25903</c:v>
                </c:pt>
                <c:pt idx="48">
                  <c:v>25934</c:v>
                </c:pt>
                <c:pt idx="49">
                  <c:v>25965</c:v>
                </c:pt>
                <c:pt idx="50">
                  <c:v>25993</c:v>
                </c:pt>
                <c:pt idx="51">
                  <c:v>26024</c:v>
                </c:pt>
                <c:pt idx="52">
                  <c:v>26054</c:v>
                </c:pt>
                <c:pt idx="53">
                  <c:v>26085</c:v>
                </c:pt>
                <c:pt idx="54">
                  <c:v>26115</c:v>
                </c:pt>
                <c:pt idx="55">
                  <c:v>26146</c:v>
                </c:pt>
                <c:pt idx="56">
                  <c:v>26177</c:v>
                </c:pt>
                <c:pt idx="57">
                  <c:v>26207</c:v>
                </c:pt>
                <c:pt idx="58">
                  <c:v>26238</c:v>
                </c:pt>
                <c:pt idx="59">
                  <c:v>26268</c:v>
                </c:pt>
                <c:pt idx="60">
                  <c:v>26299</c:v>
                </c:pt>
                <c:pt idx="61">
                  <c:v>26330</c:v>
                </c:pt>
                <c:pt idx="62">
                  <c:v>26359</c:v>
                </c:pt>
                <c:pt idx="63">
                  <c:v>26390</c:v>
                </c:pt>
                <c:pt idx="64">
                  <c:v>26420</c:v>
                </c:pt>
                <c:pt idx="65">
                  <c:v>26451</c:v>
                </c:pt>
                <c:pt idx="66">
                  <c:v>26481</c:v>
                </c:pt>
                <c:pt idx="67">
                  <c:v>26512</c:v>
                </c:pt>
                <c:pt idx="68">
                  <c:v>26543</c:v>
                </c:pt>
                <c:pt idx="69">
                  <c:v>26573</c:v>
                </c:pt>
                <c:pt idx="70">
                  <c:v>26604</c:v>
                </c:pt>
                <c:pt idx="71">
                  <c:v>26634</c:v>
                </c:pt>
                <c:pt idx="72">
                  <c:v>26665</c:v>
                </c:pt>
                <c:pt idx="73">
                  <c:v>26696</c:v>
                </c:pt>
                <c:pt idx="74">
                  <c:v>26724</c:v>
                </c:pt>
                <c:pt idx="75">
                  <c:v>26755</c:v>
                </c:pt>
                <c:pt idx="76">
                  <c:v>26785</c:v>
                </c:pt>
                <c:pt idx="77">
                  <c:v>26816</c:v>
                </c:pt>
                <c:pt idx="78">
                  <c:v>26846</c:v>
                </c:pt>
                <c:pt idx="79">
                  <c:v>26877</c:v>
                </c:pt>
                <c:pt idx="80">
                  <c:v>26908</c:v>
                </c:pt>
                <c:pt idx="81">
                  <c:v>26938</c:v>
                </c:pt>
                <c:pt idx="82">
                  <c:v>26969</c:v>
                </c:pt>
                <c:pt idx="83">
                  <c:v>26999</c:v>
                </c:pt>
                <c:pt idx="84">
                  <c:v>27030</c:v>
                </c:pt>
                <c:pt idx="85">
                  <c:v>27061</c:v>
                </c:pt>
                <c:pt idx="86">
                  <c:v>27089</c:v>
                </c:pt>
                <c:pt idx="87">
                  <c:v>27120</c:v>
                </c:pt>
                <c:pt idx="88">
                  <c:v>27150</c:v>
                </c:pt>
                <c:pt idx="89">
                  <c:v>27181</c:v>
                </c:pt>
                <c:pt idx="90">
                  <c:v>27211</c:v>
                </c:pt>
                <c:pt idx="91">
                  <c:v>27242</c:v>
                </c:pt>
                <c:pt idx="92">
                  <c:v>27273</c:v>
                </c:pt>
                <c:pt idx="93">
                  <c:v>27303</c:v>
                </c:pt>
                <c:pt idx="94">
                  <c:v>27334</c:v>
                </c:pt>
                <c:pt idx="95">
                  <c:v>27364</c:v>
                </c:pt>
                <c:pt idx="96">
                  <c:v>27395</c:v>
                </c:pt>
                <c:pt idx="97">
                  <c:v>27426</c:v>
                </c:pt>
                <c:pt idx="98">
                  <c:v>27454</c:v>
                </c:pt>
                <c:pt idx="99">
                  <c:v>27485</c:v>
                </c:pt>
                <c:pt idx="100">
                  <c:v>27515</c:v>
                </c:pt>
                <c:pt idx="101">
                  <c:v>27546</c:v>
                </c:pt>
                <c:pt idx="102">
                  <c:v>27576</c:v>
                </c:pt>
                <c:pt idx="103">
                  <c:v>27607</c:v>
                </c:pt>
                <c:pt idx="104">
                  <c:v>27638</c:v>
                </c:pt>
                <c:pt idx="105">
                  <c:v>27668</c:v>
                </c:pt>
                <c:pt idx="106">
                  <c:v>27699</c:v>
                </c:pt>
                <c:pt idx="107">
                  <c:v>27729</c:v>
                </c:pt>
                <c:pt idx="108">
                  <c:v>27760</c:v>
                </c:pt>
                <c:pt idx="109">
                  <c:v>27791</c:v>
                </c:pt>
                <c:pt idx="110">
                  <c:v>27820</c:v>
                </c:pt>
                <c:pt idx="111">
                  <c:v>27851</c:v>
                </c:pt>
                <c:pt idx="112">
                  <c:v>27881</c:v>
                </c:pt>
                <c:pt idx="113">
                  <c:v>27912</c:v>
                </c:pt>
                <c:pt idx="114">
                  <c:v>27942</c:v>
                </c:pt>
                <c:pt idx="115">
                  <c:v>27973</c:v>
                </c:pt>
                <c:pt idx="116">
                  <c:v>28004</c:v>
                </c:pt>
                <c:pt idx="117">
                  <c:v>28034</c:v>
                </c:pt>
                <c:pt idx="118">
                  <c:v>28065</c:v>
                </c:pt>
                <c:pt idx="119">
                  <c:v>28095</c:v>
                </c:pt>
                <c:pt idx="120">
                  <c:v>28126</c:v>
                </c:pt>
                <c:pt idx="121">
                  <c:v>28157</c:v>
                </c:pt>
                <c:pt idx="122">
                  <c:v>28185</c:v>
                </c:pt>
                <c:pt idx="123">
                  <c:v>28216</c:v>
                </c:pt>
                <c:pt idx="124">
                  <c:v>28246</c:v>
                </c:pt>
                <c:pt idx="125">
                  <c:v>28277</c:v>
                </c:pt>
                <c:pt idx="126">
                  <c:v>28307</c:v>
                </c:pt>
                <c:pt idx="127">
                  <c:v>28338</c:v>
                </c:pt>
                <c:pt idx="128">
                  <c:v>28369</c:v>
                </c:pt>
                <c:pt idx="129">
                  <c:v>28399</c:v>
                </c:pt>
                <c:pt idx="130">
                  <c:v>28430</c:v>
                </c:pt>
                <c:pt idx="131">
                  <c:v>28460</c:v>
                </c:pt>
                <c:pt idx="132">
                  <c:v>28491</c:v>
                </c:pt>
                <c:pt idx="133">
                  <c:v>28522</c:v>
                </c:pt>
                <c:pt idx="134">
                  <c:v>28550</c:v>
                </c:pt>
                <c:pt idx="135">
                  <c:v>28581</c:v>
                </c:pt>
                <c:pt idx="136">
                  <c:v>28611</c:v>
                </c:pt>
                <c:pt idx="137">
                  <c:v>28642</c:v>
                </c:pt>
                <c:pt idx="138">
                  <c:v>28672</c:v>
                </c:pt>
                <c:pt idx="139">
                  <c:v>28703</c:v>
                </c:pt>
                <c:pt idx="140">
                  <c:v>28734</c:v>
                </c:pt>
                <c:pt idx="141">
                  <c:v>28764</c:v>
                </c:pt>
                <c:pt idx="142">
                  <c:v>28795</c:v>
                </c:pt>
                <c:pt idx="143">
                  <c:v>28825</c:v>
                </c:pt>
                <c:pt idx="144">
                  <c:v>28856</c:v>
                </c:pt>
                <c:pt idx="145">
                  <c:v>28887</c:v>
                </c:pt>
                <c:pt idx="146">
                  <c:v>28915</c:v>
                </c:pt>
                <c:pt idx="147">
                  <c:v>28946</c:v>
                </c:pt>
                <c:pt idx="148">
                  <c:v>28976</c:v>
                </c:pt>
                <c:pt idx="149">
                  <c:v>29007</c:v>
                </c:pt>
                <c:pt idx="150">
                  <c:v>29037</c:v>
                </c:pt>
                <c:pt idx="151">
                  <c:v>29068</c:v>
                </c:pt>
                <c:pt idx="152">
                  <c:v>29099</c:v>
                </c:pt>
                <c:pt idx="153">
                  <c:v>29129</c:v>
                </c:pt>
                <c:pt idx="154">
                  <c:v>29160</c:v>
                </c:pt>
                <c:pt idx="155">
                  <c:v>29190</c:v>
                </c:pt>
                <c:pt idx="156">
                  <c:v>29221</c:v>
                </c:pt>
                <c:pt idx="157">
                  <c:v>29252</c:v>
                </c:pt>
                <c:pt idx="158">
                  <c:v>29281</c:v>
                </c:pt>
                <c:pt idx="159">
                  <c:v>29312</c:v>
                </c:pt>
                <c:pt idx="160">
                  <c:v>29342</c:v>
                </c:pt>
                <c:pt idx="161">
                  <c:v>29373</c:v>
                </c:pt>
                <c:pt idx="162">
                  <c:v>29403</c:v>
                </c:pt>
                <c:pt idx="163">
                  <c:v>29434</c:v>
                </c:pt>
                <c:pt idx="164">
                  <c:v>29465</c:v>
                </c:pt>
                <c:pt idx="165">
                  <c:v>29495</c:v>
                </c:pt>
                <c:pt idx="166">
                  <c:v>29526</c:v>
                </c:pt>
                <c:pt idx="167">
                  <c:v>29556</c:v>
                </c:pt>
                <c:pt idx="168">
                  <c:v>29587</c:v>
                </c:pt>
                <c:pt idx="169">
                  <c:v>29618</c:v>
                </c:pt>
                <c:pt idx="170">
                  <c:v>29646</c:v>
                </c:pt>
                <c:pt idx="171">
                  <c:v>29677</c:v>
                </c:pt>
                <c:pt idx="172">
                  <c:v>29707</c:v>
                </c:pt>
                <c:pt idx="173">
                  <c:v>29738</c:v>
                </c:pt>
                <c:pt idx="174">
                  <c:v>29768</c:v>
                </c:pt>
                <c:pt idx="175">
                  <c:v>29799</c:v>
                </c:pt>
                <c:pt idx="176">
                  <c:v>29830</c:v>
                </c:pt>
                <c:pt idx="177">
                  <c:v>29860</c:v>
                </c:pt>
                <c:pt idx="178">
                  <c:v>29891</c:v>
                </c:pt>
                <c:pt idx="179">
                  <c:v>29921</c:v>
                </c:pt>
                <c:pt idx="180">
                  <c:v>29952</c:v>
                </c:pt>
                <c:pt idx="181">
                  <c:v>29983</c:v>
                </c:pt>
                <c:pt idx="182">
                  <c:v>30011</c:v>
                </c:pt>
                <c:pt idx="183">
                  <c:v>30042</c:v>
                </c:pt>
                <c:pt idx="184">
                  <c:v>30072</c:v>
                </c:pt>
                <c:pt idx="185">
                  <c:v>30103</c:v>
                </c:pt>
                <c:pt idx="186">
                  <c:v>30133</c:v>
                </c:pt>
                <c:pt idx="187">
                  <c:v>30164</c:v>
                </c:pt>
                <c:pt idx="188">
                  <c:v>30195</c:v>
                </c:pt>
                <c:pt idx="189">
                  <c:v>30225</c:v>
                </c:pt>
                <c:pt idx="190">
                  <c:v>30256</c:v>
                </c:pt>
                <c:pt idx="191">
                  <c:v>30286</c:v>
                </c:pt>
                <c:pt idx="192">
                  <c:v>30317</c:v>
                </c:pt>
                <c:pt idx="193">
                  <c:v>30348</c:v>
                </c:pt>
                <c:pt idx="194">
                  <c:v>30376</c:v>
                </c:pt>
                <c:pt idx="195">
                  <c:v>30407</c:v>
                </c:pt>
                <c:pt idx="196">
                  <c:v>30437</c:v>
                </c:pt>
                <c:pt idx="197">
                  <c:v>30468</c:v>
                </c:pt>
                <c:pt idx="198">
                  <c:v>30498</c:v>
                </c:pt>
                <c:pt idx="199">
                  <c:v>30529</c:v>
                </c:pt>
                <c:pt idx="200">
                  <c:v>30560</c:v>
                </c:pt>
                <c:pt idx="201">
                  <c:v>30590</c:v>
                </c:pt>
                <c:pt idx="202">
                  <c:v>30621</c:v>
                </c:pt>
                <c:pt idx="203">
                  <c:v>30651</c:v>
                </c:pt>
                <c:pt idx="204">
                  <c:v>30682</c:v>
                </c:pt>
                <c:pt idx="205">
                  <c:v>30713</c:v>
                </c:pt>
                <c:pt idx="206">
                  <c:v>30742</c:v>
                </c:pt>
                <c:pt idx="207">
                  <c:v>30773</c:v>
                </c:pt>
                <c:pt idx="208">
                  <c:v>30803</c:v>
                </c:pt>
                <c:pt idx="209">
                  <c:v>30834</c:v>
                </c:pt>
                <c:pt idx="210">
                  <c:v>30864</c:v>
                </c:pt>
                <c:pt idx="211">
                  <c:v>30895</c:v>
                </c:pt>
                <c:pt idx="212">
                  <c:v>30926</c:v>
                </c:pt>
                <c:pt idx="213">
                  <c:v>30956</c:v>
                </c:pt>
                <c:pt idx="214">
                  <c:v>30987</c:v>
                </c:pt>
                <c:pt idx="215">
                  <c:v>31017</c:v>
                </c:pt>
                <c:pt idx="216">
                  <c:v>31048</c:v>
                </c:pt>
                <c:pt idx="217">
                  <c:v>31079</c:v>
                </c:pt>
                <c:pt idx="218">
                  <c:v>31107</c:v>
                </c:pt>
                <c:pt idx="219">
                  <c:v>31138</c:v>
                </c:pt>
                <c:pt idx="220">
                  <c:v>31168</c:v>
                </c:pt>
                <c:pt idx="221">
                  <c:v>31199</c:v>
                </c:pt>
                <c:pt idx="222">
                  <c:v>31229</c:v>
                </c:pt>
                <c:pt idx="223">
                  <c:v>31260</c:v>
                </c:pt>
                <c:pt idx="224">
                  <c:v>31291</c:v>
                </c:pt>
                <c:pt idx="225">
                  <c:v>31321</c:v>
                </c:pt>
                <c:pt idx="226">
                  <c:v>31352</c:v>
                </c:pt>
                <c:pt idx="227">
                  <c:v>31382</c:v>
                </c:pt>
                <c:pt idx="228">
                  <c:v>31413</c:v>
                </c:pt>
                <c:pt idx="229">
                  <c:v>31444</c:v>
                </c:pt>
                <c:pt idx="230">
                  <c:v>31472</c:v>
                </c:pt>
                <c:pt idx="231">
                  <c:v>31503</c:v>
                </c:pt>
                <c:pt idx="232">
                  <c:v>31533</c:v>
                </c:pt>
                <c:pt idx="233">
                  <c:v>31564</c:v>
                </c:pt>
                <c:pt idx="234">
                  <c:v>31594</c:v>
                </c:pt>
                <c:pt idx="235">
                  <c:v>31625</c:v>
                </c:pt>
                <c:pt idx="236">
                  <c:v>31656</c:v>
                </c:pt>
                <c:pt idx="237">
                  <c:v>31686</c:v>
                </c:pt>
                <c:pt idx="238">
                  <c:v>31717</c:v>
                </c:pt>
                <c:pt idx="239">
                  <c:v>31747</c:v>
                </c:pt>
                <c:pt idx="240">
                  <c:v>31778</c:v>
                </c:pt>
                <c:pt idx="241">
                  <c:v>31809</c:v>
                </c:pt>
                <c:pt idx="242">
                  <c:v>31837</c:v>
                </c:pt>
                <c:pt idx="243">
                  <c:v>31868</c:v>
                </c:pt>
                <c:pt idx="244">
                  <c:v>31898</c:v>
                </c:pt>
                <c:pt idx="245">
                  <c:v>31929</c:v>
                </c:pt>
                <c:pt idx="246">
                  <c:v>31959</c:v>
                </c:pt>
                <c:pt idx="247">
                  <c:v>31990</c:v>
                </c:pt>
                <c:pt idx="248">
                  <c:v>32021</c:v>
                </c:pt>
                <c:pt idx="249">
                  <c:v>32051</c:v>
                </c:pt>
                <c:pt idx="250">
                  <c:v>32082</c:v>
                </c:pt>
                <c:pt idx="251">
                  <c:v>32112</c:v>
                </c:pt>
                <c:pt idx="252">
                  <c:v>32143</c:v>
                </c:pt>
                <c:pt idx="253">
                  <c:v>32174</c:v>
                </c:pt>
                <c:pt idx="254">
                  <c:v>32203</c:v>
                </c:pt>
                <c:pt idx="255">
                  <c:v>32234</c:v>
                </c:pt>
                <c:pt idx="256">
                  <c:v>32264</c:v>
                </c:pt>
                <c:pt idx="257">
                  <c:v>32295</c:v>
                </c:pt>
                <c:pt idx="258">
                  <c:v>32325</c:v>
                </c:pt>
                <c:pt idx="259">
                  <c:v>32356</c:v>
                </c:pt>
                <c:pt idx="260">
                  <c:v>32387</c:v>
                </c:pt>
                <c:pt idx="261">
                  <c:v>32417</c:v>
                </c:pt>
                <c:pt idx="262">
                  <c:v>32448</c:v>
                </c:pt>
                <c:pt idx="263">
                  <c:v>32478</c:v>
                </c:pt>
                <c:pt idx="264">
                  <c:v>32509</c:v>
                </c:pt>
                <c:pt idx="265">
                  <c:v>32540</c:v>
                </c:pt>
                <c:pt idx="266">
                  <c:v>32568</c:v>
                </c:pt>
                <c:pt idx="267">
                  <c:v>32599</c:v>
                </c:pt>
                <c:pt idx="268">
                  <c:v>32629</c:v>
                </c:pt>
                <c:pt idx="269">
                  <c:v>32660</c:v>
                </c:pt>
                <c:pt idx="270">
                  <c:v>32690</c:v>
                </c:pt>
                <c:pt idx="271">
                  <c:v>32721</c:v>
                </c:pt>
                <c:pt idx="272">
                  <c:v>32752</c:v>
                </c:pt>
                <c:pt idx="273">
                  <c:v>32782</c:v>
                </c:pt>
                <c:pt idx="274">
                  <c:v>32813</c:v>
                </c:pt>
                <c:pt idx="275">
                  <c:v>32843</c:v>
                </c:pt>
                <c:pt idx="276">
                  <c:v>32874</c:v>
                </c:pt>
                <c:pt idx="277">
                  <c:v>32905</c:v>
                </c:pt>
                <c:pt idx="278">
                  <c:v>32933</c:v>
                </c:pt>
                <c:pt idx="279">
                  <c:v>32964</c:v>
                </c:pt>
                <c:pt idx="280">
                  <c:v>32994</c:v>
                </c:pt>
                <c:pt idx="281">
                  <c:v>33025</c:v>
                </c:pt>
                <c:pt idx="282">
                  <c:v>33055</c:v>
                </c:pt>
                <c:pt idx="283">
                  <c:v>33086</c:v>
                </c:pt>
                <c:pt idx="284">
                  <c:v>33117</c:v>
                </c:pt>
                <c:pt idx="285">
                  <c:v>33147</c:v>
                </c:pt>
                <c:pt idx="286">
                  <c:v>33178</c:v>
                </c:pt>
                <c:pt idx="287">
                  <c:v>33208</c:v>
                </c:pt>
                <c:pt idx="288">
                  <c:v>33239</c:v>
                </c:pt>
                <c:pt idx="289">
                  <c:v>33270</c:v>
                </c:pt>
                <c:pt idx="290">
                  <c:v>33298</c:v>
                </c:pt>
                <c:pt idx="291">
                  <c:v>33329</c:v>
                </c:pt>
                <c:pt idx="292">
                  <c:v>33359</c:v>
                </c:pt>
                <c:pt idx="293">
                  <c:v>33390</c:v>
                </c:pt>
                <c:pt idx="294">
                  <c:v>33420</c:v>
                </c:pt>
                <c:pt idx="295">
                  <c:v>33451</c:v>
                </c:pt>
                <c:pt idx="296">
                  <c:v>33482</c:v>
                </c:pt>
                <c:pt idx="297">
                  <c:v>33512</c:v>
                </c:pt>
                <c:pt idx="298">
                  <c:v>33543</c:v>
                </c:pt>
                <c:pt idx="299">
                  <c:v>33573</c:v>
                </c:pt>
                <c:pt idx="300">
                  <c:v>33604</c:v>
                </c:pt>
                <c:pt idx="301">
                  <c:v>33635</c:v>
                </c:pt>
                <c:pt idx="302">
                  <c:v>33664</c:v>
                </c:pt>
                <c:pt idx="303">
                  <c:v>33695</c:v>
                </c:pt>
                <c:pt idx="304">
                  <c:v>33725</c:v>
                </c:pt>
                <c:pt idx="305">
                  <c:v>33756</c:v>
                </c:pt>
                <c:pt idx="306">
                  <c:v>33786</c:v>
                </c:pt>
                <c:pt idx="307">
                  <c:v>33817</c:v>
                </c:pt>
                <c:pt idx="308">
                  <c:v>33848</c:v>
                </c:pt>
                <c:pt idx="309">
                  <c:v>33878</c:v>
                </c:pt>
                <c:pt idx="310">
                  <c:v>33909</c:v>
                </c:pt>
                <c:pt idx="311">
                  <c:v>33939</c:v>
                </c:pt>
                <c:pt idx="312">
                  <c:v>33970</c:v>
                </c:pt>
                <c:pt idx="313">
                  <c:v>34001</c:v>
                </c:pt>
                <c:pt idx="314">
                  <c:v>34029</c:v>
                </c:pt>
                <c:pt idx="315">
                  <c:v>34060</c:v>
                </c:pt>
                <c:pt idx="316">
                  <c:v>34090</c:v>
                </c:pt>
                <c:pt idx="317">
                  <c:v>34121</c:v>
                </c:pt>
                <c:pt idx="318">
                  <c:v>34151</c:v>
                </c:pt>
                <c:pt idx="319">
                  <c:v>34182</c:v>
                </c:pt>
                <c:pt idx="320">
                  <c:v>34213</c:v>
                </c:pt>
                <c:pt idx="321">
                  <c:v>34243</c:v>
                </c:pt>
                <c:pt idx="322">
                  <c:v>34274</c:v>
                </c:pt>
                <c:pt idx="323">
                  <c:v>34304</c:v>
                </c:pt>
                <c:pt idx="324">
                  <c:v>34335</c:v>
                </c:pt>
                <c:pt idx="325">
                  <c:v>34366</c:v>
                </c:pt>
                <c:pt idx="326">
                  <c:v>34394</c:v>
                </c:pt>
                <c:pt idx="327">
                  <c:v>34425</c:v>
                </c:pt>
                <c:pt idx="328">
                  <c:v>34455</c:v>
                </c:pt>
                <c:pt idx="329">
                  <c:v>34486</c:v>
                </c:pt>
                <c:pt idx="330">
                  <c:v>34516</c:v>
                </c:pt>
                <c:pt idx="331">
                  <c:v>34547</c:v>
                </c:pt>
                <c:pt idx="332">
                  <c:v>34578</c:v>
                </c:pt>
                <c:pt idx="333">
                  <c:v>34608</c:v>
                </c:pt>
                <c:pt idx="334">
                  <c:v>34639</c:v>
                </c:pt>
                <c:pt idx="335">
                  <c:v>34669</c:v>
                </c:pt>
                <c:pt idx="336">
                  <c:v>34700</c:v>
                </c:pt>
                <c:pt idx="337">
                  <c:v>34731</c:v>
                </c:pt>
                <c:pt idx="338">
                  <c:v>34759</c:v>
                </c:pt>
                <c:pt idx="339">
                  <c:v>34790</c:v>
                </c:pt>
                <c:pt idx="340">
                  <c:v>34820</c:v>
                </c:pt>
                <c:pt idx="341">
                  <c:v>34851</c:v>
                </c:pt>
                <c:pt idx="342">
                  <c:v>34881</c:v>
                </c:pt>
                <c:pt idx="343">
                  <c:v>34912</c:v>
                </c:pt>
                <c:pt idx="344">
                  <c:v>34943</c:v>
                </c:pt>
                <c:pt idx="345">
                  <c:v>34973</c:v>
                </c:pt>
                <c:pt idx="346">
                  <c:v>35004</c:v>
                </c:pt>
                <c:pt idx="347">
                  <c:v>35034</c:v>
                </c:pt>
                <c:pt idx="348">
                  <c:v>35065</c:v>
                </c:pt>
                <c:pt idx="349">
                  <c:v>35096</c:v>
                </c:pt>
                <c:pt idx="350">
                  <c:v>35125</c:v>
                </c:pt>
                <c:pt idx="351">
                  <c:v>35156</c:v>
                </c:pt>
                <c:pt idx="352">
                  <c:v>35186</c:v>
                </c:pt>
                <c:pt idx="353">
                  <c:v>35217</c:v>
                </c:pt>
                <c:pt idx="354">
                  <c:v>35247</c:v>
                </c:pt>
                <c:pt idx="355">
                  <c:v>35278</c:v>
                </c:pt>
                <c:pt idx="356">
                  <c:v>35309</c:v>
                </c:pt>
                <c:pt idx="357">
                  <c:v>35339</c:v>
                </c:pt>
                <c:pt idx="358">
                  <c:v>35370</c:v>
                </c:pt>
                <c:pt idx="359">
                  <c:v>35400</c:v>
                </c:pt>
                <c:pt idx="360">
                  <c:v>35431</c:v>
                </c:pt>
                <c:pt idx="361">
                  <c:v>35462</c:v>
                </c:pt>
                <c:pt idx="362">
                  <c:v>35490</c:v>
                </c:pt>
                <c:pt idx="363">
                  <c:v>35521</c:v>
                </c:pt>
                <c:pt idx="364">
                  <c:v>35551</c:v>
                </c:pt>
                <c:pt idx="365">
                  <c:v>35582</c:v>
                </c:pt>
                <c:pt idx="366">
                  <c:v>35612</c:v>
                </c:pt>
                <c:pt idx="367">
                  <c:v>35643</c:v>
                </c:pt>
                <c:pt idx="368">
                  <c:v>35674</c:v>
                </c:pt>
                <c:pt idx="369">
                  <c:v>35704</c:v>
                </c:pt>
                <c:pt idx="370">
                  <c:v>35735</c:v>
                </c:pt>
                <c:pt idx="371">
                  <c:v>35765</c:v>
                </c:pt>
                <c:pt idx="372">
                  <c:v>35796</c:v>
                </c:pt>
                <c:pt idx="373">
                  <c:v>35827</c:v>
                </c:pt>
                <c:pt idx="374">
                  <c:v>35855</c:v>
                </c:pt>
                <c:pt idx="375">
                  <c:v>35886</c:v>
                </c:pt>
                <c:pt idx="376">
                  <c:v>35916</c:v>
                </c:pt>
                <c:pt idx="377">
                  <c:v>35947</c:v>
                </c:pt>
                <c:pt idx="378">
                  <c:v>35977</c:v>
                </c:pt>
                <c:pt idx="379">
                  <c:v>36008</c:v>
                </c:pt>
                <c:pt idx="380">
                  <c:v>36039</c:v>
                </c:pt>
                <c:pt idx="381">
                  <c:v>36069</c:v>
                </c:pt>
                <c:pt idx="382">
                  <c:v>36100</c:v>
                </c:pt>
                <c:pt idx="383">
                  <c:v>36130</c:v>
                </c:pt>
                <c:pt idx="384">
                  <c:v>36161</c:v>
                </c:pt>
                <c:pt idx="385">
                  <c:v>36192</c:v>
                </c:pt>
                <c:pt idx="386">
                  <c:v>36220</c:v>
                </c:pt>
                <c:pt idx="387">
                  <c:v>36251</c:v>
                </c:pt>
                <c:pt idx="388">
                  <c:v>36281</c:v>
                </c:pt>
                <c:pt idx="389">
                  <c:v>36312</c:v>
                </c:pt>
                <c:pt idx="390">
                  <c:v>36342</c:v>
                </c:pt>
                <c:pt idx="391">
                  <c:v>36373</c:v>
                </c:pt>
                <c:pt idx="392">
                  <c:v>36404</c:v>
                </c:pt>
                <c:pt idx="393">
                  <c:v>36434</c:v>
                </c:pt>
                <c:pt idx="394">
                  <c:v>36465</c:v>
                </c:pt>
                <c:pt idx="395">
                  <c:v>36495</c:v>
                </c:pt>
                <c:pt idx="396">
                  <c:v>36526</c:v>
                </c:pt>
                <c:pt idx="397">
                  <c:v>36557</c:v>
                </c:pt>
                <c:pt idx="398">
                  <c:v>36586</c:v>
                </c:pt>
                <c:pt idx="399">
                  <c:v>36617</c:v>
                </c:pt>
                <c:pt idx="400">
                  <c:v>36647</c:v>
                </c:pt>
                <c:pt idx="401">
                  <c:v>36678</c:v>
                </c:pt>
                <c:pt idx="402">
                  <c:v>36708</c:v>
                </c:pt>
                <c:pt idx="403">
                  <c:v>36739</c:v>
                </c:pt>
                <c:pt idx="404">
                  <c:v>36770</c:v>
                </c:pt>
                <c:pt idx="405">
                  <c:v>36800</c:v>
                </c:pt>
                <c:pt idx="406">
                  <c:v>36831</c:v>
                </c:pt>
                <c:pt idx="407">
                  <c:v>36861</c:v>
                </c:pt>
                <c:pt idx="408">
                  <c:v>36892</c:v>
                </c:pt>
                <c:pt idx="409">
                  <c:v>36923</c:v>
                </c:pt>
                <c:pt idx="410">
                  <c:v>36951</c:v>
                </c:pt>
                <c:pt idx="411">
                  <c:v>36982</c:v>
                </c:pt>
                <c:pt idx="412">
                  <c:v>37012</c:v>
                </c:pt>
                <c:pt idx="413">
                  <c:v>37043</c:v>
                </c:pt>
                <c:pt idx="414">
                  <c:v>37073</c:v>
                </c:pt>
                <c:pt idx="415">
                  <c:v>37104</c:v>
                </c:pt>
                <c:pt idx="416">
                  <c:v>37135</c:v>
                </c:pt>
                <c:pt idx="417">
                  <c:v>37165</c:v>
                </c:pt>
                <c:pt idx="418">
                  <c:v>37196</c:v>
                </c:pt>
                <c:pt idx="419">
                  <c:v>37226</c:v>
                </c:pt>
                <c:pt idx="420">
                  <c:v>37257</c:v>
                </c:pt>
                <c:pt idx="421">
                  <c:v>37288</c:v>
                </c:pt>
                <c:pt idx="422">
                  <c:v>37316</c:v>
                </c:pt>
                <c:pt idx="423">
                  <c:v>37347</c:v>
                </c:pt>
                <c:pt idx="424">
                  <c:v>37377</c:v>
                </c:pt>
                <c:pt idx="425">
                  <c:v>37408</c:v>
                </c:pt>
                <c:pt idx="426">
                  <c:v>37438</c:v>
                </c:pt>
                <c:pt idx="427">
                  <c:v>37469</c:v>
                </c:pt>
                <c:pt idx="428">
                  <c:v>37500</c:v>
                </c:pt>
                <c:pt idx="429">
                  <c:v>37530</c:v>
                </c:pt>
                <c:pt idx="430">
                  <c:v>37561</c:v>
                </c:pt>
                <c:pt idx="431">
                  <c:v>37591</c:v>
                </c:pt>
                <c:pt idx="432">
                  <c:v>37622</c:v>
                </c:pt>
                <c:pt idx="433">
                  <c:v>37653</c:v>
                </c:pt>
                <c:pt idx="434">
                  <c:v>37681</c:v>
                </c:pt>
                <c:pt idx="435">
                  <c:v>37712</c:v>
                </c:pt>
                <c:pt idx="436">
                  <c:v>37742</c:v>
                </c:pt>
                <c:pt idx="437">
                  <c:v>37773</c:v>
                </c:pt>
                <c:pt idx="438">
                  <c:v>37803</c:v>
                </c:pt>
                <c:pt idx="439">
                  <c:v>37834</c:v>
                </c:pt>
                <c:pt idx="440">
                  <c:v>37865</c:v>
                </c:pt>
                <c:pt idx="441">
                  <c:v>37895</c:v>
                </c:pt>
                <c:pt idx="442">
                  <c:v>37926</c:v>
                </c:pt>
                <c:pt idx="443">
                  <c:v>37956</c:v>
                </c:pt>
                <c:pt idx="444">
                  <c:v>37987</c:v>
                </c:pt>
                <c:pt idx="445">
                  <c:v>38018</c:v>
                </c:pt>
                <c:pt idx="446">
                  <c:v>38047</c:v>
                </c:pt>
                <c:pt idx="447">
                  <c:v>38078</c:v>
                </c:pt>
                <c:pt idx="448">
                  <c:v>38108</c:v>
                </c:pt>
                <c:pt idx="449">
                  <c:v>38139</c:v>
                </c:pt>
                <c:pt idx="450">
                  <c:v>38169</c:v>
                </c:pt>
                <c:pt idx="451">
                  <c:v>38200</c:v>
                </c:pt>
                <c:pt idx="452">
                  <c:v>38231</c:v>
                </c:pt>
                <c:pt idx="453">
                  <c:v>38261</c:v>
                </c:pt>
                <c:pt idx="454">
                  <c:v>38292</c:v>
                </c:pt>
                <c:pt idx="455">
                  <c:v>38322</c:v>
                </c:pt>
                <c:pt idx="456">
                  <c:v>38353</c:v>
                </c:pt>
                <c:pt idx="457">
                  <c:v>38384</c:v>
                </c:pt>
                <c:pt idx="458">
                  <c:v>38412</c:v>
                </c:pt>
                <c:pt idx="459">
                  <c:v>38443</c:v>
                </c:pt>
                <c:pt idx="460">
                  <c:v>38473</c:v>
                </c:pt>
                <c:pt idx="461">
                  <c:v>38504</c:v>
                </c:pt>
                <c:pt idx="462">
                  <c:v>38534</c:v>
                </c:pt>
                <c:pt idx="463">
                  <c:v>38565</c:v>
                </c:pt>
                <c:pt idx="464">
                  <c:v>38596</c:v>
                </c:pt>
                <c:pt idx="465">
                  <c:v>38626</c:v>
                </c:pt>
                <c:pt idx="466">
                  <c:v>38657</c:v>
                </c:pt>
                <c:pt idx="467">
                  <c:v>38687</c:v>
                </c:pt>
                <c:pt idx="468">
                  <c:v>38718</c:v>
                </c:pt>
                <c:pt idx="469">
                  <c:v>38749</c:v>
                </c:pt>
                <c:pt idx="470">
                  <c:v>38777</c:v>
                </c:pt>
                <c:pt idx="471">
                  <c:v>38808</c:v>
                </c:pt>
                <c:pt idx="472">
                  <c:v>38838</c:v>
                </c:pt>
                <c:pt idx="473">
                  <c:v>38869</c:v>
                </c:pt>
                <c:pt idx="474">
                  <c:v>38899</c:v>
                </c:pt>
                <c:pt idx="475">
                  <c:v>38930</c:v>
                </c:pt>
                <c:pt idx="476">
                  <c:v>38961</c:v>
                </c:pt>
                <c:pt idx="477">
                  <c:v>38991</c:v>
                </c:pt>
                <c:pt idx="478">
                  <c:v>39022</c:v>
                </c:pt>
                <c:pt idx="479">
                  <c:v>39052</c:v>
                </c:pt>
                <c:pt idx="480">
                  <c:v>39083</c:v>
                </c:pt>
                <c:pt idx="481">
                  <c:v>39114</c:v>
                </c:pt>
                <c:pt idx="482">
                  <c:v>39142</c:v>
                </c:pt>
                <c:pt idx="483">
                  <c:v>39173</c:v>
                </c:pt>
                <c:pt idx="484">
                  <c:v>39203</c:v>
                </c:pt>
                <c:pt idx="485">
                  <c:v>39234</c:v>
                </c:pt>
                <c:pt idx="486">
                  <c:v>39264</c:v>
                </c:pt>
                <c:pt idx="487">
                  <c:v>39295</c:v>
                </c:pt>
                <c:pt idx="488">
                  <c:v>39326</c:v>
                </c:pt>
                <c:pt idx="489">
                  <c:v>39356</c:v>
                </c:pt>
                <c:pt idx="490">
                  <c:v>39387</c:v>
                </c:pt>
                <c:pt idx="491">
                  <c:v>39417</c:v>
                </c:pt>
                <c:pt idx="492">
                  <c:v>39448</c:v>
                </c:pt>
                <c:pt idx="493">
                  <c:v>39479</c:v>
                </c:pt>
                <c:pt idx="494">
                  <c:v>39508</c:v>
                </c:pt>
                <c:pt idx="495">
                  <c:v>39539</c:v>
                </c:pt>
                <c:pt idx="496">
                  <c:v>39569</c:v>
                </c:pt>
                <c:pt idx="497">
                  <c:v>39600</c:v>
                </c:pt>
                <c:pt idx="498">
                  <c:v>39630</c:v>
                </c:pt>
                <c:pt idx="499">
                  <c:v>39661</c:v>
                </c:pt>
                <c:pt idx="500">
                  <c:v>39692</c:v>
                </c:pt>
                <c:pt idx="501">
                  <c:v>39722</c:v>
                </c:pt>
                <c:pt idx="502">
                  <c:v>39753</c:v>
                </c:pt>
                <c:pt idx="503">
                  <c:v>39783</c:v>
                </c:pt>
                <c:pt idx="504">
                  <c:v>39814</c:v>
                </c:pt>
                <c:pt idx="505">
                  <c:v>39845</c:v>
                </c:pt>
                <c:pt idx="506">
                  <c:v>39873</c:v>
                </c:pt>
                <c:pt idx="507">
                  <c:v>39904</c:v>
                </c:pt>
                <c:pt idx="508">
                  <c:v>39934</c:v>
                </c:pt>
                <c:pt idx="509">
                  <c:v>39965</c:v>
                </c:pt>
                <c:pt idx="510">
                  <c:v>39995</c:v>
                </c:pt>
                <c:pt idx="511">
                  <c:v>40026</c:v>
                </c:pt>
                <c:pt idx="512">
                  <c:v>40057</c:v>
                </c:pt>
                <c:pt idx="513">
                  <c:v>40087</c:v>
                </c:pt>
                <c:pt idx="514">
                  <c:v>40118</c:v>
                </c:pt>
                <c:pt idx="515">
                  <c:v>40148</c:v>
                </c:pt>
                <c:pt idx="516">
                  <c:v>40179</c:v>
                </c:pt>
                <c:pt idx="517">
                  <c:v>40210</c:v>
                </c:pt>
                <c:pt idx="518">
                  <c:v>40238</c:v>
                </c:pt>
                <c:pt idx="519">
                  <c:v>40269</c:v>
                </c:pt>
                <c:pt idx="520">
                  <c:v>40299</c:v>
                </c:pt>
                <c:pt idx="521">
                  <c:v>40330</c:v>
                </c:pt>
                <c:pt idx="522">
                  <c:v>40360</c:v>
                </c:pt>
                <c:pt idx="523">
                  <c:v>40391</c:v>
                </c:pt>
                <c:pt idx="524">
                  <c:v>40422</c:v>
                </c:pt>
                <c:pt idx="525">
                  <c:v>40452</c:v>
                </c:pt>
                <c:pt idx="526">
                  <c:v>40483</c:v>
                </c:pt>
                <c:pt idx="527">
                  <c:v>40513</c:v>
                </c:pt>
                <c:pt idx="528">
                  <c:v>40544</c:v>
                </c:pt>
                <c:pt idx="529">
                  <c:v>40575</c:v>
                </c:pt>
                <c:pt idx="530">
                  <c:v>40603</c:v>
                </c:pt>
                <c:pt idx="531">
                  <c:v>40634</c:v>
                </c:pt>
                <c:pt idx="532">
                  <c:v>40664</c:v>
                </c:pt>
                <c:pt idx="533">
                  <c:v>40695</c:v>
                </c:pt>
                <c:pt idx="534">
                  <c:v>40725</c:v>
                </c:pt>
                <c:pt idx="535">
                  <c:v>40756</c:v>
                </c:pt>
                <c:pt idx="536">
                  <c:v>40787</c:v>
                </c:pt>
                <c:pt idx="537">
                  <c:v>40817</c:v>
                </c:pt>
                <c:pt idx="538">
                  <c:v>40848</c:v>
                </c:pt>
                <c:pt idx="539">
                  <c:v>40878</c:v>
                </c:pt>
                <c:pt idx="540">
                  <c:v>40909</c:v>
                </c:pt>
                <c:pt idx="541">
                  <c:v>40940</c:v>
                </c:pt>
                <c:pt idx="542">
                  <c:v>40969</c:v>
                </c:pt>
                <c:pt idx="543">
                  <c:v>41000</c:v>
                </c:pt>
                <c:pt idx="544">
                  <c:v>41030</c:v>
                </c:pt>
                <c:pt idx="545">
                  <c:v>41061</c:v>
                </c:pt>
                <c:pt idx="546">
                  <c:v>41091</c:v>
                </c:pt>
                <c:pt idx="547">
                  <c:v>41122</c:v>
                </c:pt>
                <c:pt idx="548">
                  <c:v>41153</c:v>
                </c:pt>
                <c:pt idx="549">
                  <c:v>41183</c:v>
                </c:pt>
                <c:pt idx="550">
                  <c:v>41214</c:v>
                </c:pt>
                <c:pt idx="551">
                  <c:v>41244</c:v>
                </c:pt>
                <c:pt idx="552">
                  <c:v>41275</c:v>
                </c:pt>
                <c:pt idx="553">
                  <c:v>41306</c:v>
                </c:pt>
                <c:pt idx="554">
                  <c:v>41334</c:v>
                </c:pt>
                <c:pt idx="555">
                  <c:v>41365</c:v>
                </c:pt>
                <c:pt idx="556">
                  <c:v>41395</c:v>
                </c:pt>
                <c:pt idx="557">
                  <c:v>41426</c:v>
                </c:pt>
                <c:pt idx="558">
                  <c:v>41456</c:v>
                </c:pt>
                <c:pt idx="559">
                  <c:v>41487</c:v>
                </c:pt>
                <c:pt idx="560">
                  <c:v>41518</c:v>
                </c:pt>
                <c:pt idx="561">
                  <c:v>41548</c:v>
                </c:pt>
                <c:pt idx="562">
                  <c:v>41579</c:v>
                </c:pt>
                <c:pt idx="563">
                  <c:v>41609</c:v>
                </c:pt>
                <c:pt idx="564">
                  <c:v>41640</c:v>
                </c:pt>
                <c:pt idx="565">
                  <c:v>41671</c:v>
                </c:pt>
                <c:pt idx="566">
                  <c:v>41699</c:v>
                </c:pt>
                <c:pt idx="567">
                  <c:v>41730</c:v>
                </c:pt>
                <c:pt idx="568">
                  <c:v>41760</c:v>
                </c:pt>
                <c:pt idx="569">
                  <c:v>41791</c:v>
                </c:pt>
                <c:pt idx="570">
                  <c:v>41821</c:v>
                </c:pt>
                <c:pt idx="571">
                  <c:v>41852</c:v>
                </c:pt>
                <c:pt idx="572">
                  <c:v>41883</c:v>
                </c:pt>
                <c:pt idx="573">
                  <c:v>41913</c:v>
                </c:pt>
                <c:pt idx="574">
                  <c:v>41944</c:v>
                </c:pt>
                <c:pt idx="575">
                  <c:v>41974</c:v>
                </c:pt>
                <c:pt idx="576">
                  <c:v>42005</c:v>
                </c:pt>
                <c:pt idx="577">
                  <c:v>42036</c:v>
                </c:pt>
                <c:pt idx="578">
                  <c:v>42064</c:v>
                </c:pt>
                <c:pt idx="579">
                  <c:v>42095</c:v>
                </c:pt>
                <c:pt idx="580">
                  <c:v>42125</c:v>
                </c:pt>
                <c:pt idx="581">
                  <c:v>42156</c:v>
                </c:pt>
                <c:pt idx="582">
                  <c:v>42186</c:v>
                </c:pt>
                <c:pt idx="583">
                  <c:v>42217</c:v>
                </c:pt>
                <c:pt idx="584">
                  <c:v>42248</c:v>
                </c:pt>
                <c:pt idx="585">
                  <c:v>42278</c:v>
                </c:pt>
                <c:pt idx="586">
                  <c:v>42309</c:v>
                </c:pt>
                <c:pt idx="587">
                  <c:v>42339</c:v>
                </c:pt>
                <c:pt idx="588">
                  <c:v>42370</c:v>
                </c:pt>
                <c:pt idx="589">
                  <c:v>42401</c:v>
                </c:pt>
                <c:pt idx="590">
                  <c:v>42430</c:v>
                </c:pt>
                <c:pt idx="591">
                  <c:v>42461</c:v>
                </c:pt>
                <c:pt idx="592">
                  <c:v>42491</c:v>
                </c:pt>
                <c:pt idx="593">
                  <c:v>42522</c:v>
                </c:pt>
                <c:pt idx="594">
                  <c:v>42552</c:v>
                </c:pt>
                <c:pt idx="595">
                  <c:v>42583</c:v>
                </c:pt>
                <c:pt idx="596">
                  <c:v>42614</c:v>
                </c:pt>
                <c:pt idx="597">
                  <c:v>42644</c:v>
                </c:pt>
                <c:pt idx="598">
                  <c:v>42675</c:v>
                </c:pt>
                <c:pt idx="599">
                  <c:v>42705</c:v>
                </c:pt>
                <c:pt idx="600">
                  <c:v>42736</c:v>
                </c:pt>
                <c:pt idx="601">
                  <c:v>42767</c:v>
                </c:pt>
                <c:pt idx="602">
                  <c:v>42795</c:v>
                </c:pt>
                <c:pt idx="603">
                  <c:v>42826</c:v>
                </c:pt>
                <c:pt idx="604">
                  <c:v>42856</c:v>
                </c:pt>
                <c:pt idx="605">
                  <c:v>42887</c:v>
                </c:pt>
                <c:pt idx="606">
                  <c:v>42917</c:v>
                </c:pt>
                <c:pt idx="607">
                  <c:v>42948</c:v>
                </c:pt>
                <c:pt idx="608">
                  <c:v>42979</c:v>
                </c:pt>
                <c:pt idx="609">
                  <c:v>43009</c:v>
                </c:pt>
                <c:pt idx="610">
                  <c:v>43040</c:v>
                </c:pt>
                <c:pt idx="611">
                  <c:v>43070</c:v>
                </c:pt>
                <c:pt idx="612">
                  <c:v>43101</c:v>
                </c:pt>
                <c:pt idx="613">
                  <c:v>43132</c:v>
                </c:pt>
                <c:pt idx="614">
                  <c:v>43160</c:v>
                </c:pt>
                <c:pt idx="615">
                  <c:v>43191</c:v>
                </c:pt>
                <c:pt idx="616">
                  <c:v>43221</c:v>
                </c:pt>
                <c:pt idx="617">
                  <c:v>43252</c:v>
                </c:pt>
                <c:pt idx="618">
                  <c:v>43282</c:v>
                </c:pt>
                <c:pt idx="619">
                  <c:v>43313</c:v>
                </c:pt>
                <c:pt idx="620">
                  <c:v>43344</c:v>
                </c:pt>
                <c:pt idx="621">
                  <c:v>43374</c:v>
                </c:pt>
                <c:pt idx="622">
                  <c:v>43405</c:v>
                </c:pt>
                <c:pt idx="623">
                  <c:v>43435</c:v>
                </c:pt>
                <c:pt idx="624">
                  <c:v>43466</c:v>
                </c:pt>
                <c:pt idx="625">
                  <c:v>43497</c:v>
                </c:pt>
                <c:pt idx="626">
                  <c:v>43525</c:v>
                </c:pt>
                <c:pt idx="627">
                  <c:v>43556</c:v>
                </c:pt>
                <c:pt idx="628">
                  <c:v>43586</c:v>
                </c:pt>
                <c:pt idx="629">
                  <c:v>43617</c:v>
                </c:pt>
                <c:pt idx="630">
                  <c:v>43647</c:v>
                </c:pt>
                <c:pt idx="631">
                  <c:v>43678</c:v>
                </c:pt>
                <c:pt idx="632">
                  <c:v>43709</c:v>
                </c:pt>
                <c:pt idx="633">
                  <c:v>43739</c:v>
                </c:pt>
                <c:pt idx="634">
                  <c:v>43770</c:v>
                </c:pt>
                <c:pt idx="635">
                  <c:v>43800</c:v>
                </c:pt>
                <c:pt idx="636">
                  <c:v>43831</c:v>
                </c:pt>
                <c:pt idx="637">
                  <c:v>43862</c:v>
                </c:pt>
                <c:pt idx="638">
                  <c:v>43891</c:v>
                </c:pt>
                <c:pt idx="639">
                  <c:v>43922</c:v>
                </c:pt>
                <c:pt idx="640">
                  <c:v>43952</c:v>
                </c:pt>
                <c:pt idx="641">
                  <c:v>43983</c:v>
                </c:pt>
                <c:pt idx="642">
                  <c:v>44013</c:v>
                </c:pt>
                <c:pt idx="643">
                  <c:v>44044</c:v>
                </c:pt>
                <c:pt idx="644">
                  <c:v>44075</c:v>
                </c:pt>
                <c:pt idx="645">
                  <c:v>44105</c:v>
                </c:pt>
                <c:pt idx="646">
                  <c:v>44136</c:v>
                </c:pt>
                <c:pt idx="647">
                  <c:v>44166</c:v>
                </c:pt>
                <c:pt idx="648">
                  <c:v>44197</c:v>
                </c:pt>
                <c:pt idx="649">
                  <c:v>44228</c:v>
                </c:pt>
                <c:pt idx="650">
                  <c:v>44256</c:v>
                </c:pt>
                <c:pt idx="651">
                  <c:v>44287</c:v>
                </c:pt>
                <c:pt idx="652">
                  <c:v>44317</c:v>
                </c:pt>
                <c:pt idx="653">
                  <c:v>44348</c:v>
                </c:pt>
                <c:pt idx="654">
                  <c:v>44378</c:v>
                </c:pt>
                <c:pt idx="655">
                  <c:v>44409</c:v>
                </c:pt>
                <c:pt idx="656">
                  <c:v>44440</c:v>
                </c:pt>
                <c:pt idx="657">
                  <c:v>44470</c:v>
                </c:pt>
                <c:pt idx="658">
                  <c:v>44501</c:v>
                </c:pt>
                <c:pt idx="659">
                  <c:v>44531</c:v>
                </c:pt>
                <c:pt idx="660">
                  <c:v>44562</c:v>
                </c:pt>
                <c:pt idx="661">
                  <c:v>44593</c:v>
                </c:pt>
                <c:pt idx="662">
                  <c:v>44621</c:v>
                </c:pt>
                <c:pt idx="663">
                  <c:v>44652</c:v>
                </c:pt>
                <c:pt idx="664">
                  <c:v>44682</c:v>
                </c:pt>
                <c:pt idx="665">
                  <c:v>44713</c:v>
                </c:pt>
                <c:pt idx="666">
                  <c:v>44743</c:v>
                </c:pt>
                <c:pt idx="667">
                  <c:v>44774</c:v>
                </c:pt>
                <c:pt idx="668">
                  <c:v>44805</c:v>
                </c:pt>
                <c:pt idx="669">
                  <c:v>44835</c:v>
                </c:pt>
                <c:pt idx="670">
                  <c:v>44866</c:v>
                </c:pt>
                <c:pt idx="671">
                  <c:v>44896</c:v>
                </c:pt>
                <c:pt idx="672">
                  <c:v>44927</c:v>
                </c:pt>
                <c:pt idx="673">
                  <c:v>44958</c:v>
                </c:pt>
                <c:pt idx="674">
                  <c:v>44986</c:v>
                </c:pt>
                <c:pt idx="675">
                  <c:v>45017</c:v>
                </c:pt>
                <c:pt idx="676">
                  <c:v>45047</c:v>
                </c:pt>
                <c:pt idx="677">
                  <c:v>45078</c:v>
                </c:pt>
                <c:pt idx="678">
                  <c:v>45108</c:v>
                </c:pt>
                <c:pt idx="679">
                  <c:v>45139</c:v>
                </c:pt>
                <c:pt idx="680">
                  <c:v>45170</c:v>
                </c:pt>
                <c:pt idx="681">
                  <c:v>45200</c:v>
                </c:pt>
                <c:pt idx="682">
                  <c:v>45231</c:v>
                </c:pt>
                <c:pt idx="683">
                  <c:v>45261</c:v>
                </c:pt>
                <c:pt idx="684">
                  <c:v>45292</c:v>
                </c:pt>
                <c:pt idx="685">
                  <c:v>45323</c:v>
                </c:pt>
                <c:pt idx="686">
                  <c:v>45352</c:v>
                </c:pt>
                <c:pt idx="687">
                  <c:v>45383</c:v>
                </c:pt>
                <c:pt idx="688">
                  <c:v>45413</c:v>
                </c:pt>
                <c:pt idx="689">
                  <c:v>45444</c:v>
                </c:pt>
                <c:pt idx="690">
                  <c:v>45474</c:v>
                </c:pt>
                <c:pt idx="691">
                  <c:v>45505</c:v>
                </c:pt>
                <c:pt idx="692">
                  <c:v>45536</c:v>
                </c:pt>
                <c:pt idx="693">
                  <c:v>45566</c:v>
                </c:pt>
                <c:pt idx="694">
                  <c:v>45597</c:v>
                </c:pt>
                <c:pt idx="695">
                  <c:v>45627</c:v>
                </c:pt>
                <c:pt idx="696">
                  <c:v>45658</c:v>
                </c:pt>
                <c:pt idx="697">
                  <c:v>45689</c:v>
                </c:pt>
                <c:pt idx="698">
                  <c:v>45717</c:v>
                </c:pt>
                <c:pt idx="699">
                  <c:v>45748</c:v>
                </c:pt>
                <c:pt idx="700">
                  <c:v>45778</c:v>
                </c:pt>
                <c:pt idx="701">
                  <c:v>45809</c:v>
                </c:pt>
                <c:pt idx="702">
                  <c:v>45839</c:v>
                </c:pt>
                <c:pt idx="703">
                  <c:v>45870</c:v>
                </c:pt>
                <c:pt idx="704">
                  <c:v>45901</c:v>
                </c:pt>
                <c:pt idx="705">
                  <c:v>45931</c:v>
                </c:pt>
                <c:pt idx="706">
                  <c:v>45962</c:v>
                </c:pt>
                <c:pt idx="707">
                  <c:v>45992</c:v>
                </c:pt>
                <c:pt idx="708">
                  <c:v>46023</c:v>
                </c:pt>
                <c:pt idx="709">
                  <c:v>46054</c:v>
                </c:pt>
                <c:pt idx="710">
                  <c:v>46082</c:v>
                </c:pt>
                <c:pt idx="711">
                  <c:v>46113</c:v>
                </c:pt>
                <c:pt idx="712">
                  <c:v>46143</c:v>
                </c:pt>
                <c:pt idx="713">
                  <c:v>46174</c:v>
                </c:pt>
              </c:numCache>
            </c:numRef>
          </c:cat>
          <c:val>
            <c:numRef>
              <c:f>CAPU!$B$5:$B$718</c:f>
              <c:numCache>
                <c:formatCode>0.0</c:formatCode>
                <c:ptCount val="714"/>
                <c:pt idx="0">
                  <c:v>89.390199999999993</c:v>
                </c:pt>
                <c:pt idx="1">
                  <c:v>87.974999999999994</c:v>
                </c:pt>
                <c:pt idx="2">
                  <c:v>87.083500000000001</c:v>
                </c:pt>
                <c:pt idx="3">
                  <c:v>87.508899999999997</c:v>
                </c:pt>
                <c:pt idx="4">
                  <c:v>86.3566</c:v>
                </c:pt>
                <c:pt idx="5">
                  <c:v>85.960300000000004</c:v>
                </c:pt>
                <c:pt idx="6">
                  <c:v>85.383300000000006</c:v>
                </c:pt>
                <c:pt idx="7">
                  <c:v>86.633899999999997</c:v>
                </c:pt>
                <c:pt idx="8">
                  <c:v>86.112200000000001</c:v>
                </c:pt>
                <c:pt idx="9">
                  <c:v>86.432500000000005</c:v>
                </c:pt>
                <c:pt idx="10">
                  <c:v>87.285600000000002</c:v>
                </c:pt>
                <c:pt idx="11">
                  <c:v>87.841700000000003</c:v>
                </c:pt>
                <c:pt idx="12">
                  <c:v>87.385599999999997</c:v>
                </c:pt>
                <c:pt idx="13">
                  <c:v>87.352000000000004</c:v>
                </c:pt>
                <c:pt idx="14">
                  <c:v>87.279399999999995</c:v>
                </c:pt>
                <c:pt idx="15">
                  <c:v>87.062700000000007</c:v>
                </c:pt>
                <c:pt idx="16">
                  <c:v>87.695099999999996</c:v>
                </c:pt>
                <c:pt idx="17">
                  <c:v>87.674400000000006</c:v>
                </c:pt>
                <c:pt idx="18">
                  <c:v>87.200199999999995</c:v>
                </c:pt>
                <c:pt idx="19">
                  <c:v>87.105500000000006</c:v>
                </c:pt>
                <c:pt idx="20">
                  <c:v>87.098799999999997</c:v>
                </c:pt>
                <c:pt idx="21">
                  <c:v>86.936899999999994</c:v>
                </c:pt>
                <c:pt idx="22">
                  <c:v>87.724900000000005</c:v>
                </c:pt>
                <c:pt idx="23">
                  <c:v>87.666799999999995</c:v>
                </c:pt>
                <c:pt idx="24">
                  <c:v>87.871200000000002</c:v>
                </c:pt>
                <c:pt idx="25">
                  <c:v>88.116600000000005</c:v>
                </c:pt>
                <c:pt idx="26">
                  <c:v>88.490200000000002</c:v>
                </c:pt>
                <c:pt idx="27">
                  <c:v>87.850700000000003</c:v>
                </c:pt>
                <c:pt idx="28">
                  <c:v>87.208100000000002</c:v>
                </c:pt>
                <c:pt idx="29">
                  <c:v>87.748699999999999</c:v>
                </c:pt>
                <c:pt idx="30">
                  <c:v>87.9011</c:v>
                </c:pt>
                <c:pt idx="31">
                  <c:v>87.793599999999998</c:v>
                </c:pt>
                <c:pt idx="32">
                  <c:v>87.466700000000003</c:v>
                </c:pt>
                <c:pt idx="33">
                  <c:v>87.187200000000004</c:v>
                </c:pt>
                <c:pt idx="34">
                  <c:v>86.065100000000001</c:v>
                </c:pt>
                <c:pt idx="35">
                  <c:v>85.536799999999999</c:v>
                </c:pt>
                <c:pt idx="36">
                  <c:v>83.676500000000004</c:v>
                </c:pt>
                <c:pt idx="37">
                  <c:v>83.360699999999994</c:v>
                </c:pt>
                <c:pt idx="38">
                  <c:v>82.993499999999997</c:v>
                </c:pt>
                <c:pt idx="39">
                  <c:v>82.523499999999999</c:v>
                </c:pt>
                <c:pt idx="40">
                  <c:v>82.172399999999996</c:v>
                </c:pt>
                <c:pt idx="41">
                  <c:v>81.654200000000003</c:v>
                </c:pt>
                <c:pt idx="42">
                  <c:v>81.603099999999998</c:v>
                </c:pt>
                <c:pt idx="43">
                  <c:v>81.207999999999998</c:v>
                </c:pt>
                <c:pt idx="44">
                  <c:v>80.401899999999998</c:v>
                </c:pt>
                <c:pt idx="45">
                  <c:v>78.5535</c:v>
                </c:pt>
                <c:pt idx="46">
                  <c:v>77.840699999999998</c:v>
                </c:pt>
                <c:pt idx="47">
                  <c:v>79.387200000000007</c:v>
                </c:pt>
                <c:pt idx="48">
                  <c:v>79.775300000000001</c:v>
                </c:pt>
                <c:pt idx="49">
                  <c:v>79.421599999999998</c:v>
                </c:pt>
                <c:pt idx="50">
                  <c:v>79.134799999999998</c:v>
                </c:pt>
                <c:pt idx="51">
                  <c:v>79.378299999999996</c:v>
                </c:pt>
                <c:pt idx="52">
                  <c:v>79.580200000000005</c:v>
                </c:pt>
                <c:pt idx="53">
                  <c:v>79.713200000000001</c:v>
                </c:pt>
                <c:pt idx="54">
                  <c:v>79.282700000000006</c:v>
                </c:pt>
                <c:pt idx="55">
                  <c:v>78.625500000000002</c:v>
                </c:pt>
                <c:pt idx="56">
                  <c:v>79.704099999999997</c:v>
                </c:pt>
                <c:pt idx="57">
                  <c:v>80.100899999999996</c:v>
                </c:pt>
                <c:pt idx="58">
                  <c:v>80.241200000000006</c:v>
                </c:pt>
                <c:pt idx="59">
                  <c:v>80.9666</c:v>
                </c:pt>
                <c:pt idx="60">
                  <c:v>82.693799999999996</c:v>
                </c:pt>
                <c:pt idx="61">
                  <c:v>83.329599999999999</c:v>
                </c:pt>
                <c:pt idx="62">
                  <c:v>83.702799999999996</c:v>
                </c:pt>
                <c:pt idx="63">
                  <c:v>84.331500000000005</c:v>
                </c:pt>
                <c:pt idx="64">
                  <c:v>84.132400000000004</c:v>
                </c:pt>
                <c:pt idx="65">
                  <c:v>84.14</c:v>
                </c:pt>
                <c:pt idx="66">
                  <c:v>83.826899999999995</c:v>
                </c:pt>
                <c:pt idx="67">
                  <c:v>84.766199999999998</c:v>
                </c:pt>
                <c:pt idx="68">
                  <c:v>85.204099999999997</c:v>
                </c:pt>
                <c:pt idx="69">
                  <c:v>86.035799999999995</c:v>
                </c:pt>
                <c:pt idx="70">
                  <c:v>86.790199999999999</c:v>
                </c:pt>
                <c:pt idx="71">
                  <c:v>87.483900000000006</c:v>
                </c:pt>
                <c:pt idx="72">
                  <c:v>87.837299999999999</c:v>
                </c:pt>
                <c:pt idx="73">
                  <c:v>88.802599999999998</c:v>
                </c:pt>
                <c:pt idx="74">
                  <c:v>88.549499999999995</c:v>
                </c:pt>
                <c:pt idx="75">
                  <c:v>88.12</c:v>
                </c:pt>
                <c:pt idx="76">
                  <c:v>88.415700000000001</c:v>
                </c:pt>
                <c:pt idx="77">
                  <c:v>88.226200000000006</c:v>
                </c:pt>
                <c:pt idx="78">
                  <c:v>88.232900000000001</c:v>
                </c:pt>
                <c:pt idx="79">
                  <c:v>87.809600000000003</c:v>
                </c:pt>
                <c:pt idx="80">
                  <c:v>88.211100000000002</c:v>
                </c:pt>
                <c:pt idx="81">
                  <c:v>88.660399999999996</c:v>
                </c:pt>
                <c:pt idx="82">
                  <c:v>88.772199999999998</c:v>
                </c:pt>
                <c:pt idx="83">
                  <c:v>88.237200000000001</c:v>
                </c:pt>
                <c:pt idx="84">
                  <c:v>87.383799999999994</c:v>
                </c:pt>
                <c:pt idx="85">
                  <c:v>86.846699999999998</c:v>
                </c:pt>
                <c:pt idx="86">
                  <c:v>86.600300000000004</c:v>
                </c:pt>
                <c:pt idx="87">
                  <c:v>86.112099999999998</c:v>
                </c:pt>
                <c:pt idx="88">
                  <c:v>86.567700000000002</c:v>
                </c:pt>
                <c:pt idx="89">
                  <c:v>86.198999999999998</c:v>
                </c:pt>
                <c:pt idx="90">
                  <c:v>86.181399999999996</c:v>
                </c:pt>
                <c:pt idx="91">
                  <c:v>85.076300000000003</c:v>
                </c:pt>
                <c:pt idx="92">
                  <c:v>84.895399999999995</c:v>
                </c:pt>
                <c:pt idx="93">
                  <c:v>84.4923</c:v>
                </c:pt>
                <c:pt idx="94">
                  <c:v>81.556200000000004</c:v>
                </c:pt>
                <c:pt idx="95">
                  <c:v>78.471999999999994</c:v>
                </c:pt>
                <c:pt idx="96">
                  <c:v>77.246899999999997</c:v>
                </c:pt>
                <c:pt idx="97">
                  <c:v>75.349900000000005</c:v>
                </c:pt>
                <c:pt idx="98">
                  <c:v>74.388199999999998</c:v>
                </c:pt>
                <c:pt idx="99">
                  <c:v>74.445899999999995</c:v>
                </c:pt>
                <c:pt idx="100">
                  <c:v>74.086200000000005</c:v>
                </c:pt>
                <c:pt idx="101">
                  <c:v>74.436099999999996</c:v>
                </c:pt>
                <c:pt idx="102">
                  <c:v>75.097700000000003</c:v>
                </c:pt>
                <c:pt idx="103">
                  <c:v>75.712999999999994</c:v>
                </c:pt>
                <c:pt idx="104">
                  <c:v>76.561099999999996</c:v>
                </c:pt>
                <c:pt idx="105">
                  <c:v>76.763000000000005</c:v>
                </c:pt>
                <c:pt idx="106">
                  <c:v>76.725999999999999</c:v>
                </c:pt>
                <c:pt idx="107">
                  <c:v>77.627099999999999</c:v>
                </c:pt>
                <c:pt idx="108">
                  <c:v>78.498000000000005</c:v>
                </c:pt>
                <c:pt idx="109">
                  <c:v>79.105400000000003</c:v>
                </c:pt>
                <c:pt idx="110">
                  <c:v>79.109099999999998</c:v>
                </c:pt>
                <c:pt idx="111">
                  <c:v>79.329899999999995</c:v>
                </c:pt>
                <c:pt idx="112">
                  <c:v>79.490799999999993</c:v>
                </c:pt>
                <c:pt idx="113">
                  <c:v>79.391900000000007</c:v>
                </c:pt>
                <c:pt idx="114">
                  <c:v>79.661199999999994</c:v>
                </c:pt>
                <c:pt idx="115">
                  <c:v>80.023499999999999</c:v>
                </c:pt>
                <c:pt idx="116">
                  <c:v>80.112700000000004</c:v>
                </c:pt>
                <c:pt idx="117">
                  <c:v>79.899299999999997</c:v>
                </c:pt>
                <c:pt idx="118">
                  <c:v>80.923100000000005</c:v>
                </c:pt>
                <c:pt idx="119">
                  <c:v>81.600700000000003</c:v>
                </c:pt>
                <c:pt idx="120">
                  <c:v>80.835099999999997</c:v>
                </c:pt>
                <c:pt idx="121">
                  <c:v>81.905900000000003</c:v>
                </c:pt>
                <c:pt idx="122">
                  <c:v>82.741299999999995</c:v>
                </c:pt>
                <c:pt idx="123">
                  <c:v>83.322199999999995</c:v>
                </c:pt>
                <c:pt idx="124">
                  <c:v>83.759699999999995</c:v>
                </c:pt>
                <c:pt idx="125">
                  <c:v>84.185900000000004</c:v>
                </c:pt>
                <c:pt idx="126">
                  <c:v>84.066500000000005</c:v>
                </c:pt>
                <c:pt idx="127">
                  <c:v>83.9208</c:v>
                </c:pt>
                <c:pt idx="128">
                  <c:v>84.035200000000003</c:v>
                </c:pt>
                <c:pt idx="129">
                  <c:v>83.920699999999997</c:v>
                </c:pt>
                <c:pt idx="130">
                  <c:v>83.840400000000002</c:v>
                </c:pt>
                <c:pt idx="131">
                  <c:v>83.756500000000003</c:v>
                </c:pt>
                <c:pt idx="132">
                  <c:v>82.295500000000004</c:v>
                </c:pt>
                <c:pt idx="133">
                  <c:v>82.507099999999994</c:v>
                </c:pt>
                <c:pt idx="134">
                  <c:v>83.856800000000007</c:v>
                </c:pt>
                <c:pt idx="135">
                  <c:v>85.323700000000002</c:v>
                </c:pt>
                <c:pt idx="136">
                  <c:v>85.488500000000002</c:v>
                </c:pt>
                <c:pt idx="137">
                  <c:v>85.808700000000002</c:v>
                </c:pt>
                <c:pt idx="138">
                  <c:v>85.506</c:v>
                </c:pt>
                <c:pt idx="139">
                  <c:v>85.625500000000002</c:v>
                </c:pt>
                <c:pt idx="140">
                  <c:v>85.611199999999997</c:v>
                </c:pt>
                <c:pt idx="141">
                  <c:v>86.020300000000006</c:v>
                </c:pt>
                <c:pt idx="142">
                  <c:v>86.450699999999998</c:v>
                </c:pt>
                <c:pt idx="143">
                  <c:v>86.648799999999994</c:v>
                </c:pt>
                <c:pt idx="144">
                  <c:v>85.95</c:v>
                </c:pt>
                <c:pt idx="145">
                  <c:v>86.133300000000006</c:v>
                </c:pt>
                <c:pt idx="146">
                  <c:v>86.187399999999997</c:v>
                </c:pt>
                <c:pt idx="147">
                  <c:v>84.931700000000006</c:v>
                </c:pt>
                <c:pt idx="148">
                  <c:v>85.4833</c:v>
                </c:pt>
                <c:pt idx="149">
                  <c:v>85.286699999999996</c:v>
                </c:pt>
                <c:pt idx="150">
                  <c:v>84.937700000000007</c:v>
                </c:pt>
                <c:pt idx="151">
                  <c:v>84.182000000000002</c:v>
                </c:pt>
                <c:pt idx="152">
                  <c:v>83.979200000000006</c:v>
                </c:pt>
                <c:pt idx="153">
                  <c:v>84.406800000000004</c:v>
                </c:pt>
                <c:pt idx="154">
                  <c:v>84.101699999999994</c:v>
                </c:pt>
                <c:pt idx="155">
                  <c:v>83.991</c:v>
                </c:pt>
                <c:pt idx="156">
                  <c:v>84.284099999999995</c:v>
                </c:pt>
                <c:pt idx="157">
                  <c:v>84.1494</c:v>
                </c:pt>
                <c:pt idx="158">
                  <c:v>83.653700000000001</c:v>
                </c:pt>
                <c:pt idx="159">
                  <c:v>81.844499999999996</c:v>
                </c:pt>
                <c:pt idx="160">
                  <c:v>79.686700000000002</c:v>
                </c:pt>
                <c:pt idx="161">
                  <c:v>78.511799999999994</c:v>
                </c:pt>
                <c:pt idx="162">
                  <c:v>77.812899999999999</c:v>
                </c:pt>
                <c:pt idx="163">
                  <c:v>77.905900000000003</c:v>
                </c:pt>
                <c:pt idx="164">
                  <c:v>79.032200000000003</c:v>
                </c:pt>
                <c:pt idx="165">
                  <c:v>79.869299999999996</c:v>
                </c:pt>
                <c:pt idx="166">
                  <c:v>81.028899999999993</c:v>
                </c:pt>
                <c:pt idx="167">
                  <c:v>81.384200000000007</c:v>
                </c:pt>
                <c:pt idx="168">
                  <c:v>80.674800000000005</c:v>
                </c:pt>
                <c:pt idx="169">
                  <c:v>80.137299999999996</c:v>
                </c:pt>
                <c:pt idx="170">
                  <c:v>80.346299999999999</c:v>
                </c:pt>
                <c:pt idx="171">
                  <c:v>79.793700000000001</c:v>
                </c:pt>
                <c:pt idx="172">
                  <c:v>80.048400000000001</c:v>
                </c:pt>
                <c:pt idx="173">
                  <c:v>80.251099999999994</c:v>
                </c:pt>
                <c:pt idx="174">
                  <c:v>80.572400000000002</c:v>
                </c:pt>
                <c:pt idx="175">
                  <c:v>80.271000000000001</c:v>
                </c:pt>
                <c:pt idx="176">
                  <c:v>79.688000000000002</c:v>
                </c:pt>
                <c:pt idx="177">
                  <c:v>78.869399999999999</c:v>
                </c:pt>
                <c:pt idx="178">
                  <c:v>77.770600000000002</c:v>
                </c:pt>
                <c:pt idx="179">
                  <c:v>76.770600000000002</c:v>
                </c:pt>
                <c:pt idx="180">
                  <c:v>75.024299999999997</c:v>
                </c:pt>
                <c:pt idx="181">
                  <c:v>76.393199999999993</c:v>
                </c:pt>
                <c:pt idx="182">
                  <c:v>75.737200000000001</c:v>
                </c:pt>
                <c:pt idx="183">
                  <c:v>74.901799999999994</c:v>
                </c:pt>
                <c:pt idx="184">
                  <c:v>74.277500000000003</c:v>
                </c:pt>
                <c:pt idx="185">
                  <c:v>73.968400000000003</c:v>
                </c:pt>
                <c:pt idx="186">
                  <c:v>73.621499999999997</c:v>
                </c:pt>
                <c:pt idx="187">
                  <c:v>72.858599999999996</c:v>
                </c:pt>
                <c:pt idx="188">
                  <c:v>72.599699999999999</c:v>
                </c:pt>
                <c:pt idx="189">
                  <c:v>71.829400000000007</c:v>
                </c:pt>
                <c:pt idx="190">
                  <c:v>71.539599999999993</c:v>
                </c:pt>
                <c:pt idx="191">
                  <c:v>70.987099999999998</c:v>
                </c:pt>
                <c:pt idx="192">
                  <c:v>72.2714</c:v>
                </c:pt>
                <c:pt idx="193">
                  <c:v>71.786299999999997</c:v>
                </c:pt>
                <c:pt idx="194">
                  <c:v>72.366</c:v>
                </c:pt>
                <c:pt idx="195">
                  <c:v>73.259699999999995</c:v>
                </c:pt>
                <c:pt idx="196">
                  <c:v>73.680400000000006</c:v>
                </c:pt>
                <c:pt idx="197">
                  <c:v>74.109700000000004</c:v>
                </c:pt>
                <c:pt idx="198">
                  <c:v>75.188000000000002</c:v>
                </c:pt>
                <c:pt idx="199">
                  <c:v>76.045199999999994</c:v>
                </c:pt>
                <c:pt idx="200">
                  <c:v>77.110200000000006</c:v>
                </c:pt>
                <c:pt idx="201">
                  <c:v>77.648499999999999</c:v>
                </c:pt>
                <c:pt idx="202">
                  <c:v>77.931700000000006</c:v>
                </c:pt>
                <c:pt idx="203">
                  <c:v>78.248000000000005</c:v>
                </c:pt>
                <c:pt idx="204">
                  <c:v>79.720699999999994</c:v>
                </c:pt>
                <c:pt idx="205">
                  <c:v>79.968599999999995</c:v>
                </c:pt>
                <c:pt idx="206">
                  <c:v>80.244399999999999</c:v>
                </c:pt>
                <c:pt idx="207">
                  <c:v>80.590199999999996</c:v>
                </c:pt>
                <c:pt idx="208">
                  <c:v>80.8857</c:v>
                </c:pt>
                <c:pt idx="209">
                  <c:v>81.027600000000007</c:v>
                </c:pt>
                <c:pt idx="210">
                  <c:v>81.0869</c:v>
                </c:pt>
                <c:pt idx="211">
                  <c:v>80.996899999999997</c:v>
                </c:pt>
                <c:pt idx="212">
                  <c:v>80.576099999999997</c:v>
                </c:pt>
                <c:pt idx="213">
                  <c:v>80.379300000000001</c:v>
                </c:pt>
                <c:pt idx="214">
                  <c:v>80.455100000000002</c:v>
                </c:pt>
                <c:pt idx="215">
                  <c:v>80.281899999999993</c:v>
                </c:pt>
                <c:pt idx="216">
                  <c:v>80.065399999999997</c:v>
                </c:pt>
                <c:pt idx="217">
                  <c:v>80.079400000000007</c:v>
                </c:pt>
                <c:pt idx="218">
                  <c:v>79.993600000000001</c:v>
                </c:pt>
                <c:pt idx="219">
                  <c:v>79.615399999999994</c:v>
                </c:pt>
                <c:pt idx="220">
                  <c:v>79.53</c:v>
                </c:pt>
                <c:pt idx="221">
                  <c:v>79.295000000000002</c:v>
                </c:pt>
                <c:pt idx="222">
                  <c:v>78.732500000000002</c:v>
                </c:pt>
                <c:pt idx="223">
                  <c:v>78.793199999999999</c:v>
                </c:pt>
                <c:pt idx="224">
                  <c:v>78.8917</c:v>
                </c:pt>
                <c:pt idx="225">
                  <c:v>78.490899999999996</c:v>
                </c:pt>
                <c:pt idx="226">
                  <c:v>78.623999999999995</c:v>
                </c:pt>
                <c:pt idx="227">
                  <c:v>79.250600000000006</c:v>
                </c:pt>
                <c:pt idx="228">
                  <c:v>79.570800000000006</c:v>
                </c:pt>
                <c:pt idx="229">
                  <c:v>78.907899999999998</c:v>
                </c:pt>
                <c:pt idx="230">
                  <c:v>78.253100000000003</c:v>
                </c:pt>
                <c:pt idx="231">
                  <c:v>78.280900000000003</c:v>
                </c:pt>
                <c:pt idx="232">
                  <c:v>78.317499999999995</c:v>
                </c:pt>
                <c:pt idx="233">
                  <c:v>77.925700000000006</c:v>
                </c:pt>
                <c:pt idx="234">
                  <c:v>78.358900000000006</c:v>
                </c:pt>
                <c:pt idx="235">
                  <c:v>78.134799999999998</c:v>
                </c:pt>
                <c:pt idx="236">
                  <c:v>78.249700000000004</c:v>
                </c:pt>
                <c:pt idx="237">
                  <c:v>78.489599999999996</c:v>
                </c:pt>
                <c:pt idx="238">
                  <c:v>78.7</c:v>
                </c:pt>
                <c:pt idx="239">
                  <c:v>79.331199999999995</c:v>
                </c:pt>
                <c:pt idx="240">
                  <c:v>78.930199999999999</c:v>
                </c:pt>
                <c:pt idx="241">
                  <c:v>79.831999999999994</c:v>
                </c:pt>
                <c:pt idx="242">
                  <c:v>79.799000000000007</c:v>
                </c:pt>
                <c:pt idx="243">
                  <c:v>80.148099999999999</c:v>
                </c:pt>
                <c:pt idx="244">
                  <c:v>80.492900000000006</c:v>
                </c:pt>
                <c:pt idx="245">
                  <c:v>80.745099999999994</c:v>
                </c:pt>
                <c:pt idx="246">
                  <c:v>81.133399999999995</c:v>
                </c:pt>
                <c:pt idx="247">
                  <c:v>81.586399999999998</c:v>
                </c:pt>
                <c:pt idx="248">
                  <c:v>81.762</c:v>
                </c:pt>
                <c:pt idx="249">
                  <c:v>82.717100000000002</c:v>
                </c:pt>
                <c:pt idx="250">
                  <c:v>83.001499999999993</c:v>
                </c:pt>
                <c:pt idx="251">
                  <c:v>83.363900000000001</c:v>
                </c:pt>
                <c:pt idx="252">
                  <c:v>83.261200000000002</c:v>
                </c:pt>
                <c:pt idx="253">
                  <c:v>83.609200000000001</c:v>
                </c:pt>
                <c:pt idx="254">
                  <c:v>83.760800000000003</c:v>
                </c:pt>
                <c:pt idx="255">
                  <c:v>84.204499999999996</c:v>
                </c:pt>
                <c:pt idx="256">
                  <c:v>84.000600000000006</c:v>
                </c:pt>
                <c:pt idx="257">
                  <c:v>84.214200000000005</c:v>
                </c:pt>
                <c:pt idx="258">
                  <c:v>84.197299999999998</c:v>
                </c:pt>
                <c:pt idx="259">
                  <c:v>84.585899999999995</c:v>
                </c:pt>
                <c:pt idx="260">
                  <c:v>84.2804</c:v>
                </c:pt>
                <c:pt idx="261">
                  <c:v>84.591399999999993</c:v>
                </c:pt>
                <c:pt idx="262">
                  <c:v>84.730099999999993</c:v>
                </c:pt>
                <c:pt idx="263">
                  <c:v>85.033799999999999</c:v>
                </c:pt>
                <c:pt idx="264">
                  <c:v>85.189099999999996</c:v>
                </c:pt>
                <c:pt idx="265">
                  <c:v>84.701400000000007</c:v>
                </c:pt>
                <c:pt idx="266">
                  <c:v>84.786000000000001</c:v>
                </c:pt>
                <c:pt idx="267">
                  <c:v>84.631200000000007</c:v>
                </c:pt>
                <c:pt idx="268">
                  <c:v>83.994399999999999</c:v>
                </c:pt>
                <c:pt idx="269">
                  <c:v>83.819000000000003</c:v>
                </c:pt>
                <c:pt idx="270">
                  <c:v>82.833200000000005</c:v>
                </c:pt>
                <c:pt idx="271">
                  <c:v>83.458100000000002</c:v>
                </c:pt>
                <c:pt idx="272">
                  <c:v>83.004499999999993</c:v>
                </c:pt>
                <c:pt idx="273">
                  <c:v>82.696899999999999</c:v>
                </c:pt>
                <c:pt idx="274">
                  <c:v>82.777799999999999</c:v>
                </c:pt>
                <c:pt idx="275">
                  <c:v>83.033100000000005</c:v>
                </c:pt>
                <c:pt idx="276">
                  <c:v>82.417900000000003</c:v>
                </c:pt>
                <c:pt idx="277">
                  <c:v>82.973200000000006</c:v>
                </c:pt>
                <c:pt idx="278">
                  <c:v>83.198099999999997</c:v>
                </c:pt>
                <c:pt idx="279">
                  <c:v>82.8001</c:v>
                </c:pt>
                <c:pt idx="280">
                  <c:v>82.879800000000003</c:v>
                </c:pt>
                <c:pt idx="281">
                  <c:v>82.997799999999998</c:v>
                </c:pt>
                <c:pt idx="282">
                  <c:v>82.701800000000006</c:v>
                </c:pt>
                <c:pt idx="283">
                  <c:v>82.850899999999996</c:v>
                </c:pt>
                <c:pt idx="284">
                  <c:v>82.729299999999995</c:v>
                </c:pt>
                <c:pt idx="285">
                  <c:v>82.130300000000005</c:v>
                </c:pt>
                <c:pt idx="286">
                  <c:v>80.982799999999997</c:v>
                </c:pt>
                <c:pt idx="287">
                  <c:v>80.296400000000006</c:v>
                </c:pt>
                <c:pt idx="288">
                  <c:v>79.952200000000005</c:v>
                </c:pt>
                <c:pt idx="289">
                  <c:v>79.287199999999999</c:v>
                </c:pt>
                <c:pt idx="290">
                  <c:v>78.762900000000002</c:v>
                </c:pt>
                <c:pt idx="291">
                  <c:v>78.906199999999998</c:v>
                </c:pt>
                <c:pt idx="292">
                  <c:v>79.584599999999995</c:v>
                </c:pt>
                <c:pt idx="293">
                  <c:v>80.162400000000005</c:v>
                </c:pt>
                <c:pt idx="294">
                  <c:v>80.315799999999996</c:v>
                </c:pt>
                <c:pt idx="295">
                  <c:v>80.236500000000007</c:v>
                </c:pt>
                <c:pt idx="296">
                  <c:v>80.7851</c:v>
                </c:pt>
                <c:pt idx="297">
                  <c:v>80.642399999999995</c:v>
                </c:pt>
                <c:pt idx="298">
                  <c:v>80.405299999999997</c:v>
                </c:pt>
                <c:pt idx="299">
                  <c:v>79.894900000000007</c:v>
                </c:pt>
                <c:pt idx="300">
                  <c:v>79.327799999999996</c:v>
                </c:pt>
                <c:pt idx="301">
                  <c:v>79.732900000000001</c:v>
                </c:pt>
                <c:pt idx="302">
                  <c:v>80.246399999999994</c:v>
                </c:pt>
                <c:pt idx="303">
                  <c:v>80.680199999999999</c:v>
                </c:pt>
                <c:pt idx="304">
                  <c:v>80.763999999999996</c:v>
                </c:pt>
                <c:pt idx="305">
                  <c:v>80.620400000000004</c:v>
                </c:pt>
                <c:pt idx="306">
                  <c:v>81.177099999999996</c:v>
                </c:pt>
                <c:pt idx="307">
                  <c:v>80.543300000000002</c:v>
                </c:pt>
                <c:pt idx="308">
                  <c:v>80.635499999999993</c:v>
                </c:pt>
                <c:pt idx="309">
                  <c:v>81.013800000000003</c:v>
                </c:pt>
                <c:pt idx="310">
                  <c:v>81.163600000000002</c:v>
                </c:pt>
                <c:pt idx="311">
                  <c:v>81.154899999999998</c:v>
                </c:pt>
                <c:pt idx="312">
                  <c:v>81.326400000000007</c:v>
                </c:pt>
                <c:pt idx="313">
                  <c:v>81.588399999999993</c:v>
                </c:pt>
                <c:pt idx="314">
                  <c:v>81.395499999999998</c:v>
                </c:pt>
                <c:pt idx="315">
                  <c:v>81.504499999999993</c:v>
                </c:pt>
                <c:pt idx="316">
                  <c:v>81.085099999999997</c:v>
                </c:pt>
                <c:pt idx="317">
                  <c:v>81.156800000000004</c:v>
                </c:pt>
                <c:pt idx="318">
                  <c:v>81.262</c:v>
                </c:pt>
                <c:pt idx="319">
                  <c:v>81.044200000000004</c:v>
                </c:pt>
                <c:pt idx="320">
                  <c:v>81.344800000000006</c:v>
                </c:pt>
                <c:pt idx="321">
                  <c:v>81.799199999999999</c:v>
                </c:pt>
                <c:pt idx="322">
                  <c:v>82.017799999999994</c:v>
                </c:pt>
                <c:pt idx="323">
                  <c:v>82.334900000000005</c:v>
                </c:pt>
                <c:pt idx="324">
                  <c:v>82.390299999999996</c:v>
                </c:pt>
                <c:pt idx="325">
                  <c:v>82.243700000000004</c:v>
                </c:pt>
                <c:pt idx="326">
                  <c:v>82.870999999999995</c:v>
                </c:pt>
                <c:pt idx="327">
                  <c:v>83.135800000000003</c:v>
                </c:pt>
                <c:pt idx="328">
                  <c:v>83.279300000000006</c:v>
                </c:pt>
                <c:pt idx="329">
                  <c:v>83.589299999999994</c:v>
                </c:pt>
                <c:pt idx="330">
                  <c:v>83.440600000000003</c:v>
                </c:pt>
                <c:pt idx="331">
                  <c:v>83.733400000000003</c:v>
                </c:pt>
                <c:pt idx="332">
                  <c:v>83.725399999999993</c:v>
                </c:pt>
                <c:pt idx="333">
                  <c:v>84.121600000000001</c:v>
                </c:pt>
                <c:pt idx="334">
                  <c:v>84.414000000000001</c:v>
                </c:pt>
                <c:pt idx="335">
                  <c:v>84.989199999999997</c:v>
                </c:pt>
                <c:pt idx="336">
                  <c:v>84.847200000000001</c:v>
                </c:pt>
                <c:pt idx="337">
                  <c:v>84.463399999999993</c:v>
                </c:pt>
                <c:pt idx="338">
                  <c:v>84.312299999999993</c:v>
                </c:pt>
                <c:pt idx="339">
                  <c:v>83.874799999999993</c:v>
                </c:pt>
                <c:pt idx="340">
                  <c:v>83.9876</c:v>
                </c:pt>
                <c:pt idx="341">
                  <c:v>83.958399999999997</c:v>
                </c:pt>
                <c:pt idx="342">
                  <c:v>83.294399999999996</c:v>
                </c:pt>
                <c:pt idx="343">
                  <c:v>84.072400000000002</c:v>
                </c:pt>
                <c:pt idx="344">
                  <c:v>84.074700000000007</c:v>
                </c:pt>
                <c:pt idx="345">
                  <c:v>83.58</c:v>
                </c:pt>
                <c:pt idx="346">
                  <c:v>83.442899999999995</c:v>
                </c:pt>
                <c:pt idx="347">
                  <c:v>83.365399999999994</c:v>
                </c:pt>
                <c:pt idx="348">
                  <c:v>82.515799999999999</c:v>
                </c:pt>
                <c:pt idx="349">
                  <c:v>83.345100000000002</c:v>
                </c:pt>
                <c:pt idx="350">
                  <c:v>82.859399999999994</c:v>
                </c:pt>
                <c:pt idx="351">
                  <c:v>83.2941</c:v>
                </c:pt>
                <c:pt idx="352">
                  <c:v>83.523600000000002</c:v>
                </c:pt>
                <c:pt idx="353">
                  <c:v>83.766499999999994</c:v>
                </c:pt>
                <c:pt idx="354">
                  <c:v>83.391800000000003</c:v>
                </c:pt>
                <c:pt idx="355">
                  <c:v>83.4315</c:v>
                </c:pt>
                <c:pt idx="356">
                  <c:v>83.563999999999993</c:v>
                </c:pt>
                <c:pt idx="357">
                  <c:v>83.197299999999998</c:v>
                </c:pt>
                <c:pt idx="358">
                  <c:v>83.562200000000004</c:v>
                </c:pt>
                <c:pt idx="359">
                  <c:v>83.693299999999994</c:v>
                </c:pt>
                <c:pt idx="360">
                  <c:v>83.426199999999994</c:v>
                </c:pt>
                <c:pt idx="361">
                  <c:v>84.008399999999995</c:v>
                </c:pt>
                <c:pt idx="362">
                  <c:v>84.12</c:v>
                </c:pt>
                <c:pt idx="363">
                  <c:v>83.791600000000003</c:v>
                </c:pt>
                <c:pt idx="364">
                  <c:v>83.814400000000006</c:v>
                </c:pt>
                <c:pt idx="365">
                  <c:v>83.740200000000002</c:v>
                </c:pt>
                <c:pt idx="366">
                  <c:v>83.977999999999994</c:v>
                </c:pt>
                <c:pt idx="367">
                  <c:v>84.317800000000005</c:v>
                </c:pt>
                <c:pt idx="368">
                  <c:v>84.569299999999998</c:v>
                </c:pt>
                <c:pt idx="369">
                  <c:v>84.779300000000006</c:v>
                </c:pt>
                <c:pt idx="370">
                  <c:v>84.891800000000003</c:v>
                </c:pt>
                <c:pt idx="371">
                  <c:v>84.691999999999993</c:v>
                </c:pt>
                <c:pt idx="372">
                  <c:v>84.498400000000004</c:v>
                </c:pt>
                <c:pt idx="373">
                  <c:v>84.073999999999998</c:v>
                </c:pt>
                <c:pt idx="374">
                  <c:v>83.5488</c:v>
                </c:pt>
                <c:pt idx="375">
                  <c:v>83.292299999999997</c:v>
                </c:pt>
                <c:pt idx="376">
                  <c:v>83.313599999999994</c:v>
                </c:pt>
                <c:pt idx="377">
                  <c:v>82.315100000000001</c:v>
                </c:pt>
                <c:pt idx="378">
                  <c:v>81.539599999999993</c:v>
                </c:pt>
                <c:pt idx="379">
                  <c:v>82.786900000000003</c:v>
                </c:pt>
                <c:pt idx="380">
                  <c:v>82.325299999999999</c:v>
                </c:pt>
                <c:pt idx="381">
                  <c:v>82.487899999999996</c:v>
                </c:pt>
                <c:pt idx="382">
                  <c:v>82.040300000000002</c:v>
                </c:pt>
                <c:pt idx="383">
                  <c:v>82.041499999999999</c:v>
                </c:pt>
                <c:pt idx="384">
                  <c:v>82.039100000000005</c:v>
                </c:pt>
                <c:pt idx="385">
                  <c:v>82.191599999999994</c:v>
                </c:pt>
                <c:pt idx="386">
                  <c:v>82.045199999999994</c:v>
                </c:pt>
                <c:pt idx="387">
                  <c:v>81.915300000000002</c:v>
                </c:pt>
                <c:pt idx="388">
                  <c:v>82.123999999999995</c:v>
                </c:pt>
                <c:pt idx="389">
                  <c:v>81.759299999999996</c:v>
                </c:pt>
                <c:pt idx="390">
                  <c:v>81.9405</c:v>
                </c:pt>
                <c:pt idx="391">
                  <c:v>81.9786</c:v>
                </c:pt>
                <c:pt idx="392">
                  <c:v>81.364199999999997</c:v>
                </c:pt>
                <c:pt idx="393">
                  <c:v>82.077100000000002</c:v>
                </c:pt>
                <c:pt idx="394">
                  <c:v>82.197999999999993</c:v>
                </c:pt>
                <c:pt idx="395">
                  <c:v>82.559200000000004</c:v>
                </c:pt>
                <c:pt idx="396">
                  <c:v>82.179000000000002</c:v>
                </c:pt>
                <c:pt idx="397">
                  <c:v>82.171899999999994</c:v>
                </c:pt>
                <c:pt idx="398">
                  <c:v>82.202299999999994</c:v>
                </c:pt>
                <c:pt idx="399">
                  <c:v>82.431600000000003</c:v>
                </c:pt>
                <c:pt idx="400">
                  <c:v>82.396699999999996</c:v>
                </c:pt>
                <c:pt idx="401">
                  <c:v>82.172899999999998</c:v>
                </c:pt>
                <c:pt idx="402">
                  <c:v>81.760300000000001</c:v>
                </c:pt>
                <c:pt idx="403">
                  <c:v>81.285700000000006</c:v>
                </c:pt>
                <c:pt idx="404">
                  <c:v>81.406099999999995</c:v>
                </c:pt>
                <c:pt idx="405">
                  <c:v>80.833399999999997</c:v>
                </c:pt>
                <c:pt idx="406">
                  <c:v>80.596299999999999</c:v>
                </c:pt>
                <c:pt idx="407">
                  <c:v>80.073499999999996</c:v>
                </c:pt>
                <c:pt idx="408">
                  <c:v>79.433199999999999</c:v>
                </c:pt>
                <c:pt idx="409">
                  <c:v>78.660399999999996</c:v>
                </c:pt>
                <c:pt idx="410">
                  <c:v>78.247200000000007</c:v>
                </c:pt>
                <c:pt idx="411">
                  <c:v>77.720600000000005</c:v>
                </c:pt>
                <c:pt idx="412">
                  <c:v>77.112799999999993</c:v>
                </c:pt>
                <c:pt idx="413">
                  <c:v>76.480699999999999</c:v>
                </c:pt>
                <c:pt idx="414">
                  <c:v>75.780600000000007</c:v>
                </c:pt>
                <c:pt idx="415">
                  <c:v>75.493799999999993</c:v>
                </c:pt>
                <c:pt idx="416">
                  <c:v>74.923699999999997</c:v>
                </c:pt>
                <c:pt idx="417">
                  <c:v>74.543099999999995</c:v>
                </c:pt>
                <c:pt idx="418">
                  <c:v>73.931799999999996</c:v>
                </c:pt>
                <c:pt idx="419">
                  <c:v>73.755200000000002</c:v>
                </c:pt>
                <c:pt idx="420">
                  <c:v>74.116100000000003</c:v>
                </c:pt>
                <c:pt idx="421">
                  <c:v>74.013199999999998</c:v>
                </c:pt>
                <c:pt idx="422">
                  <c:v>74.455799999999996</c:v>
                </c:pt>
                <c:pt idx="423">
                  <c:v>74.745199999999997</c:v>
                </c:pt>
                <c:pt idx="424">
                  <c:v>74.989400000000003</c:v>
                </c:pt>
                <c:pt idx="425">
                  <c:v>75.569000000000003</c:v>
                </c:pt>
                <c:pt idx="426">
                  <c:v>75.522800000000004</c:v>
                </c:pt>
                <c:pt idx="427">
                  <c:v>75.431700000000006</c:v>
                </c:pt>
                <c:pt idx="428">
                  <c:v>75.499499999999998</c:v>
                </c:pt>
                <c:pt idx="429">
                  <c:v>75.3553</c:v>
                </c:pt>
                <c:pt idx="430">
                  <c:v>75.8001</c:v>
                </c:pt>
                <c:pt idx="431">
                  <c:v>75.407300000000006</c:v>
                </c:pt>
                <c:pt idx="432">
                  <c:v>76.082899999999995</c:v>
                </c:pt>
                <c:pt idx="433">
                  <c:v>76.200800000000001</c:v>
                </c:pt>
                <c:pt idx="434">
                  <c:v>76.027199999999993</c:v>
                </c:pt>
                <c:pt idx="435">
                  <c:v>75.602800000000002</c:v>
                </c:pt>
                <c:pt idx="436">
                  <c:v>75.609899999999996</c:v>
                </c:pt>
                <c:pt idx="437">
                  <c:v>75.731099999999998</c:v>
                </c:pt>
                <c:pt idx="438">
                  <c:v>76.136899999999997</c:v>
                </c:pt>
                <c:pt idx="439">
                  <c:v>75.983199999999997</c:v>
                </c:pt>
                <c:pt idx="440">
                  <c:v>76.483000000000004</c:v>
                </c:pt>
                <c:pt idx="441">
                  <c:v>76.588399999999993</c:v>
                </c:pt>
                <c:pt idx="442">
                  <c:v>77.113500000000002</c:v>
                </c:pt>
                <c:pt idx="443">
                  <c:v>77.148899999999998</c:v>
                </c:pt>
                <c:pt idx="444">
                  <c:v>77.280600000000007</c:v>
                </c:pt>
                <c:pt idx="445">
                  <c:v>77.763900000000007</c:v>
                </c:pt>
                <c:pt idx="446">
                  <c:v>77.472099999999998</c:v>
                </c:pt>
                <c:pt idx="447">
                  <c:v>77.780699999999996</c:v>
                </c:pt>
                <c:pt idx="448">
                  <c:v>78.362300000000005</c:v>
                </c:pt>
                <c:pt idx="449">
                  <c:v>77.766900000000007</c:v>
                </c:pt>
                <c:pt idx="450">
                  <c:v>78.359399999999994</c:v>
                </c:pt>
                <c:pt idx="451">
                  <c:v>78.416700000000006</c:v>
                </c:pt>
                <c:pt idx="452">
                  <c:v>78.510900000000007</c:v>
                </c:pt>
                <c:pt idx="453">
                  <c:v>79.163499999999999</c:v>
                </c:pt>
                <c:pt idx="454">
                  <c:v>79.329599999999999</c:v>
                </c:pt>
                <c:pt idx="455">
                  <c:v>79.917900000000003</c:v>
                </c:pt>
                <c:pt idx="456">
                  <c:v>80.1494</c:v>
                </c:pt>
                <c:pt idx="457">
                  <c:v>80.6584</c:v>
                </c:pt>
                <c:pt idx="458">
                  <c:v>80.463800000000006</c:v>
                </c:pt>
                <c:pt idx="459">
                  <c:v>80.542100000000005</c:v>
                </c:pt>
                <c:pt idx="460">
                  <c:v>80.509399999999999</c:v>
                </c:pt>
                <c:pt idx="461">
                  <c:v>80.756699999999995</c:v>
                </c:pt>
                <c:pt idx="462">
                  <c:v>80.380200000000002</c:v>
                </c:pt>
                <c:pt idx="463">
                  <c:v>80.517200000000003</c:v>
                </c:pt>
                <c:pt idx="464">
                  <c:v>78.831900000000005</c:v>
                </c:pt>
                <c:pt idx="465">
                  <c:v>79.660700000000006</c:v>
                </c:pt>
                <c:pt idx="466">
                  <c:v>80.426000000000002</c:v>
                </c:pt>
                <c:pt idx="467">
                  <c:v>80.710899999999995</c:v>
                </c:pt>
                <c:pt idx="468">
                  <c:v>80.707800000000006</c:v>
                </c:pt>
                <c:pt idx="469">
                  <c:v>80.611099999999993</c:v>
                </c:pt>
                <c:pt idx="470">
                  <c:v>80.660899999999998</c:v>
                </c:pt>
                <c:pt idx="471">
                  <c:v>80.771299999999997</c:v>
                </c:pt>
                <c:pt idx="472">
                  <c:v>80.652100000000004</c:v>
                </c:pt>
                <c:pt idx="473">
                  <c:v>80.760099999999994</c:v>
                </c:pt>
                <c:pt idx="474">
                  <c:v>80.564300000000003</c:v>
                </c:pt>
                <c:pt idx="475">
                  <c:v>80.754000000000005</c:v>
                </c:pt>
                <c:pt idx="476">
                  <c:v>80.449200000000005</c:v>
                </c:pt>
                <c:pt idx="477">
                  <c:v>80.180400000000006</c:v>
                </c:pt>
                <c:pt idx="478">
                  <c:v>79.966300000000004</c:v>
                </c:pt>
                <c:pt idx="479">
                  <c:v>80.598500000000001</c:v>
                </c:pt>
                <c:pt idx="480">
                  <c:v>80.145200000000003</c:v>
                </c:pt>
                <c:pt idx="481">
                  <c:v>80.721800000000002</c:v>
                </c:pt>
                <c:pt idx="482">
                  <c:v>80.693200000000004</c:v>
                </c:pt>
                <c:pt idx="483">
                  <c:v>81.073700000000002</c:v>
                </c:pt>
                <c:pt idx="484">
                  <c:v>81.004400000000004</c:v>
                </c:pt>
                <c:pt idx="485">
                  <c:v>80.9238</c:v>
                </c:pt>
                <c:pt idx="486">
                  <c:v>80.725499999999997</c:v>
                </c:pt>
                <c:pt idx="487">
                  <c:v>80.808199999999999</c:v>
                </c:pt>
                <c:pt idx="488">
                  <c:v>80.938699999999997</c:v>
                </c:pt>
                <c:pt idx="489">
                  <c:v>80.683700000000002</c:v>
                </c:pt>
                <c:pt idx="490">
                  <c:v>81.106499999999997</c:v>
                </c:pt>
                <c:pt idx="491">
                  <c:v>81.142499999999998</c:v>
                </c:pt>
                <c:pt idx="492">
                  <c:v>81.054900000000004</c:v>
                </c:pt>
                <c:pt idx="493">
                  <c:v>80.760199999999998</c:v>
                </c:pt>
                <c:pt idx="494">
                  <c:v>80.5381</c:v>
                </c:pt>
                <c:pt idx="495">
                  <c:v>80.037599999999998</c:v>
                </c:pt>
                <c:pt idx="496">
                  <c:v>79.557900000000004</c:v>
                </c:pt>
                <c:pt idx="497">
                  <c:v>79.357100000000003</c:v>
                </c:pt>
                <c:pt idx="498">
                  <c:v>79.032499999999999</c:v>
                </c:pt>
                <c:pt idx="499">
                  <c:v>77.725099999999998</c:v>
                </c:pt>
                <c:pt idx="500">
                  <c:v>74.221599999999995</c:v>
                </c:pt>
                <c:pt idx="501">
                  <c:v>74.866900000000001</c:v>
                </c:pt>
                <c:pt idx="502">
                  <c:v>73.781999999999996</c:v>
                </c:pt>
                <c:pt idx="503">
                  <c:v>71.606999999999999</c:v>
                </c:pt>
                <c:pt idx="504">
                  <c:v>69.730400000000003</c:v>
                </c:pt>
                <c:pt idx="505">
                  <c:v>69.232600000000005</c:v>
                </c:pt>
                <c:pt idx="506">
                  <c:v>68.088899999999995</c:v>
                </c:pt>
                <c:pt idx="507">
                  <c:v>67.476200000000006</c:v>
                </c:pt>
                <c:pt idx="508">
                  <c:v>66.767600000000002</c:v>
                </c:pt>
                <c:pt idx="509">
                  <c:v>66.513800000000003</c:v>
                </c:pt>
                <c:pt idx="510">
                  <c:v>67.290000000000006</c:v>
                </c:pt>
                <c:pt idx="511">
                  <c:v>68.079499999999996</c:v>
                </c:pt>
                <c:pt idx="512">
                  <c:v>68.754900000000006</c:v>
                </c:pt>
                <c:pt idx="513">
                  <c:v>69.035700000000006</c:v>
                </c:pt>
                <c:pt idx="514">
                  <c:v>69.447000000000003</c:v>
                </c:pt>
                <c:pt idx="515">
                  <c:v>69.854100000000003</c:v>
                </c:pt>
                <c:pt idx="516">
                  <c:v>70.753200000000007</c:v>
                </c:pt>
                <c:pt idx="517">
                  <c:v>71.161199999999994</c:v>
                </c:pt>
                <c:pt idx="518">
                  <c:v>71.796400000000006</c:v>
                </c:pt>
                <c:pt idx="519">
                  <c:v>72.1905</c:v>
                </c:pt>
                <c:pt idx="520">
                  <c:v>73.314599999999999</c:v>
                </c:pt>
                <c:pt idx="521">
                  <c:v>73.591800000000006</c:v>
                </c:pt>
                <c:pt idx="522">
                  <c:v>74.000900000000001</c:v>
                </c:pt>
                <c:pt idx="523">
                  <c:v>74.388300000000001</c:v>
                </c:pt>
                <c:pt idx="524">
                  <c:v>74.707599999999999</c:v>
                </c:pt>
                <c:pt idx="525">
                  <c:v>74.58</c:v>
                </c:pt>
                <c:pt idx="526">
                  <c:v>74.713099999999997</c:v>
                </c:pt>
                <c:pt idx="527">
                  <c:v>75.496799999999993</c:v>
                </c:pt>
                <c:pt idx="528">
                  <c:v>75.374099999999999</c:v>
                </c:pt>
                <c:pt idx="529">
                  <c:v>75.092799999999997</c:v>
                </c:pt>
                <c:pt idx="530">
                  <c:v>75.874700000000004</c:v>
                </c:pt>
                <c:pt idx="531">
                  <c:v>75.612700000000004</c:v>
                </c:pt>
                <c:pt idx="532">
                  <c:v>75.668400000000005</c:v>
                </c:pt>
                <c:pt idx="533">
                  <c:v>75.842500000000001</c:v>
                </c:pt>
                <c:pt idx="534">
                  <c:v>76.143100000000004</c:v>
                </c:pt>
                <c:pt idx="535">
                  <c:v>76.566699999999997</c:v>
                </c:pt>
                <c:pt idx="536">
                  <c:v>76.399199999999993</c:v>
                </c:pt>
                <c:pt idx="537">
                  <c:v>76.812299999999993</c:v>
                </c:pt>
                <c:pt idx="538">
                  <c:v>76.678299999999993</c:v>
                </c:pt>
                <c:pt idx="539">
                  <c:v>76.9495</c:v>
                </c:pt>
                <c:pt idx="540">
                  <c:v>77.265199999999993</c:v>
                </c:pt>
                <c:pt idx="541">
                  <c:v>77.3673</c:v>
                </c:pt>
                <c:pt idx="542">
                  <c:v>76.819400000000002</c:v>
                </c:pt>
                <c:pt idx="543">
                  <c:v>77.223399999999998</c:v>
                </c:pt>
                <c:pt idx="544">
                  <c:v>77.254599999999996</c:v>
                </c:pt>
                <c:pt idx="545">
                  <c:v>77.114900000000006</c:v>
                </c:pt>
                <c:pt idx="546">
                  <c:v>77.137200000000007</c:v>
                </c:pt>
                <c:pt idx="547">
                  <c:v>76.671999999999997</c:v>
                </c:pt>
                <c:pt idx="548">
                  <c:v>76.4846</c:v>
                </c:pt>
                <c:pt idx="549">
                  <c:v>76.622699999999995</c:v>
                </c:pt>
                <c:pt idx="550">
                  <c:v>76.78</c:v>
                </c:pt>
                <c:pt idx="551">
                  <c:v>76.843500000000006</c:v>
                </c:pt>
                <c:pt idx="552">
                  <c:v>76.750200000000007</c:v>
                </c:pt>
                <c:pt idx="553">
                  <c:v>77.002899999999997</c:v>
                </c:pt>
                <c:pt idx="554">
                  <c:v>77.213499999999996</c:v>
                </c:pt>
                <c:pt idx="555">
                  <c:v>77.055300000000003</c:v>
                </c:pt>
                <c:pt idx="556">
                  <c:v>77.030699999999996</c:v>
                </c:pt>
                <c:pt idx="557">
                  <c:v>77.111900000000006</c:v>
                </c:pt>
                <c:pt idx="558">
                  <c:v>76.800799999999995</c:v>
                </c:pt>
                <c:pt idx="559">
                  <c:v>77.177199999999999</c:v>
                </c:pt>
                <c:pt idx="560">
                  <c:v>77.504599999999996</c:v>
                </c:pt>
                <c:pt idx="561">
                  <c:v>77.380200000000002</c:v>
                </c:pt>
                <c:pt idx="562">
                  <c:v>77.498800000000003</c:v>
                </c:pt>
                <c:pt idx="563">
                  <c:v>77.592699999999994</c:v>
                </c:pt>
                <c:pt idx="564">
                  <c:v>77.254000000000005</c:v>
                </c:pt>
                <c:pt idx="565">
                  <c:v>77.774699999999996</c:v>
                </c:pt>
                <c:pt idx="566">
                  <c:v>78.462800000000001</c:v>
                </c:pt>
                <c:pt idx="567">
                  <c:v>78.470500000000001</c:v>
                </c:pt>
                <c:pt idx="568">
                  <c:v>78.6999</c:v>
                </c:pt>
                <c:pt idx="569">
                  <c:v>78.895200000000003</c:v>
                </c:pt>
                <c:pt idx="570">
                  <c:v>78.993300000000005</c:v>
                </c:pt>
                <c:pt idx="571">
                  <c:v>78.766900000000007</c:v>
                </c:pt>
                <c:pt idx="572">
                  <c:v>78.921800000000005</c:v>
                </c:pt>
                <c:pt idx="573">
                  <c:v>78.866299999999995</c:v>
                </c:pt>
                <c:pt idx="574">
                  <c:v>79.296199999999999</c:v>
                </c:pt>
                <c:pt idx="575">
                  <c:v>79.241900000000001</c:v>
                </c:pt>
                <c:pt idx="576">
                  <c:v>78.580299999999994</c:v>
                </c:pt>
                <c:pt idx="577">
                  <c:v>78.055000000000007</c:v>
                </c:pt>
                <c:pt idx="578">
                  <c:v>77.7804</c:v>
                </c:pt>
                <c:pt idx="579">
                  <c:v>77.348699999999994</c:v>
                </c:pt>
                <c:pt idx="580">
                  <c:v>77.009200000000007</c:v>
                </c:pt>
                <c:pt idx="581">
                  <c:v>76.7774</c:v>
                </c:pt>
                <c:pt idx="582">
                  <c:v>77.292400000000001</c:v>
                </c:pt>
                <c:pt idx="583">
                  <c:v>77.171499999999995</c:v>
                </c:pt>
                <c:pt idx="584">
                  <c:v>76.979100000000003</c:v>
                </c:pt>
                <c:pt idx="585">
                  <c:v>76.628200000000007</c:v>
                </c:pt>
                <c:pt idx="586">
                  <c:v>76.081900000000005</c:v>
                </c:pt>
                <c:pt idx="587">
                  <c:v>75.721400000000003</c:v>
                </c:pt>
                <c:pt idx="588">
                  <c:v>76.124799999999993</c:v>
                </c:pt>
                <c:pt idx="589">
                  <c:v>75.729100000000003</c:v>
                </c:pt>
                <c:pt idx="590">
                  <c:v>75.158699999999996</c:v>
                </c:pt>
                <c:pt idx="591">
                  <c:v>75.396900000000002</c:v>
                </c:pt>
                <c:pt idx="592">
                  <c:v>75.203400000000002</c:v>
                </c:pt>
                <c:pt idx="593">
                  <c:v>75.529799999999994</c:v>
                </c:pt>
                <c:pt idx="594">
                  <c:v>75.5839</c:v>
                </c:pt>
                <c:pt idx="595">
                  <c:v>75.432000000000002</c:v>
                </c:pt>
                <c:pt idx="596">
                  <c:v>75.314499999999995</c:v>
                </c:pt>
                <c:pt idx="597">
                  <c:v>75.291799999999995</c:v>
                </c:pt>
                <c:pt idx="598">
                  <c:v>74.949799999999996</c:v>
                </c:pt>
                <c:pt idx="599">
                  <c:v>75.442400000000006</c:v>
                </c:pt>
                <c:pt idx="600">
                  <c:v>75.233900000000006</c:v>
                </c:pt>
                <c:pt idx="601">
                  <c:v>74.934600000000003</c:v>
                </c:pt>
                <c:pt idx="602">
                  <c:v>75.443899999999999</c:v>
                </c:pt>
                <c:pt idx="603">
                  <c:v>76.239199999999997</c:v>
                </c:pt>
                <c:pt idx="604">
                  <c:v>76.367999999999995</c:v>
                </c:pt>
                <c:pt idx="605">
                  <c:v>76.575800000000001</c:v>
                </c:pt>
                <c:pt idx="606">
                  <c:v>76.453400000000002</c:v>
                </c:pt>
                <c:pt idx="607">
                  <c:v>76.206699999999998</c:v>
                </c:pt>
                <c:pt idx="608">
                  <c:v>76.359099999999998</c:v>
                </c:pt>
                <c:pt idx="609">
                  <c:v>77.375299999999996</c:v>
                </c:pt>
                <c:pt idx="610">
                  <c:v>77.633700000000005</c:v>
                </c:pt>
                <c:pt idx="611">
                  <c:v>77.853800000000007</c:v>
                </c:pt>
                <c:pt idx="612">
                  <c:v>77.913799999999995</c:v>
                </c:pt>
                <c:pt idx="613">
                  <c:v>78.150800000000004</c:v>
                </c:pt>
                <c:pt idx="614">
                  <c:v>78.569699999999997</c:v>
                </c:pt>
                <c:pt idx="615">
                  <c:v>79.459699999999998</c:v>
                </c:pt>
                <c:pt idx="616">
                  <c:v>78.752600000000001</c:v>
                </c:pt>
                <c:pt idx="617">
                  <c:v>79.355999999999995</c:v>
                </c:pt>
                <c:pt idx="618">
                  <c:v>79.458799999999997</c:v>
                </c:pt>
                <c:pt idx="619">
                  <c:v>79.932199999999995</c:v>
                </c:pt>
                <c:pt idx="620">
                  <c:v>79.931399999999996</c:v>
                </c:pt>
                <c:pt idx="621">
                  <c:v>79.780199999999994</c:v>
                </c:pt>
                <c:pt idx="622">
                  <c:v>79.772199999999998</c:v>
                </c:pt>
                <c:pt idx="623">
                  <c:v>79.714200000000005</c:v>
                </c:pt>
                <c:pt idx="624">
                  <c:v>79.102400000000003</c:v>
                </c:pt>
                <c:pt idx="625">
                  <c:v>78.587699999999998</c:v>
                </c:pt>
                <c:pt idx="626">
                  <c:v>78.533699999999996</c:v>
                </c:pt>
                <c:pt idx="627">
                  <c:v>77.989800000000002</c:v>
                </c:pt>
                <c:pt idx="628">
                  <c:v>77.996200000000002</c:v>
                </c:pt>
                <c:pt idx="629">
                  <c:v>77.949299999999994</c:v>
                </c:pt>
                <c:pt idx="630">
                  <c:v>77.493499999999997</c:v>
                </c:pt>
                <c:pt idx="631">
                  <c:v>77.949700000000007</c:v>
                </c:pt>
                <c:pt idx="632">
                  <c:v>77.620500000000007</c:v>
                </c:pt>
                <c:pt idx="633">
                  <c:v>76.909899999999993</c:v>
                </c:pt>
                <c:pt idx="634">
                  <c:v>77.251999999999995</c:v>
                </c:pt>
                <c:pt idx="635">
                  <c:v>77.041600000000003</c:v>
                </c:pt>
                <c:pt idx="636">
                  <c:v>76.519000000000005</c:v>
                </c:pt>
                <c:pt idx="637">
                  <c:v>76.776399999999995</c:v>
                </c:pt>
                <c:pt idx="638">
                  <c:v>73.788700000000006</c:v>
                </c:pt>
                <c:pt idx="639">
                  <c:v>64.084699999999998</c:v>
                </c:pt>
                <c:pt idx="640">
                  <c:v>65.187399999999997</c:v>
                </c:pt>
                <c:pt idx="641">
                  <c:v>69.521799999999999</c:v>
                </c:pt>
                <c:pt idx="642">
                  <c:v>72.210300000000004</c:v>
                </c:pt>
                <c:pt idx="643">
                  <c:v>73.019199999999998</c:v>
                </c:pt>
                <c:pt idx="644">
                  <c:v>73.145099999999999</c:v>
                </c:pt>
                <c:pt idx="645">
                  <c:v>73.863600000000005</c:v>
                </c:pt>
                <c:pt idx="646">
                  <c:v>74.2637</c:v>
                </c:pt>
                <c:pt idx="647">
                  <c:v>75.390299999999996</c:v>
                </c:pt>
                <c:pt idx="648">
                  <c:v>75.940100000000001</c:v>
                </c:pt>
                <c:pt idx="649">
                  <c:v>73.572500000000005</c:v>
                </c:pt>
                <c:pt idx="650">
                  <c:v>75.847200000000001</c:v>
                </c:pt>
                <c:pt idx="651">
                  <c:v>76.121600000000001</c:v>
                </c:pt>
                <c:pt idx="652">
                  <c:v>76.930999999999997</c:v>
                </c:pt>
                <c:pt idx="653">
                  <c:v>77.336699999999993</c:v>
                </c:pt>
                <c:pt idx="654">
                  <c:v>77.797200000000004</c:v>
                </c:pt>
                <c:pt idx="655">
                  <c:v>77.730800000000002</c:v>
                </c:pt>
                <c:pt idx="656">
                  <c:v>76.887100000000004</c:v>
                </c:pt>
                <c:pt idx="657">
                  <c:v>77.983800000000002</c:v>
                </c:pt>
                <c:pt idx="658">
                  <c:v>78.561999999999998</c:v>
                </c:pt>
                <c:pt idx="659">
                  <c:v>78.368700000000004</c:v>
                </c:pt>
                <c:pt idx="660">
                  <c:v>78.087999999999994</c:v>
                </c:pt>
                <c:pt idx="661">
                  <c:v>78.577699999999993</c:v>
                </c:pt>
                <c:pt idx="662">
                  <c:v>79.025300000000001</c:v>
                </c:pt>
                <c:pt idx="663">
                  <c:v>79.041799999999995</c:v>
                </c:pt>
                <c:pt idx="664">
                  <c:v>78.922399999999996</c:v>
                </c:pt>
                <c:pt idx="665">
                  <c:v>78.625900000000001</c:v>
                </c:pt>
                <c:pt idx="666">
                  <c:v>78.720399999999998</c:v>
                </c:pt>
                <c:pt idx="667">
                  <c:v>78.543800000000005</c:v>
                </c:pt>
                <c:pt idx="668">
                  <c:v>78.608699999999999</c:v>
                </c:pt>
                <c:pt idx="669">
                  <c:v>78.484300000000005</c:v>
                </c:pt>
                <c:pt idx="670">
                  <c:v>78.154399999999995</c:v>
                </c:pt>
                <c:pt idx="671">
                  <c:v>77.133399999999995</c:v>
                </c:pt>
                <c:pt idx="672">
                  <c:v>77.600999999999999</c:v>
                </c:pt>
                <c:pt idx="673">
                  <c:v>77.607799999999997</c:v>
                </c:pt>
                <c:pt idx="674">
                  <c:v>77.803600000000003</c:v>
                </c:pt>
                <c:pt idx="675">
                  <c:v>77.888000000000005</c:v>
                </c:pt>
                <c:pt idx="676">
                  <c:v>77.549599999999998</c:v>
                </c:pt>
                <c:pt idx="677">
                  <c:v>76.846699999999998</c:v>
                </c:pt>
                <c:pt idx="678">
                  <c:v>77.377300000000005</c:v>
                </c:pt>
                <c:pt idx="679">
                  <c:v>77.258799999999994</c:v>
                </c:pt>
                <c:pt idx="680">
                  <c:v>77.337500000000006</c:v>
                </c:pt>
                <c:pt idx="681">
                  <c:v>76.858999999999995</c:v>
                </c:pt>
                <c:pt idx="682">
                  <c:v>77.108099999999993</c:v>
                </c:pt>
                <c:pt idx="683">
                  <c:v>76.858000000000004</c:v>
                </c:pt>
                <c:pt idx="684">
                  <c:v>75.754199999999997</c:v>
                </c:pt>
                <c:pt idx="685">
                  <c:v>76.515699999999995</c:v>
                </c:pt>
                <c:pt idx="686">
                  <c:v>76.596400000000003</c:v>
                </c:pt>
                <c:pt idx="687">
                  <c:v>76.380300000000005</c:v>
                </c:pt>
                <c:pt idx="688">
                  <c:v>76.796099999999996</c:v>
                </c:pt>
                <c:pt idx="689">
                  <c:v>76.758600000000001</c:v>
                </c:pt>
                <c:pt idx="690">
                  <c:v>75.994600000000005</c:v>
                </c:pt>
                <c:pt idx="691">
                  <c:v>76.2697</c:v>
                </c:pt>
                <c:pt idx="692">
                  <c:v>75.721599999999995</c:v>
                </c:pt>
                <c:pt idx="693">
                  <c:v>75.385199999999998</c:v>
                </c:pt>
                <c:pt idx="694">
                  <c:v>75.168099999999995</c:v>
                </c:pt>
                <c:pt idx="695">
                  <c:v>75.865099999999998</c:v>
                </c:pt>
                <c:pt idx="696">
                  <c:v>75.578100000000006</c:v>
                </c:pt>
                <c:pt idx="697">
                  <c:v>76.268500000000003</c:v>
                </c:pt>
                <c:pt idx="698">
                  <c:v>76.131799999999998</c:v>
                </c:pt>
                <c:pt idx="699">
                  <c:v>76.104799999999997</c:v>
                </c:pt>
                <c:pt idx="700">
                  <c:v>75.889399999999995</c:v>
                </c:pt>
                <c:pt idx="701">
                  <c:v>76.180999999999997</c:v>
                </c:pt>
                <c:pt idx="702">
                  <c:v>76.399699999999996</c:v>
                </c:pt>
                <c:pt idx="703">
                  <c:v>76.105500000000006</c:v>
                </c:pt>
                <c:pt idx="704">
                  <c:v>76.046099999999996</c:v>
                </c:pt>
                <c:pt idx="705">
                  <c:v>75.619399999999999</c:v>
                </c:pt>
                <c:pt idx="706">
                  <c:v>75.390100000000004</c:v>
                </c:pt>
                <c:pt idx="707">
                  <c:v>75.642200000000003</c:v>
                </c:pt>
                <c:pt idx="708">
                  <c:v>75.305000000000007</c:v>
                </c:pt>
                <c:pt idx="709">
                  <c:v>75.846999999999994</c:v>
                </c:pt>
                <c:pt idx="710">
                  <c:v>75.538799999999995</c:v>
                </c:pt>
                <c:pt idx="711">
                  <c:v>76.128900000000002</c:v>
                </c:pt>
                <c:pt idx="712">
                  <c:v>76.166300000000007</c:v>
                </c:pt>
                <c:pt idx="713">
                  <c:v>76.099999999999994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C8-49FA-A1A3-8D78034AAA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32317295"/>
        <c:axId val="1246819152"/>
      </c:lineChart>
      <c:dateAx>
        <c:axId val="1332317295"/>
        <c:scaling>
          <c:orientation val="minMax"/>
        </c:scaling>
        <c:delete val="0"/>
        <c:axPos val="b"/>
        <c:numFmt formatCode="yy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595959"/>
                </a:solidFill>
                <a:latin typeface="Aptos Narrow"/>
                <a:ea typeface="Aptos Narrow"/>
                <a:cs typeface="Aptos Narrow"/>
              </a:defRPr>
            </a:pPr>
            <a:endParaRPr lang="en-US"/>
          </a:p>
        </c:txPr>
        <c:crossAx val="1246819152"/>
        <c:crosses val="autoZero"/>
        <c:auto val="0"/>
        <c:lblOffset val="100"/>
        <c:baseTimeUnit val="months"/>
      </c:dateAx>
      <c:valAx>
        <c:axId val="1246819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D9D9D9"/>
              </a:solidFill>
              <a:prstDash val="solid"/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595959"/>
                </a:solidFill>
                <a:latin typeface="Aptos Narrow"/>
                <a:ea typeface="Aptos Narrow"/>
                <a:cs typeface="Aptos Narrow"/>
              </a:defRPr>
            </a:pPr>
            <a:endParaRPr lang="en-US"/>
          </a:p>
        </c:txPr>
        <c:crossAx val="13323172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rgbClr val="D9D9D9"/>
      </a:solidFill>
      <a:prstDash val="solid"/>
      <a:round/>
    </a:ln>
    <a:effectLst/>
  </c:spPr>
  <c:txPr>
    <a:bodyPr/>
    <a:lstStyle/>
    <a:p>
      <a:pPr>
        <a:defRPr sz="900">
          <a:solidFill>
            <a:srgbClr val="595959"/>
          </a:solidFill>
          <a:latin typeface="Aptos Narrow"/>
          <a:ea typeface="Aptos Narrow"/>
          <a:cs typeface="Aptos Narrow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1F4E79"/>
                </a:solidFill>
                <a:latin typeface="Aptos Narrow"/>
                <a:ea typeface="Aptos Narrow"/>
                <a:cs typeface="Aptos Narrow"/>
              </a:defRPr>
            </a:pPr>
            <a:r>
              <a:rPr lang="en-US"/>
              <a:t>CAPU — Chg MoM (pp) (bars) vs level (line, rhs)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1F4E79"/>
              </a:solidFill>
              <a:latin typeface="Aptos Narrow"/>
              <a:ea typeface="Aptos Narrow"/>
              <a:cs typeface="Aptos Narrow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CAPU!$I$12</c:f>
              <c:strCache>
                <c:ptCount val="1"/>
                <c:pt idx="0">
                  <c:v>Frequency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CAPU!$H$13:$H$24</c:f>
              <c:numCache>
                <c:formatCode>0.0000</c:formatCode>
                <c:ptCount val="12"/>
                <c:pt idx="0">
                  <c:v>-8.5341333333333402</c:v>
                </c:pt>
                <c:pt idx="1">
                  <c:v>-7.3642666666666727</c:v>
                </c:pt>
                <c:pt idx="2">
                  <c:v>-6.1944000000000052</c:v>
                </c:pt>
                <c:pt idx="3">
                  <c:v>-5.0245333333333377</c:v>
                </c:pt>
                <c:pt idx="4">
                  <c:v>-3.8546666666666702</c:v>
                </c:pt>
                <c:pt idx="5">
                  <c:v>-2.6848000000000027</c:v>
                </c:pt>
                <c:pt idx="6">
                  <c:v>-1.5149333333333352</c:v>
                </c:pt>
                <c:pt idx="7">
                  <c:v>-0.34506666666666774</c:v>
                </c:pt>
                <c:pt idx="8">
                  <c:v>0.82479999999999976</c:v>
                </c:pt>
                <c:pt idx="9">
                  <c:v>1.9946666666666673</c:v>
                </c:pt>
                <c:pt idx="10">
                  <c:v>3.1645333333333348</c:v>
                </c:pt>
                <c:pt idx="11">
                  <c:v>4.3344000000000023</c:v>
                </c:pt>
              </c:numCache>
            </c:numRef>
          </c:cat>
          <c:val>
            <c:numRef>
              <c:f>CAPU!$I$13:$I$24</c:f>
              <c:numCache>
                <c:formatCode>#,##0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</c:v>
                </c:pt>
                <c:pt idx="6">
                  <c:v>10</c:v>
                </c:pt>
                <c:pt idx="7">
                  <c:v>150</c:v>
                </c:pt>
                <c:pt idx="8">
                  <c:v>507</c:v>
                </c:pt>
                <c:pt idx="9">
                  <c:v>38</c:v>
                </c:pt>
                <c:pt idx="10">
                  <c:v>2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6DE-45A4-B3BE-E9C50D3221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36272527"/>
        <c:axId val="1246815792"/>
      </c:barChart>
      <c:catAx>
        <c:axId val="1336272527"/>
        <c:scaling>
          <c:orientation val="minMax"/>
        </c:scaling>
        <c:delete val="0"/>
        <c:axPos val="b"/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595959"/>
                </a:solidFill>
                <a:latin typeface="Aptos Narrow"/>
                <a:ea typeface="Aptos Narrow"/>
                <a:cs typeface="Aptos Narrow"/>
              </a:defRPr>
            </a:pPr>
            <a:endParaRPr lang="en-US"/>
          </a:p>
        </c:txPr>
        <c:crossAx val="1246815792"/>
        <c:crosses val="autoZero"/>
        <c:auto val="1"/>
        <c:lblAlgn val="ctr"/>
        <c:lblOffset val="100"/>
        <c:noMultiLvlLbl val="1"/>
      </c:catAx>
      <c:valAx>
        <c:axId val="124681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D9D9D9"/>
              </a:solidFill>
              <a:prstDash val="solid"/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595959"/>
                </a:solidFill>
                <a:latin typeface="Aptos Narrow"/>
                <a:ea typeface="Aptos Narrow"/>
                <a:cs typeface="Aptos Narrow"/>
              </a:defRPr>
            </a:pPr>
            <a:endParaRPr lang="en-US"/>
          </a:p>
        </c:txPr>
        <c:crossAx val="1336272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595959"/>
              </a:solidFill>
              <a:latin typeface="Aptos Narrow"/>
              <a:ea typeface="Aptos Narrow"/>
              <a:cs typeface="Aptos Narrow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rgbClr val="D9D9D9"/>
      </a:solidFill>
      <a:prstDash val="solid"/>
      <a:round/>
    </a:ln>
    <a:effectLst/>
  </c:spPr>
  <c:txPr>
    <a:bodyPr/>
    <a:lstStyle/>
    <a:p>
      <a:pPr>
        <a:defRPr sz="900">
          <a:solidFill>
            <a:srgbClr val="595959"/>
          </a:solidFill>
          <a:latin typeface="Aptos Narrow"/>
          <a:ea typeface="Aptos Narrow"/>
          <a:cs typeface="Aptos Narrow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1F4E79"/>
                </a:solidFill>
                <a:latin typeface="Aptos Narrow"/>
                <a:ea typeface="Aptos Narrow"/>
                <a:cs typeface="Aptos Narrow"/>
              </a:defRPr>
            </a:pPr>
            <a:r>
              <a:rPr lang="en-US"/>
              <a:t>CAPU — distribution of Chg MoM (pp) (histogram)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1F4E79"/>
              </a:solidFill>
              <a:latin typeface="Aptos Narrow"/>
              <a:ea typeface="Aptos Narrow"/>
              <a:cs typeface="Aptos Narrow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CAPU!$V$8</c:f>
              <c:strCache>
                <c:ptCount val="1"/>
                <c:pt idx="0">
                  <c:v>Actual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CAPU!$U$9:$U$11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cat>
          <c:val>
            <c:numRef>
              <c:f>CAPU!$V$9:$V$11</c:f>
              <c:numCache>
                <c:formatCode>0.0%</c:formatCode>
                <c:ptCount val="3"/>
                <c:pt idx="0">
                  <c:v>0.8541374474053296</c:v>
                </c:pt>
                <c:pt idx="1">
                  <c:v>0.967741935483871</c:v>
                </c:pt>
                <c:pt idx="2">
                  <c:v>0.98597475455820471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DE3-4A58-BC1F-10F2E003423A}"/>
            </c:ext>
          </c:extLst>
        </c:ser>
        <c:ser>
          <c:idx val="1"/>
          <c:order val="1"/>
          <c:tx>
            <c:strRef>
              <c:f>CAPU!$W$8</c:f>
              <c:strCache>
                <c:ptCount val="1"/>
                <c:pt idx="0">
                  <c:v>Normal %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CAPU!$U$9:$U$11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cat>
          <c:val>
            <c:numRef>
              <c:f>CAPU!$W$9:$W$11</c:f>
              <c:numCache>
                <c:formatCode>0.0%</c:formatCode>
                <c:ptCount val="3"/>
                <c:pt idx="0">
                  <c:v>0.68200000000000005</c:v>
                </c:pt>
                <c:pt idx="1">
                  <c:v>0.95399999999999996</c:v>
                </c:pt>
                <c:pt idx="2">
                  <c:v>0.997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09-413D-ACF1-A10BA061BD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"/>
        <c:overlap val="-27"/>
        <c:axId val="1336353727"/>
        <c:axId val="1246838832"/>
      </c:barChart>
      <c:catAx>
        <c:axId val="1336353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595959"/>
                </a:solidFill>
                <a:latin typeface="Aptos Narrow"/>
                <a:ea typeface="Aptos Narrow"/>
                <a:cs typeface="Aptos Narrow"/>
              </a:defRPr>
            </a:pPr>
            <a:endParaRPr lang="en-US"/>
          </a:p>
        </c:txPr>
        <c:crossAx val="1246838832"/>
        <c:crosses val="autoZero"/>
        <c:auto val="1"/>
        <c:lblAlgn val="ctr"/>
        <c:lblOffset val="100"/>
        <c:noMultiLvlLbl val="0"/>
      </c:catAx>
      <c:valAx>
        <c:axId val="1246838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D9D9D9"/>
              </a:solidFill>
              <a:prstDash val="solid"/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595959"/>
                </a:solidFill>
                <a:latin typeface="Aptos Narrow"/>
                <a:ea typeface="Aptos Narrow"/>
                <a:cs typeface="Aptos Narrow"/>
              </a:defRPr>
            </a:pPr>
            <a:endParaRPr lang="en-US"/>
          </a:p>
        </c:txPr>
        <c:crossAx val="1336353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595959"/>
              </a:solidFill>
              <a:latin typeface="Aptos Narrow"/>
              <a:ea typeface="Aptos Narrow"/>
              <a:cs typeface="Aptos Narrow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rgbClr val="D9D9D9"/>
      </a:solidFill>
      <a:prstDash val="solid"/>
      <a:round/>
    </a:ln>
    <a:effectLst/>
  </c:spPr>
  <c:txPr>
    <a:bodyPr/>
    <a:lstStyle/>
    <a:p>
      <a:pPr>
        <a:defRPr sz="900">
          <a:solidFill>
            <a:srgbClr val="595959"/>
          </a:solidFill>
          <a:latin typeface="Aptos Narrow"/>
          <a:ea typeface="Aptos Narrow"/>
          <a:cs typeface="Aptos Narrow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1F4E79"/>
                </a:solidFill>
                <a:latin typeface="Aptos Narrow"/>
                <a:ea typeface="Aptos Narrow"/>
                <a:cs typeface="Aptos Narrow"/>
              </a:defRPr>
            </a:pPr>
            <a:r>
              <a:rPr lang="en-US"/>
              <a:t>ISM Manufacturing PMI (local full-history file) — level, 1948–present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1F4E79"/>
              </a:solidFill>
              <a:latin typeface="Aptos Narrow"/>
              <a:ea typeface="Aptos Narrow"/>
              <a:cs typeface="Aptos Narrow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ISM!$B$4</c:f>
              <c:strCache>
                <c:ptCount val="1"/>
                <c:pt idx="0">
                  <c:v>Value</c:v>
                </c:pt>
              </c:strCache>
            </c:strRef>
          </c:tx>
          <c:spPr>
            <a:ln w="25400" cap="rnd">
              <a:solidFill>
                <a:srgbClr val="1F4E79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ISM!$A$5:$A$947</c:f>
              <c:numCache>
                <c:formatCode>yyyy/mm/dd</c:formatCode>
                <c:ptCount val="943"/>
                <c:pt idx="0">
                  <c:v>17533</c:v>
                </c:pt>
                <c:pt idx="1">
                  <c:v>17564</c:v>
                </c:pt>
                <c:pt idx="2">
                  <c:v>17593</c:v>
                </c:pt>
                <c:pt idx="3">
                  <c:v>17624</c:v>
                </c:pt>
                <c:pt idx="4">
                  <c:v>17654</c:v>
                </c:pt>
                <c:pt idx="5">
                  <c:v>17685</c:v>
                </c:pt>
                <c:pt idx="6">
                  <c:v>17715</c:v>
                </c:pt>
                <c:pt idx="7">
                  <c:v>17746</c:v>
                </c:pt>
                <c:pt idx="8">
                  <c:v>17777</c:v>
                </c:pt>
                <c:pt idx="9">
                  <c:v>17807</c:v>
                </c:pt>
                <c:pt idx="10">
                  <c:v>17838</c:v>
                </c:pt>
                <c:pt idx="11">
                  <c:v>17868</c:v>
                </c:pt>
                <c:pt idx="12">
                  <c:v>17899</c:v>
                </c:pt>
                <c:pt idx="13">
                  <c:v>17930</c:v>
                </c:pt>
                <c:pt idx="14">
                  <c:v>17958</c:v>
                </c:pt>
                <c:pt idx="15">
                  <c:v>17989</c:v>
                </c:pt>
                <c:pt idx="16">
                  <c:v>18019</c:v>
                </c:pt>
                <c:pt idx="17">
                  <c:v>18050</c:v>
                </c:pt>
                <c:pt idx="18">
                  <c:v>18080</c:v>
                </c:pt>
                <c:pt idx="19">
                  <c:v>18111</c:v>
                </c:pt>
                <c:pt idx="20">
                  <c:v>18142</c:v>
                </c:pt>
                <c:pt idx="21">
                  <c:v>18172</c:v>
                </c:pt>
                <c:pt idx="22">
                  <c:v>18203</c:v>
                </c:pt>
                <c:pt idx="23">
                  <c:v>18233</c:v>
                </c:pt>
                <c:pt idx="24">
                  <c:v>18264</c:v>
                </c:pt>
                <c:pt idx="25">
                  <c:v>18295</c:v>
                </c:pt>
                <c:pt idx="26">
                  <c:v>18323</c:v>
                </c:pt>
                <c:pt idx="27">
                  <c:v>18354</c:v>
                </c:pt>
                <c:pt idx="28">
                  <c:v>18384</c:v>
                </c:pt>
                <c:pt idx="29">
                  <c:v>18415</c:v>
                </c:pt>
                <c:pt idx="30">
                  <c:v>18445</c:v>
                </c:pt>
                <c:pt idx="31">
                  <c:v>18476</c:v>
                </c:pt>
                <c:pt idx="32">
                  <c:v>18507</c:v>
                </c:pt>
                <c:pt idx="33">
                  <c:v>18537</c:v>
                </c:pt>
                <c:pt idx="34">
                  <c:v>18568</c:v>
                </c:pt>
                <c:pt idx="35">
                  <c:v>18598</c:v>
                </c:pt>
                <c:pt idx="36">
                  <c:v>18629</c:v>
                </c:pt>
                <c:pt idx="37">
                  <c:v>18660</c:v>
                </c:pt>
                <c:pt idx="38">
                  <c:v>18688</c:v>
                </c:pt>
                <c:pt idx="39">
                  <c:v>18719</c:v>
                </c:pt>
                <c:pt idx="40">
                  <c:v>18749</c:v>
                </c:pt>
                <c:pt idx="41">
                  <c:v>18780</c:v>
                </c:pt>
                <c:pt idx="42">
                  <c:v>18810</c:v>
                </c:pt>
                <c:pt idx="43">
                  <c:v>18841</c:v>
                </c:pt>
                <c:pt idx="44">
                  <c:v>18872</c:v>
                </c:pt>
                <c:pt idx="45">
                  <c:v>18902</c:v>
                </c:pt>
                <c:pt idx="46">
                  <c:v>18933</c:v>
                </c:pt>
                <c:pt idx="47">
                  <c:v>18963</c:v>
                </c:pt>
                <c:pt idx="48">
                  <c:v>18994</c:v>
                </c:pt>
                <c:pt idx="49">
                  <c:v>19025</c:v>
                </c:pt>
                <c:pt idx="50">
                  <c:v>19054</c:v>
                </c:pt>
                <c:pt idx="51">
                  <c:v>19085</c:v>
                </c:pt>
                <c:pt idx="52">
                  <c:v>19115</c:v>
                </c:pt>
                <c:pt idx="53">
                  <c:v>19146</c:v>
                </c:pt>
                <c:pt idx="54">
                  <c:v>19176</c:v>
                </c:pt>
                <c:pt idx="55">
                  <c:v>19207</c:v>
                </c:pt>
                <c:pt idx="56">
                  <c:v>19238</c:v>
                </c:pt>
                <c:pt idx="57">
                  <c:v>19268</c:v>
                </c:pt>
                <c:pt idx="58">
                  <c:v>19299</c:v>
                </c:pt>
                <c:pt idx="59">
                  <c:v>19329</c:v>
                </c:pt>
                <c:pt idx="60">
                  <c:v>19360</c:v>
                </c:pt>
                <c:pt idx="61">
                  <c:v>19391</c:v>
                </c:pt>
                <c:pt idx="62">
                  <c:v>19419</c:v>
                </c:pt>
                <c:pt idx="63">
                  <c:v>19450</c:v>
                </c:pt>
                <c:pt idx="64">
                  <c:v>19480</c:v>
                </c:pt>
                <c:pt idx="65">
                  <c:v>19511</c:v>
                </c:pt>
                <c:pt idx="66">
                  <c:v>19541</c:v>
                </c:pt>
                <c:pt idx="67">
                  <c:v>19572</c:v>
                </c:pt>
                <c:pt idx="68">
                  <c:v>19603</c:v>
                </c:pt>
                <c:pt idx="69">
                  <c:v>19633</c:v>
                </c:pt>
                <c:pt idx="70">
                  <c:v>19664</c:v>
                </c:pt>
                <c:pt idx="71">
                  <c:v>19694</c:v>
                </c:pt>
                <c:pt idx="72">
                  <c:v>19725</c:v>
                </c:pt>
                <c:pt idx="73">
                  <c:v>19756</c:v>
                </c:pt>
                <c:pt idx="74">
                  <c:v>19784</c:v>
                </c:pt>
                <c:pt idx="75">
                  <c:v>19815</c:v>
                </c:pt>
                <c:pt idx="76">
                  <c:v>19845</c:v>
                </c:pt>
                <c:pt idx="77">
                  <c:v>19876</c:v>
                </c:pt>
                <c:pt idx="78">
                  <c:v>19906</c:v>
                </c:pt>
                <c:pt idx="79">
                  <c:v>19937</c:v>
                </c:pt>
                <c:pt idx="80">
                  <c:v>19968</c:v>
                </c:pt>
                <c:pt idx="81">
                  <c:v>19998</c:v>
                </c:pt>
                <c:pt idx="82">
                  <c:v>20029</c:v>
                </c:pt>
                <c:pt idx="83">
                  <c:v>20059</c:v>
                </c:pt>
                <c:pt idx="84">
                  <c:v>20090</c:v>
                </c:pt>
                <c:pt idx="85">
                  <c:v>20121</c:v>
                </c:pt>
                <c:pt idx="86">
                  <c:v>20149</c:v>
                </c:pt>
                <c:pt idx="87">
                  <c:v>20180</c:v>
                </c:pt>
                <c:pt idx="88">
                  <c:v>20210</c:v>
                </c:pt>
                <c:pt idx="89">
                  <c:v>20241</c:v>
                </c:pt>
                <c:pt idx="90">
                  <c:v>20271</c:v>
                </c:pt>
                <c:pt idx="91">
                  <c:v>20302</c:v>
                </c:pt>
                <c:pt idx="92">
                  <c:v>20333</c:v>
                </c:pt>
                <c:pt idx="93">
                  <c:v>20363</c:v>
                </c:pt>
                <c:pt idx="94">
                  <c:v>20394</c:v>
                </c:pt>
                <c:pt idx="95">
                  <c:v>20424</c:v>
                </c:pt>
                <c:pt idx="96">
                  <c:v>20455</c:v>
                </c:pt>
                <c:pt idx="97">
                  <c:v>20486</c:v>
                </c:pt>
                <c:pt idx="98">
                  <c:v>20515</c:v>
                </c:pt>
                <c:pt idx="99">
                  <c:v>20546</c:v>
                </c:pt>
                <c:pt idx="100">
                  <c:v>20576</c:v>
                </c:pt>
                <c:pt idx="101">
                  <c:v>20607</c:v>
                </c:pt>
                <c:pt idx="102">
                  <c:v>20637</c:v>
                </c:pt>
                <c:pt idx="103">
                  <c:v>20668</c:v>
                </c:pt>
                <c:pt idx="104">
                  <c:v>20699</c:v>
                </c:pt>
                <c:pt idx="105">
                  <c:v>20729</c:v>
                </c:pt>
                <c:pt idx="106">
                  <c:v>20760</c:v>
                </c:pt>
                <c:pt idx="107">
                  <c:v>20790</c:v>
                </c:pt>
                <c:pt idx="108">
                  <c:v>20821</c:v>
                </c:pt>
                <c:pt idx="109">
                  <c:v>20852</c:v>
                </c:pt>
                <c:pt idx="110">
                  <c:v>20880</c:v>
                </c:pt>
                <c:pt idx="111">
                  <c:v>20911</c:v>
                </c:pt>
                <c:pt idx="112">
                  <c:v>20941</c:v>
                </c:pt>
                <c:pt idx="113">
                  <c:v>20972</c:v>
                </c:pt>
                <c:pt idx="114">
                  <c:v>21002</c:v>
                </c:pt>
                <c:pt idx="115">
                  <c:v>21033</c:v>
                </c:pt>
                <c:pt idx="116">
                  <c:v>21064</c:v>
                </c:pt>
                <c:pt idx="117">
                  <c:v>21094</c:v>
                </c:pt>
                <c:pt idx="118">
                  <c:v>21125</c:v>
                </c:pt>
                <c:pt idx="119">
                  <c:v>21155</c:v>
                </c:pt>
                <c:pt idx="120">
                  <c:v>21186</c:v>
                </c:pt>
                <c:pt idx="121">
                  <c:v>21217</c:v>
                </c:pt>
                <c:pt idx="122">
                  <c:v>21245</c:v>
                </c:pt>
                <c:pt idx="123">
                  <c:v>21276</c:v>
                </c:pt>
                <c:pt idx="124">
                  <c:v>21306</c:v>
                </c:pt>
                <c:pt idx="125">
                  <c:v>21337</c:v>
                </c:pt>
                <c:pt idx="126">
                  <c:v>21367</c:v>
                </c:pt>
                <c:pt idx="127">
                  <c:v>21398</c:v>
                </c:pt>
                <c:pt idx="128">
                  <c:v>21429</c:v>
                </c:pt>
                <c:pt idx="129">
                  <c:v>21459</c:v>
                </c:pt>
                <c:pt idx="130">
                  <c:v>21490</c:v>
                </c:pt>
                <c:pt idx="131">
                  <c:v>21520</c:v>
                </c:pt>
                <c:pt idx="132">
                  <c:v>21551</c:v>
                </c:pt>
                <c:pt idx="133">
                  <c:v>21582</c:v>
                </c:pt>
                <c:pt idx="134">
                  <c:v>21610</c:v>
                </c:pt>
                <c:pt idx="135">
                  <c:v>21641</c:v>
                </c:pt>
                <c:pt idx="136">
                  <c:v>21671</c:v>
                </c:pt>
                <c:pt idx="137">
                  <c:v>21702</c:v>
                </c:pt>
                <c:pt idx="138">
                  <c:v>21732</c:v>
                </c:pt>
                <c:pt idx="139">
                  <c:v>21763</c:v>
                </c:pt>
                <c:pt idx="140">
                  <c:v>21794</c:v>
                </c:pt>
                <c:pt idx="141">
                  <c:v>21824</c:v>
                </c:pt>
                <c:pt idx="142">
                  <c:v>21855</c:v>
                </c:pt>
                <c:pt idx="143">
                  <c:v>21885</c:v>
                </c:pt>
                <c:pt idx="144">
                  <c:v>21916</c:v>
                </c:pt>
                <c:pt idx="145">
                  <c:v>21947</c:v>
                </c:pt>
                <c:pt idx="146">
                  <c:v>21976</c:v>
                </c:pt>
                <c:pt idx="147">
                  <c:v>22007</c:v>
                </c:pt>
                <c:pt idx="148">
                  <c:v>22037</c:v>
                </c:pt>
                <c:pt idx="149">
                  <c:v>22068</c:v>
                </c:pt>
                <c:pt idx="150">
                  <c:v>22098</c:v>
                </c:pt>
                <c:pt idx="151">
                  <c:v>22129</c:v>
                </c:pt>
                <c:pt idx="152">
                  <c:v>22160</c:v>
                </c:pt>
                <c:pt idx="153">
                  <c:v>22190</c:v>
                </c:pt>
                <c:pt idx="154">
                  <c:v>22221</c:v>
                </c:pt>
                <c:pt idx="155">
                  <c:v>22251</c:v>
                </c:pt>
                <c:pt idx="156">
                  <c:v>22282</c:v>
                </c:pt>
                <c:pt idx="157">
                  <c:v>22313</c:v>
                </c:pt>
                <c:pt idx="158">
                  <c:v>22341</c:v>
                </c:pt>
                <c:pt idx="159">
                  <c:v>22372</c:v>
                </c:pt>
                <c:pt idx="160">
                  <c:v>22402</c:v>
                </c:pt>
                <c:pt idx="161">
                  <c:v>22433</c:v>
                </c:pt>
                <c:pt idx="162">
                  <c:v>22463</c:v>
                </c:pt>
                <c:pt idx="163">
                  <c:v>22494</c:v>
                </c:pt>
                <c:pt idx="164">
                  <c:v>22525</c:v>
                </c:pt>
                <c:pt idx="165">
                  <c:v>22555</c:v>
                </c:pt>
                <c:pt idx="166">
                  <c:v>22586</c:v>
                </c:pt>
                <c:pt idx="167">
                  <c:v>22616</c:v>
                </c:pt>
                <c:pt idx="168">
                  <c:v>22647</c:v>
                </c:pt>
                <c:pt idx="169">
                  <c:v>22678</c:v>
                </c:pt>
                <c:pt idx="170">
                  <c:v>22706</c:v>
                </c:pt>
                <c:pt idx="171">
                  <c:v>22737</c:v>
                </c:pt>
                <c:pt idx="172">
                  <c:v>22767</c:v>
                </c:pt>
                <c:pt idx="173">
                  <c:v>22798</c:v>
                </c:pt>
                <c:pt idx="174">
                  <c:v>22828</c:v>
                </c:pt>
                <c:pt idx="175">
                  <c:v>22859</c:v>
                </c:pt>
                <c:pt idx="176">
                  <c:v>22890</c:v>
                </c:pt>
                <c:pt idx="177">
                  <c:v>22920</c:v>
                </c:pt>
                <c:pt idx="178">
                  <c:v>22951</c:v>
                </c:pt>
                <c:pt idx="179">
                  <c:v>22981</c:v>
                </c:pt>
                <c:pt idx="180">
                  <c:v>23012</c:v>
                </c:pt>
                <c:pt idx="181">
                  <c:v>23043</c:v>
                </c:pt>
                <c:pt idx="182">
                  <c:v>23071</c:v>
                </c:pt>
                <c:pt idx="183">
                  <c:v>23102</c:v>
                </c:pt>
                <c:pt idx="184">
                  <c:v>23132</c:v>
                </c:pt>
                <c:pt idx="185">
                  <c:v>23163</c:v>
                </c:pt>
                <c:pt idx="186">
                  <c:v>23193</c:v>
                </c:pt>
                <c:pt idx="187">
                  <c:v>23224</c:v>
                </c:pt>
                <c:pt idx="188">
                  <c:v>23255</c:v>
                </c:pt>
                <c:pt idx="189">
                  <c:v>23285</c:v>
                </c:pt>
                <c:pt idx="190">
                  <c:v>23316</c:v>
                </c:pt>
                <c:pt idx="191">
                  <c:v>23346</c:v>
                </c:pt>
                <c:pt idx="192">
                  <c:v>23377</c:v>
                </c:pt>
                <c:pt idx="193">
                  <c:v>23408</c:v>
                </c:pt>
                <c:pt idx="194">
                  <c:v>23437</c:v>
                </c:pt>
                <c:pt idx="195">
                  <c:v>23468</c:v>
                </c:pt>
                <c:pt idx="196">
                  <c:v>23498</c:v>
                </c:pt>
                <c:pt idx="197">
                  <c:v>23529</c:v>
                </c:pt>
                <c:pt idx="198">
                  <c:v>23559</c:v>
                </c:pt>
                <c:pt idx="199">
                  <c:v>23590</c:v>
                </c:pt>
                <c:pt idx="200">
                  <c:v>23621</c:v>
                </c:pt>
                <c:pt idx="201">
                  <c:v>23651</c:v>
                </c:pt>
                <c:pt idx="202">
                  <c:v>23682</c:v>
                </c:pt>
                <c:pt idx="203">
                  <c:v>23712</c:v>
                </c:pt>
                <c:pt idx="204">
                  <c:v>23743</c:v>
                </c:pt>
                <c:pt idx="205">
                  <c:v>23774</c:v>
                </c:pt>
                <c:pt idx="206">
                  <c:v>23802</c:v>
                </c:pt>
                <c:pt idx="207">
                  <c:v>23833</c:v>
                </c:pt>
                <c:pt idx="208">
                  <c:v>23863</c:v>
                </c:pt>
                <c:pt idx="209">
                  <c:v>23894</c:v>
                </c:pt>
                <c:pt idx="210">
                  <c:v>23924</c:v>
                </c:pt>
                <c:pt idx="211">
                  <c:v>23955</c:v>
                </c:pt>
                <c:pt idx="212">
                  <c:v>23986</c:v>
                </c:pt>
                <c:pt idx="213">
                  <c:v>24016</c:v>
                </c:pt>
                <c:pt idx="214">
                  <c:v>24047</c:v>
                </c:pt>
                <c:pt idx="215">
                  <c:v>24077</c:v>
                </c:pt>
                <c:pt idx="216">
                  <c:v>24108</c:v>
                </c:pt>
                <c:pt idx="217">
                  <c:v>24139</c:v>
                </c:pt>
                <c:pt idx="218">
                  <c:v>24167</c:v>
                </c:pt>
                <c:pt idx="219">
                  <c:v>24198</c:v>
                </c:pt>
                <c:pt idx="220">
                  <c:v>24228</c:v>
                </c:pt>
                <c:pt idx="221">
                  <c:v>24259</c:v>
                </c:pt>
                <c:pt idx="222">
                  <c:v>24289</c:v>
                </c:pt>
                <c:pt idx="223">
                  <c:v>24320</c:v>
                </c:pt>
                <c:pt idx="224">
                  <c:v>24351</c:v>
                </c:pt>
                <c:pt idx="225">
                  <c:v>24381</c:v>
                </c:pt>
                <c:pt idx="226">
                  <c:v>24412</c:v>
                </c:pt>
                <c:pt idx="227">
                  <c:v>24442</c:v>
                </c:pt>
                <c:pt idx="228">
                  <c:v>24473</c:v>
                </c:pt>
                <c:pt idx="229">
                  <c:v>24504</c:v>
                </c:pt>
                <c:pt idx="230">
                  <c:v>24532</c:v>
                </c:pt>
                <c:pt idx="231">
                  <c:v>24563</c:v>
                </c:pt>
                <c:pt idx="232">
                  <c:v>24593</c:v>
                </c:pt>
                <c:pt idx="233">
                  <c:v>24624</c:v>
                </c:pt>
                <c:pt idx="234">
                  <c:v>24654</c:v>
                </c:pt>
                <c:pt idx="235">
                  <c:v>24685</c:v>
                </c:pt>
                <c:pt idx="236">
                  <c:v>24716</c:v>
                </c:pt>
                <c:pt idx="237">
                  <c:v>24746</c:v>
                </c:pt>
                <c:pt idx="238">
                  <c:v>24777</c:v>
                </c:pt>
                <c:pt idx="239">
                  <c:v>24807</c:v>
                </c:pt>
                <c:pt idx="240">
                  <c:v>24838</c:v>
                </c:pt>
                <c:pt idx="241">
                  <c:v>24869</c:v>
                </c:pt>
                <c:pt idx="242">
                  <c:v>24898</c:v>
                </c:pt>
                <c:pt idx="243">
                  <c:v>24929</c:v>
                </c:pt>
                <c:pt idx="244">
                  <c:v>24959</c:v>
                </c:pt>
                <c:pt idx="245">
                  <c:v>24990</c:v>
                </c:pt>
                <c:pt idx="246">
                  <c:v>25020</c:v>
                </c:pt>
                <c:pt idx="247">
                  <c:v>25051</c:v>
                </c:pt>
                <c:pt idx="248">
                  <c:v>25082</c:v>
                </c:pt>
                <c:pt idx="249">
                  <c:v>25112</c:v>
                </c:pt>
                <c:pt idx="250">
                  <c:v>25143</c:v>
                </c:pt>
                <c:pt idx="251">
                  <c:v>25173</c:v>
                </c:pt>
                <c:pt idx="252">
                  <c:v>25204</c:v>
                </c:pt>
                <c:pt idx="253">
                  <c:v>25235</c:v>
                </c:pt>
                <c:pt idx="254">
                  <c:v>25263</c:v>
                </c:pt>
                <c:pt idx="255">
                  <c:v>25294</c:v>
                </c:pt>
                <c:pt idx="256">
                  <c:v>25324</c:v>
                </c:pt>
                <c:pt idx="257">
                  <c:v>25355</c:v>
                </c:pt>
                <c:pt idx="258">
                  <c:v>25385</c:v>
                </c:pt>
                <c:pt idx="259">
                  <c:v>25416</c:v>
                </c:pt>
                <c:pt idx="260">
                  <c:v>25447</c:v>
                </c:pt>
                <c:pt idx="261">
                  <c:v>25477</c:v>
                </c:pt>
                <c:pt idx="262">
                  <c:v>25508</c:v>
                </c:pt>
                <c:pt idx="263">
                  <c:v>25538</c:v>
                </c:pt>
                <c:pt idx="264">
                  <c:v>25569</c:v>
                </c:pt>
                <c:pt idx="265">
                  <c:v>25600</c:v>
                </c:pt>
                <c:pt idx="266">
                  <c:v>25628</c:v>
                </c:pt>
                <c:pt idx="267">
                  <c:v>25659</c:v>
                </c:pt>
                <c:pt idx="268">
                  <c:v>25689</c:v>
                </c:pt>
                <c:pt idx="269">
                  <c:v>25720</c:v>
                </c:pt>
                <c:pt idx="270">
                  <c:v>25750</c:v>
                </c:pt>
                <c:pt idx="271">
                  <c:v>25781</c:v>
                </c:pt>
                <c:pt idx="272">
                  <c:v>25812</c:v>
                </c:pt>
                <c:pt idx="273">
                  <c:v>25842</c:v>
                </c:pt>
                <c:pt idx="274">
                  <c:v>25873</c:v>
                </c:pt>
                <c:pt idx="275">
                  <c:v>25903</c:v>
                </c:pt>
                <c:pt idx="276">
                  <c:v>25934</c:v>
                </c:pt>
                <c:pt idx="277">
                  <c:v>25965</c:v>
                </c:pt>
                <c:pt idx="278">
                  <c:v>25993</c:v>
                </c:pt>
                <c:pt idx="279">
                  <c:v>26024</c:v>
                </c:pt>
                <c:pt idx="280">
                  <c:v>26054</c:v>
                </c:pt>
                <c:pt idx="281">
                  <c:v>26085</c:v>
                </c:pt>
                <c:pt idx="282">
                  <c:v>26115</c:v>
                </c:pt>
                <c:pt idx="283">
                  <c:v>26146</c:v>
                </c:pt>
                <c:pt idx="284">
                  <c:v>26177</c:v>
                </c:pt>
                <c:pt idx="285">
                  <c:v>26207</c:v>
                </c:pt>
                <c:pt idx="286">
                  <c:v>26238</c:v>
                </c:pt>
                <c:pt idx="287">
                  <c:v>26268</c:v>
                </c:pt>
                <c:pt idx="288">
                  <c:v>26299</c:v>
                </c:pt>
                <c:pt idx="289">
                  <c:v>26330</c:v>
                </c:pt>
                <c:pt idx="290">
                  <c:v>26359</c:v>
                </c:pt>
                <c:pt idx="291">
                  <c:v>26390</c:v>
                </c:pt>
                <c:pt idx="292">
                  <c:v>26420</c:v>
                </c:pt>
                <c:pt idx="293">
                  <c:v>26451</c:v>
                </c:pt>
                <c:pt idx="294">
                  <c:v>26481</c:v>
                </c:pt>
                <c:pt idx="295">
                  <c:v>26512</c:v>
                </c:pt>
                <c:pt idx="296">
                  <c:v>26543</c:v>
                </c:pt>
                <c:pt idx="297">
                  <c:v>26573</c:v>
                </c:pt>
                <c:pt idx="298">
                  <c:v>26604</c:v>
                </c:pt>
                <c:pt idx="299">
                  <c:v>26634</c:v>
                </c:pt>
                <c:pt idx="300">
                  <c:v>26665</c:v>
                </c:pt>
                <c:pt idx="301">
                  <c:v>26696</c:v>
                </c:pt>
                <c:pt idx="302">
                  <c:v>26724</c:v>
                </c:pt>
                <c:pt idx="303">
                  <c:v>26755</c:v>
                </c:pt>
                <c:pt idx="304">
                  <c:v>26785</c:v>
                </c:pt>
                <c:pt idx="305">
                  <c:v>26816</c:v>
                </c:pt>
                <c:pt idx="306">
                  <c:v>26846</c:v>
                </c:pt>
                <c:pt idx="307">
                  <c:v>26877</c:v>
                </c:pt>
                <c:pt idx="308">
                  <c:v>26908</c:v>
                </c:pt>
                <c:pt idx="309">
                  <c:v>26938</c:v>
                </c:pt>
                <c:pt idx="310">
                  <c:v>26969</c:v>
                </c:pt>
                <c:pt idx="311">
                  <c:v>26999</c:v>
                </c:pt>
                <c:pt idx="312">
                  <c:v>27030</c:v>
                </c:pt>
                <c:pt idx="313">
                  <c:v>27061</c:v>
                </c:pt>
                <c:pt idx="314">
                  <c:v>27089</c:v>
                </c:pt>
                <c:pt idx="315">
                  <c:v>27120</c:v>
                </c:pt>
                <c:pt idx="316">
                  <c:v>27150</c:v>
                </c:pt>
                <c:pt idx="317">
                  <c:v>27181</c:v>
                </c:pt>
                <c:pt idx="318">
                  <c:v>27211</c:v>
                </c:pt>
                <c:pt idx="319">
                  <c:v>27242</c:v>
                </c:pt>
                <c:pt idx="320">
                  <c:v>27273</c:v>
                </c:pt>
                <c:pt idx="321">
                  <c:v>27303</c:v>
                </c:pt>
                <c:pt idx="322">
                  <c:v>27334</c:v>
                </c:pt>
                <c:pt idx="323">
                  <c:v>27364</c:v>
                </c:pt>
                <c:pt idx="324">
                  <c:v>27395</c:v>
                </c:pt>
                <c:pt idx="325">
                  <c:v>27426</c:v>
                </c:pt>
                <c:pt idx="326">
                  <c:v>27454</c:v>
                </c:pt>
                <c:pt idx="327">
                  <c:v>27485</c:v>
                </c:pt>
                <c:pt idx="328">
                  <c:v>27515</c:v>
                </c:pt>
                <c:pt idx="329">
                  <c:v>27546</c:v>
                </c:pt>
                <c:pt idx="330">
                  <c:v>27576</c:v>
                </c:pt>
                <c:pt idx="331">
                  <c:v>27607</c:v>
                </c:pt>
                <c:pt idx="332">
                  <c:v>27638</c:v>
                </c:pt>
                <c:pt idx="333">
                  <c:v>27668</c:v>
                </c:pt>
                <c:pt idx="334">
                  <c:v>27699</c:v>
                </c:pt>
                <c:pt idx="335">
                  <c:v>27729</c:v>
                </c:pt>
                <c:pt idx="336">
                  <c:v>27760</c:v>
                </c:pt>
                <c:pt idx="337">
                  <c:v>27791</c:v>
                </c:pt>
                <c:pt idx="338">
                  <c:v>27820</c:v>
                </c:pt>
                <c:pt idx="339">
                  <c:v>27851</c:v>
                </c:pt>
                <c:pt idx="340">
                  <c:v>27881</c:v>
                </c:pt>
                <c:pt idx="341">
                  <c:v>27912</c:v>
                </c:pt>
                <c:pt idx="342">
                  <c:v>27942</c:v>
                </c:pt>
                <c:pt idx="343">
                  <c:v>27973</c:v>
                </c:pt>
                <c:pt idx="344">
                  <c:v>28004</c:v>
                </c:pt>
                <c:pt idx="345">
                  <c:v>28034</c:v>
                </c:pt>
                <c:pt idx="346">
                  <c:v>28065</c:v>
                </c:pt>
                <c:pt idx="347">
                  <c:v>28095</c:v>
                </c:pt>
                <c:pt idx="348">
                  <c:v>28126</c:v>
                </c:pt>
                <c:pt idx="349">
                  <c:v>28157</c:v>
                </c:pt>
                <c:pt idx="350">
                  <c:v>28185</c:v>
                </c:pt>
                <c:pt idx="351">
                  <c:v>28216</c:v>
                </c:pt>
                <c:pt idx="352">
                  <c:v>28246</c:v>
                </c:pt>
                <c:pt idx="353">
                  <c:v>28277</c:v>
                </c:pt>
                <c:pt idx="354">
                  <c:v>28307</c:v>
                </c:pt>
                <c:pt idx="355">
                  <c:v>28338</c:v>
                </c:pt>
                <c:pt idx="356">
                  <c:v>28369</c:v>
                </c:pt>
                <c:pt idx="357">
                  <c:v>28399</c:v>
                </c:pt>
                <c:pt idx="358">
                  <c:v>28430</c:v>
                </c:pt>
                <c:pt idx="359">
                  <c:v>28460</c:v>
                </c:pt>
                <c:pt idx="360">
                  <c:v>28491</c:v>
                </c:pt>
                <c:pt idx="361">
                  <c:v>28522</c:v>
                </c:pt>
                <c:pt idx="362">
                  <c:v>28550</c:v>
                </c:pt>
                <c:pt idx="363">
                  <c:v>28581</c:v>
                </c:pt>
                <c:pt idx="364">
                  <c:v>28611</c:v>
                </c:pt>
                <c:pt idx="365">
                  <c:v>28642</c:v>
                </c:pt>
                <c:pt idx="366">
                  <c:v>28672</c:v>
                </c:pt>
                <c:pt idx="367">
                  <c:v>28703</c:v>
                </c:pt>
                <c:pt idx="368">
                  <c:v>28734</c:v>
                </c:pt>
                <c:pt idx="369">
                  <c:v>28764</c:v>
                </c:pt>
                <c:pt idx="370">
                  <c:v>28795</c:v>
                </c:pt>
                <c:pt idx="371">
                  <c:v>28825</c:v>
                </c:pt>
                <c:pt idx="372">
                  <c:v>28856</c:v>
                </c:pt>
                <c:pt idx="373">
                  <c:v>28887</c:v>
                </c:pt>
                <c:pt idx="374">
                  <c:v>28915</c:v>
                </c:pt>
                <c:pt idx="375">
                  <c:v>28946</c:v>
                </c:pt>
                <c:pt idx="376">
                  <c:v>28976</c:v>
                </c:pt>
                <c:pt idx="377">
                  <c:v>29007</c:v>
                </c:pt>
                <c:pt idx="378">
                  <c:v>29037</c:v>
                </c:pt>
                <c:pt idx="379">
                  <c:v>29068</c:v>
                </c:pt>
                <c:pt idx="380">
                  <c:v>29099</c:v>
                </c:pt>
                <c:pt idx="381">
                  <c:v>29129</c:v>
                </c:pt>
                <c:pt idx="382">
                  <c:v>29160</c:v>
                </c:pt>
                <c:pt idx="383">
                  <c:v>29190</c:v>
                </c:pt>
                <c:pt idx="384">
                  <c:v>29221</c:v>
                </c:pt>
                <c:pt idx="385">
                  <c:v>29252</c:v>
                </c:pt>
                <c:pt idx="386">
                  <c:v>29281</c:v>
                </c:pt>
                <c:pt idx="387">
                  <c:v>29312</c:v>
                </c:pt>
                <c:pt idx="388">
                  <c:v>29342</c:v>
                </c:pt>
                <c:pt idx="389">
                  <c:v>29373</c:v>
                </c:pt>
                <c:pt idx="390">
                  <c:v>29403</c:v>
                </c:pt>
                <c:pt idx="391">
                  <c:v>29434</c:v>
                </c:pt>
                <c:pt idx="392">
                  <c:v>29465</c:v>
                </c:pt>
                <c:pt idx="393">
                  <c:v>29495</c:v>
                </c:pt>
                <c:pt idx="394">
                  <c:v>29526</c:v>
                </c:pt>
                <c:pt idx="395">
                  <c:v>29556</c:v>
                </c:pt>
                <c:pt idx="396">
                  <c:v>29587</c:v>
                </c:pt>
                <c:pt idx="397">
                  <c:v>29618</c:v>
                </c:pt>
                <c:pt idx="398">
                  <c:v>29646</c:v>
                </c:pt>
                <c:pt idx="399">
                  <c:v>29677</c:v>
                </c:pt>
                <c:pt idx="400">
                  <c:v>29707</c:v>
                </c:pt>
                <c:pt idx="401">
                  <c:v>29738</c:v>
                </c:pt>
                <c:pt idx="402">
                  <c:v>29768</c:v>
                </c:pt>
                <c:pt idx="403">
                  <c:v>29799</c:v>
                </c:pt>
                <c:pt idx="404">
                  <c:v>29830</c:v>
                </c:pt>
                <c:pt idx="405">
                  <c:v>29860</c:v>
                </c:pt>
                <c:pt idx="406">
                  <c:v>29891</c:v>
                </c:pt>
                <c:pt idx="407">
                  <c:v>29921</c:v>
                </c:pt>
                <c:pt idx="408">
                  <c:v>29952</c:v>
                </c:pt>
                <c:pt idx="409">
                  <c:v>29983</c:v>
                </c:pt>
                <c:pt idx="410">
                  <c:v>30011</c:v>
                </c:pt>
                <c:pt idx="411">
                  <c:v>30042</c:v>
                </c:pt>
                <c:pt idx="412">
                  <c:v>30072</c:v>
                </c:pt>
                <c:pt idx="413">
                  <c:v>30103</c:v>
                </c:pt>
                <c:pt idx="414">
                  <c:v>30133</c:v>
                </c:pt>
                <c:pt idx="415">
                  <c:v>30164</c:v>
                </c:pt>
                <c:pt idx="416">
                  <c:v>30195</c:v>
                </c:pt>
                <c:pt idx="417">
                  <c:v>30225</c:v>
                </c:pt>
                <c:pt idx="418">
                  <c:v>30256</c:v>
                </c:pt>
                <c:pt idx="419">
                  <c:v>30286</c:v>
                </c:pt>
                <c:pt idx="420">
                  <c:v>30317</c:v>
                </c:pt>
                <c:pt idx="421">
                  <c:v>30348</c:v>
                </c:pt>
                <c:pt idx="422">
                  <c:v>30376</c:v>
                </c:pt>
                <c:pt idx="423">
                  <c:v>30407</c:v>
                </c:pt>
                <c:pt idx="424">
                  <c:v>30437</c:v>
                </c:pt>
                <c:pt idx="425">
                  <c:v>30468</c:v>
                </c:pt>
                <c:pt idx="426">
                  <c:v>30498</c:v>
                </c:pt>
                <c:pt idx="427">
                  <c:v>30529</c:v>
                </c:pt>
                <c:pt idx="428">
                  <c:v>30560</c:v>
                </c:pt>
                <c:pt idx="429">
                  <c:v>30590</c:v>
                </c:pt>
                <c:pt idx="430">
                  <c:v>30621</c:v>
                </c:pt>
                <c:pt idx="431">
                  <c:v>30651</c:v>
                </c:pt>
                <c:pt idx="432">
                  <c:v>30682</c:v>
                </c:pt>
                <c:pt idx="433">
                  <c:v>30713</c:v>
                </c:pt>
                <c:pt idx="434">
                  <c:v>30742</c:v>
                </c:pt>
                <c:pt idx="435">
                  <c:v>30773</c:v>
                </c:pt>
                <c:pt idx="436">
                  <c:v>30803</c:v>
                </c:pt>
                <c:pt idx="437">
                  <c:v>30834</c:v>
                </c:pt>
                <c:pt idx="438">
                  <c:v>30864</c:v>
                </c:pt>
                <c:pt idx="439">
                  <c:v>30895</c:v>
                </c:pt>
                <c:pt idx="440">
                  <c:v>30926</c:v>
                </c:pt>
                <c:pt idx="441">
                  <c:v>30956</c:v>
                </c:pt>
                <c:pt idx="442">
                  <c:v>30987</c:v>
                </c:pt>
                <c:pt idx="443">
                  <c:v>31017</c:v>
                </c:pt>
                <c:pt idx="444">
                  <c:v>31048</c:v>
                </c:pt>
                <c:pt idx="445">
                  <c:v>31079</c:v>
                </c:pt>
                <c:pt idx="446">
                  <c:v>31107</c:v>
                </c:pt>
                <c:pt idx="447">
                  <c:v>31138</c:v>
                </c:pt>
                <c:pt idx="448">
                  <c:v>31168</c:v>
                </c:pt>
                <c:pt idx="449">
                  <c:v>31199</c:v>
                </c:pt>
                <c:pt idx="450">
                  <c:v>31229</c:v>
                </c:pt>
                <c:pt idx="451">
                  <c:v>31260</c:v>
                </c:pt>
                <c:pt idx="452">
                  <c:v>31291</c:v>
                </c:pt>
                <c:pt idx="453">
                  <c:v>31321</c:v>
                </c:pt>
                <c:pt idx="454">
                  <c:v>31352</c:v>
                </c:pt>
                <c:pt idx="455">
                  <c:v>31382</c:v>
                </c:pt>
                <c:pt idx="456">
                  <c:v>31413</c:v>
                </c:pt>
                <c:pt idx="457">
                  <c:v>31444</c:v>
                </c:pt>
                <c:pt idx="458">
                  <c:v>31472</c:v>
                </c:pt>
                <c:pt idx="459">
                  <c:v>31503</c:v>
                </c:pt>
                <c:pt idx="460">
                  <c:v>31533</c:v>
                </c:pt>
                <c:pt idx="461">
                  <c:v>31564</c:v>
                </c:pt>
                <c:pt idx="462">
                  <c:v>31594</c:v>
                </c:pt>
                <c:pt idx="463">
                  <c:v>31625</c:v>
                </c:pt>
                <c:pt idx="464">
                  <c:v>31656</c:v>
                </c:pt>
                <c:pt idx="465">
                  <c:v>31686</c:v>
                </c:pt>
                <c:pt idx="466">
                  <c:v>31717</c:v>
                </c:pt>
                <c:pt idx="467">
                  <c:v>31747</c:v>
                </c:pt>
                <c:pt idx="468">
                  <c:v>31778</c:v>
                </c:pt>
                <c:pt idx="469">
                  <c:v>31809</c:v>
                </c:pt>
                <c:pt idx="470">
                  <c:v>31837</c:v>
                </c:pt>
                <c:pt idx="471">
                  <c:v>31868</c:v>
                </c:pt>
                <c:pt idx="472">
                  <c:v>31898</c:v>
                </c:pt>
                <c:pt idx="473">
                  <c:v>31929</c:v>
                </c:pt>
                <c:pt idx="474">
                  <c:v>31959</c:v>
                </c:pt>
                <c:pt idx="475">
                  <c:v>31990</c:v>
                </c:pt>
                <c:pt idx="476">
                  <c:v>32021</c:v>
                </c:pt>
                <c:pt idx="477">
                  <c:v>32051</c:v>
                </c:pt>
                <c:pt idx="478">
                  <c:v>32082</c:v>
                </c:pt>
                <c:pt idx="479">
                  <c:v>32112</c:v>
                </c:pt>
                <c:pt idx="480">
                  <c:v>32143</c:v>
                </c:pt>
                <c:pt idx="481">
                  <c:v>32174</c:v>
                </c:pt>
                <c:pt idx="482">
                  <c:v>32203</c:v>
                </c:pt>
                <c:pt idx="483">
                  <c:v>32234</c:v>
                </c:pt>
                <c:pt idx="484">
                  <c:v>32264</c:v>
                </c:pt>
                <c:pt idx="485">
                  <c:v>32295</c:v>
                </c:pt>
                <c:pt idx="486">
                  <c:v>32325</c:v>
                </c:pt>
                <c:pt idx="487">
                  <c:v>32356</c:v>
                </c:pt>
                <c:pt idx="488">
                  <c:v>32387</c:v>
                </c:pt>
                <c:pt idx="489">
                  <c:v>32417</c:v>
                </c:pt>
                <c:pt idx="490">
                  <c:v>32448</c:v>
                </c:pt>
                <c:pt idx="491">
                  <c:v>32478</c:v>
                </c:pt>
                <c:pt idx="492">
                  <c:v>32509</c:v>
                </c:pt>
                <c:pt idx="493">
                  <c:v>32540</c:v>
                </c:pt>
                <c:pt idx="494">
                  <c:v>32568</c:v>
                </c:pt>
                <c:pt idx="495">
                  <c:v>32599</c:v>
                </c:pt>
                <c:pt idx="496">
                  <c:v>32629</c:v>
                </c:pt>
                <c:pt idx="497">
                  <c:v>32660</c:v>
                </c:pt>
                <c:pt idx="498">
                  <c:v>32690</c:v>
                </c:pt>
                <c:pt idx="499">
                  <c:v>32721</c:v>
                </c:pt>
                <c:pt idx="500">
                  <c:v>32752</c:v>
                </c:pt>
                <c:pt idx="501">
                  <c:v>32782</c:v>
                </c:pt>
                <c:pt idx="502">
                  <c:v>32813</c:v>
                </c:pt>
                <c:pt idx="503">
                  <c:v>32843</c:v>
                </c:pt>
                <c:pt idx="504">
                  <c:v>32874</c:v>
                </c:pt>
                <c:pt idx="505">
                  <c:v>32905</c:v>
                </c:pt>
                <c:pt idx="506">
                  <c:v>32933</c:v>
                </c:pt>
                <c:pt idx="507">
                  <c:v>32964</c:v>
                </c:pt>
                <c:pt idx="508">
                  <c:v>32994</c:v>
                </c:pt>
                <c:pt idx="509">
                  <c:v>33025</c:v>
                </c:pt>
                <c:pt idx="510">
                  <c:v>33055</c:v>
                </c:pt>
                <c:pt idx="511">
                  <c:v>33086</c:v>
                </c:pt>
                <c:pt idx="512">
                  <c:v>33117</c:v>
                </c:pt>
                <c:pt idx="513">
                  <c:v>33147</c:v>
                </c:pt>
                <c:pt idx="514">
                  <c:v>33178</c:v>
                </c:pt>
                <c:pt idx="515">
                  <c:v>33208</c:v>
                </c:pt>
                <c:pt idx="516">
                  <c:v>33239</c:v>
                </c:pt>
                <c:pt idx="517">
                  <c:v>33270</c:v>
                </c:pt>
                <c:pt idx="518">
                  <c:v>33298</c:v>
                </c:pt>
                <c:pt idx="519">
                  <c:v>33329</c:v>
                </c:pt>
                <c:pt idx="520">
                  <c:v>33359</c:v>
                </c:pt>
                <c:pt idx="521">
                  <c:v>33390</c:v>
                </c:pt>
                <c:pt idx="522">
                  <c:v>33420</c:v>
                </c:pt>
                <c:pt idx="523">
                  <c:v>33451</c:v>
                </c:pt>
                <c:pt idx="524">
                  <c:v>33482</c:v>
                </c:pt>
                <c:pt idx="525">
                  <c:v>33512</c:v>
                </c:pt>
                <c:pt idx="526">
                  <c:v>33543</c:v>
                </c:pt>
                <c:pt idx="527">
                  <c:v>33573</c:v>
                </c:pt>
                <c:pt idx="528">
                  <c:v>33604</c:v>
                </c:pt>
                <c:pt idx="529">
                  <c:v>33635</c:v>
                </c:pt>
                <c:pt idx="530">
                  <c:v>33664</c:v>
                </c:pt>
                <c:pt idx="531">
                  <c:v>33695</c:v>
                </c:pt>
                <c:pt idx="532">
                  <c:v>33725</c:v>
                </c:pt>
                <c:pt idx="533">
                  <c:v>33756</c:v>
                </c:pt>
                <c:pt idx="534">
                  <c:v>33786</c:v>
                </c:pt>
                <c:pt idx="535">
                  <c:v>33817</c:v>
                </c:pt>
                <c:pt idx="536">
                  <c:v>33848</c:v>
                </c:pt>
                <c:pt idx="537">
                  <c:v>33878</c:v>
                </c:pt>
                <c:pt idx="538">
                  <c:v>33909</c:v>
                </c:pt>
                <c:pt idx="539">
                  <c:v>33939</c:v>
                </c:pt>
                <c:pt idx="540">
                  <c:v>33970</c:v>
                </c:pt>
                <c:pt idx="541">
                  <c:v>34001</c:v>
                </c:pt>
                <c:pt idx="542">
                  <c:v>34029</c:v>
                </c:pt>
                <c:pt idx="543">
                  <c:v>34060</c:v>
                </c:pt>
                <c:pt idx="544">
                  <c:v>34090</c:v>
                </c:pt>
                <c:pt idx="545">
                  <c:v>34121</c:v>
                </c:pt>
                <c:pt idx="546">
                  <c:v>34151</c:v>
                </c:pt>
                <c:pt idx="547">
                  <c:v>34182</c:v>
                </c:pt>
                <c:pt idx="548">
                  <c:v>34213</c:v>
                </c:pt>
                <c:pt idx="549">
                  <c:v>34243</c:v>
                </c:pt>
                <c:pt idx="550">
                  <c:v>34274</c:v>
                </c:pt>
                <c:pt idx="551">
                  <c:v>34304</c:v>
                </c:pt>
                <c:pt idx="552">
                  <c:v>34335</c:v>
                </c:pt>
                <c:pt idx="553">
                  <c:v>34366</c:v>
                </c:pt>
                <c:pt idx="554">
                  <c:v>34394</c:v>
                </c:pt>
                <c:pt idx="555">
                  <c:v>34425</c:v>
                </c:pt>
                <c:pt idx="556">
                  <c:v>34455</c:v>
                </c:pt>
                <c:pt idx="557">
                  <c:v>34486</c:v>
                </c:pt>
                <c:pt idx="558">
                  <c:v>34516</c:v>
                </c:pt>
                <c:pt idx="559">
                  <c:v>34547</c:v>
                </c:pt>
                <c:pt idx="560">
                  <c:v>34578</c:v>
                </c:pt>
                <c:pt idx="561">
                  <c:v>34608</c:v>
                </c:pt>
                <c:pt idx="562">
                  <c:v>34639</c:v>
                </c:pt>
                <c:pt idx="563">
                  <c:v>34669</c:v>
                </c:pt>
                <c:pt idx="564">
                  <c:v>34700</c:v>
                </c:pt>
                <c:pt idx="565">
                  <c:v>34731</c:v>
                </c:pt>
                <c:pt idx="566">
                  <c:v>34759</c:v>
                </c:pt>
                <c:pt idx="567">
                  <c:v>34790</c:v>
                </c:pt>
                <c:pt idx="568">
                  <c:v>34820</c:v>
                </c:pt>
                <c:pt idx="569">
                  <c:v>34851</c:v>
                </c:pt>
                <c:pt idx="570">
                  <c:v>34881</c:v>
                </c:pt>
                <c:pt idx="571">
                  <c:v>34912</c:v>
                </c:pt>
                <c:pt idx="572">
                  <c:v>34943</c:v>
                </c:pt>
                <c:pt idx="573">
                  <c:v>34973</c:v>
                </c:pt>
                <c:pt idx="574">
                  <c:v>35004</c:v>
                </c:pt>
                <c:pt idx="575">
                  <c:v>35034</c:v>
                </c:pt>
                <c:pt idx="576">
                  <c:v>35065</c:v>
                </c:pt>
                <c:pt idx="577">
                  <c:v>35096</c:v>
                </c:pt>
                <c:pt idx="578">
                  <c:v>35125</c:v>
                </c:pt>
                <c:pt idx="579">
                  <c:v>35156</c:v>
                </c:pt>
                <c:pt idx="580">
                  <c:v>35186</c:v>
                </c:pt>
                <c:pt idx="581">
                  <c:v>35217</c:v>
                </c:pt>
                <c:pt idx="582">
                  <c:v>35247</c:v>
                </c:pt>
                <c:pt idx="583">
                  <c:v>35278</c:v>
                </c:pt>
                <c:pt idx="584">
                  <c:v>35309</c:v>
                </c:pt>
                <c:pt idx="585">
                  <c:v>35339</c:v>
                </c:pt>
                <c:pt idx="586">
                  <c:v>35370</c:v>
                </c:pt>
                <c:pt idx="587">
                  <c:v>35400</c:v>
                </c:pt>
                <c:pt idx="588">
                  <c:v>35431</c:v>
                </c:pt>
                <c:pt idx="589">
                  <c:v>35462</c:v>
                </c:pt>
                <c:pt idx="590">
                  <c:v>35490</c:v>
                </c:pt>
                <c:pt idx="591">
                  <c:v>35521</c:v>
                </c:pt>
                <c:pt idx="592">
                  <c:v>35551</c:v>
                </c:pt>
                <c:pt idx="593">
                  <c:v>35582</c:v>
                </c:pt>
                <c:pt idx="594">
                  <c:v>35612</c:v>
                </c:pt>
                <c:pt idx="595">
                  <c:v>35643</c:v>
                </c:pt>
                <c:pt idx="596">
                  <c:v>35674</c:v>
                </c:pt>
                <c:pt idx="597">
                  <c:v>35704</c:v>
                </c:pt>
                <c:pt idx="598">
                  <c:v>35735</c:v>
                </c:pt>
                <c:pt idx="599">
                  <c:v>35765</c:v>
                </c:pt>
                <c:pt idx="600">
                  <c:v>35796</c:v>
                </c:pt>
                <c:pt idx="601">
                  <c:v>35827</c:v>
                </c:pt>
                <c:pt idx="602">
                  <c:v>35855</c:v>
                </c:pt>
                <c:pt idx="603">
                  <c:v>35886</c:v>
                </c:pt>
                <c:pt idx="604">
                  <c:v>35916</c:v>
                </c:pt>
                <c:pt idx="605">
                  <c:v>35947</c:v>
                </c:pt>
                <c:pt idx="606">
                  <c:v>35977</c:v>
                </c:pt>
                <c:pt idx="607">
                  <c:v>36008</c:v>
                </c:pt>
                <c:pt idx="608">
                  <c:v>36039</c:v>
                </c:pt>
                <c:pt idx="609">
                  <c:v>36069</c:v>
                </c:pt>
                <c:pt idx="610">
                  <c:v>36100</c:v>
                </c:pt>
                <c:pt idx="611">
                  <c:v>36130</c:v>
                </c:pt>
                <c:pt idx="612">
                  <c:v>36161</c:v>
                </c:pt>
                <c:pt idx="613">
                  <c:v>36192</c:v>
                </c:pt>
                <c:pt idx="614">
                  <c:v>36220</c:v>
                </c:pt>
                <c:pt idx="615">
                  <c:v>36251</c:v>
                </c:pt>
                <c:pt idx="616">
                  <c:v>36281</c:v>
                </c:pt>
                <c:pt idx="617">
                  <c:v>36312</c:v>
                </c:pt>
                <c:pt idx="618">
                  <c:v>36342</c:v>
                </c:pt>
                <c:pt idx="619">
                  <c:v>36373</c:v>
                </c:pt>
                <c:pt idx="620">
                  <c:v>36404</c:v>
                </c:pt>
                <c:pt idx="621">
                  <c:v>36434</c:v>
                </c:pt>
                <c:pt idx="622">
                  <c:v>36465</c:v>
                </c:pt>
                <c:pt idx="623">
                  <c:v>36495</c:v>
                </c:pt>
                <c:pt idx="624">
                  <c:v>36526</c:v>
                </c:pt>
                <c:pt idx="625">
                  <c:v>36557</c:v>
                </c:pt>
                <c:pt idx="626">
                  <c:v>36586</c:v>
                </c:pt>
                <c:pt idx="627">
                  <c:v>36617</c:v>
                </c:pt>
                <c:pt idx="628">
                  <c:v>36647</c:v>
                </c:pt>
                <c:pt idx="629">
                  <c:v>36678</c:v>
                </c:pt>
                <c:pt idx="630">
                  <c:v>36708</c:v>
                </c:pt>
                <c:pt idx="631">
                  <c:v>36739</c:v>
                </c:pt>
                <c:pt idx="632">
                  <c:v>36770</c:v>
                </c:pt>
                <c:pt idx="633">
                  <c:v>36800</c:v>
                </c:pt>
                <c:pt idx="634">
                  <c:v>36831</c:v>
                </c:pt>
                <c:pt idx="635">
                  <c:v>36861</c:v>
                </c:pt>
                <c:pt idx="636">
                  <c:v>36892</c:v>
                </c:pt>
                <c:pt idx="637">
                  <c:v>36923</c:v>
                </c:pt>
                <c:pt idx="638">
                  <c:v>36951</c:v>
                </c:pt>
                <c:pt idx="639">
                  <c:v>36982</c:v>
                </c:pt>
                <c:pt idx="640">
                  <c:v>37012</c:v>
                </c:pt>
                <c:pt idx="641">
                  <c:v>37043</c:v>
                </c:pt>
                <c:pt idx="642">
                  <c:v>37073</c:v>
                </c:pt>
                <c:pt idx="643">
                  <c:v>37104</c:v>
                </c:pt>
                <c:pt idx="644">
                  <c:v>37135</c:v>
                </c:pt>
                <c:pt idx="645">
                  <c:v>37165</c:v>
                </c:pt>
                <c:pt idx="646">
                  <c:v>37196</c:v>
                </c:pt>
                <c:pt idx="647">
                  <c:v>37226</c:v>
                </c:pt>
                <c:pt idx="648">
                  <c:v>37257</c:v>
                </c:pt>
                <c:pt idx="649">
                  <c:v>37288</c:v>
                </c:pt>
                <c:pt idx="650">
                  <c:v>37316</c:v>
                </c:pt>
                <c:pt idx="651">
                  <c:v>37347</c:v>
                </c:pt>
                <c:pt idx="652">
                  <c:v>37377</c:v>
                </c:pt>
                <c:pt idx="653">
                  <c:v>37408</c:v>
                </c:pt>
                <c:pt idx="654">
                  <c:v>37438</c:v>
                </c:pt>
                <c:pt idx="655">
                  <c:v>37469</c:v>
                </c:pt>
                <c:pt idx="656">
                  <c:v>37500</c:v>
                </c:pt>
                <c:pt idx="657">
                  <c:v>37530</c:v>
                </c:pt>
                <c:pt idx="658">
                  <c:v>37561</c:v>
                </c:pt>
                <c:pt idx="659">
                  <c:v>37591</c:v>
                </c:pt>
                <c:pt idx="660">
                  <c:v>37622</c:v>
                </c:pt>
                <c:pt idx="661">
                  <c:v>37653</c:v>
                </c:pt>
                <c:pt idx="662">
                  <c:v>37681</c:v>
                </c:pt>
                <c:pt idx="663">
                  <c:v>37712</c:v>
                </c:pt>
                <c:pt idx="664">
                  <c:v>37742</c:v>
                </c:pt>
                <c:pt idx="665">
                  <c:v>37773</c:v>
                </c:pt>
                <c:pt idx="666">
                  <c:v>37803</c:v>
                </c:pt>
                <c:pt idx="667">
                  <c:v>37834</c:v>
                </c:pt>
                <c:pt idx="668">
                  <c:v>37865</c:v>
                </c:pt>
                <c:pt idx="669">
                  <c:v>37895</c:v>
                </c:pt>
                <c:pt idx="670">
                  <c:v>37926</c:v>
                </c:pt>
                <c:pt idx="671">
                  <c:v>37956</c:v>
                </c:pt>
                <c:pt idx="672">
                  <c:v>37987</c:v>
                </c:pt>
                <c:pt idx="673">
                  <c:v>38018</c:v>
                </c:pt>
                <c:pt idx="674">
                  <c:v>38047</c:v>
                </c:pt>
                <c:pt idx="675">
                  <c:v>38078</c:v>
                </c:pt>
                <c:pt idx="676">
                  <c:v>38108</c:v>
                </c:pt>
                <c:pt idx="677">
                  <c:v>38139</c:v>
                </c:pt>
                <c:pt idx="678">
                  <c:v>38169</c:v>
                </c:pt>
                <c:pt idx="679">
                  <c:v>38200</c:v>
                </c:pt>
                <c:pt idx="680">
                  <c:v>38231</c:v>
                </c:pt>
                <c:pt idx="681">
                  <c:v>38261</c:v>
                </c:pt>
                <c:pt idx="682">
                  <c:v>38292</c:v>
                </c:pt>
                <c:pt idx="683">
                  <c:v>38322</c:v>
                </c:pt>
                <c:pt idx="684">
                  <c:v>38353</c:v>
                </c:pt>
                <c:pt idx="685">
                  <c:v>38384</c:v>
                </c:pt>
                <c:pt idx="686">
                  <c:v>38412</c:v>
                </c:pt>
                <c:pt idx="687">
                  <c:v>38443</c:v>
                </c:pt>
                <c:pt idx="688">
                  <c:v>38473</c:v>
                </c:pt>
                <c:pt idx="689">
                  <c:v>38504</c:v>
                </c:pt>
                <c:pt idx="690">
                  <c:v>38534</c:v>
                </c:pt>
                <c:pt idx="691">
                  <c:v>38565</c:v>
                </c:pt>
                <c:pt idx="692">
                  <c:v>38596</c:v>
                </c:pt>
                <c:pt idx="693">
                  <c:v>38626</c:v>
                </c:pt>
                <c:pt idx="694">
                  <c:v>38657</c:v>
                </c:pt>
                <c:pt idx="695">
                  <c:v>38687</c:v>
                </c:pt>
                <c:pt idx="696">
                  <c:v>38718</c:v>
                </c:pt>
                <c:pt idx="697">
                  <c:v>38749</c:v>
                </c:pt>
                <c:pt idx="698">
                  <c:v>38777</c:v>
                </c:pt>
                <c:pt idx="699">
                  <c:v>38808</c:v>
                </c:pt>
                <c:pt idx="700">
                  <c:v>38838</c:v>
                </c:pt>
                <c:pt idx="701">
                  <c:v>38869</c:v>
                </c:pt>
                <c:pt idx="702">
                  <c:v>38899</c:v>
                </c:pt>
                <c:pt idx="703">
                  <c:v>38930</c:v>
                </c:pt>
                <c:pt idx="704">
                  <c:v>38961</c:v>
                </c:pt>
                <c:pt idx="705">
                  <c:v>38991</c:v>
                </c:pt>
                <c:pt idx="706">
                  <c:v>39022</c:v>
                </c:pt>
                <c:pt idx="707">
                  <c:v>39052</c:v>
                </c:pt>
                <c:pt idx="708">
                  <c:v>39083</c:v>
                </c:pt>
                <c:pt idx="709">
                  <c:v>39114</c:v>
                </c:pt>
                <c:pt idx="710">
                  <c:v>39142</c:v>
                </c:pt>
                <c:pt idx="711">
                  <c:v>39173</c:v>
                </c:pt>
                <c:pt idx="712">
                  <c:v>39203</c:v>
                </c:pt>
                <c:pt idx="713">
                  <c:v>39234</c:v>
                </c:pt>
                <c:pt idx="714">
                  <c:v>39264</c:v>
                </c:pt>
                <c:pt idx="715">
                  <c:v>39295</c:v>
                </c:pt>
                <c:pt idx="716">
                  <c:v>39326</c:v>
                </c:pt>
                <c:pt idx="717">
                  <c:v>39356</c:v>
                </c:pt>
                <c:pt idx="718">
                  <c:v>39387</c:v>
                </c:pt>
                <c:pt idx="719">
                  <c:v>39417</c:v>
                </c:pt>
                <c:pt idx="720">
                  <c:v>39448</c:v>
                </c:pt>
                <c:pt idx="721">
                  <c:v>39479</c:v>
                </c:pt>
                <c:pt idx="722">
                  <c:v>39508</c:v>
                </c:pt>
                <c:pt idx="723">
                  <c:v>39539</c:v>
                </c:pt>
                <c:pt idx="724">
                  <c:v>39569</c:v>
                </c:pt>
                <c:pt idx="725">
                  <c:v>39600</c:v>
                </c:pt>
                <c:pt idx="726">
                  <c:v>39630</c:v>
                </c:pt>
                <c:pt idx="727">
                  <c:v>39661</c:v>
                </c:pt>
                <c:pt idx="728">
                  <c:v>39692</c:v>
                </c:pt>
                <c:pt idx="729">
                  <c:v>39722</c:v>
                </c:pt>
                <c:pt idx="730">
                  <c:v>39753</c:v>
                </c:pt>
                <c:pt idx="731">
                  <c:v>39783</c:v>
                </c:pt>
                <c:pt idx="732">
                  <c:v>39814</c:v>
                </c:pt>
                <c:pt idx="733">
                  <c:v>39845</c:v>
                </c:pt>
                <c:pt idx="734">
                  <c:v>39873</c:v>
                </c:pt>
                <c:pt idx="735">
                  <c:v>39904</c:v>
                </c:pt>
                <c:pt idx="736">
                  <c:v>39934</c:v>
                </c:pt>
                <c:pt idx="737">
                  <c:v>39973</c:v>
                </c:pt>
                <c:pt idx="738">
                  <c:v>40003</c:v>
                </c:pt>
                <c:pt idx="739">
                  <c:v>40034</c:v>
                </c:pt>
                <c:pt idx="740">
                  <c:v>40065</c:v>
                </c:pt>
                <c:pt idx="741">
                  <c:v>40095</c:v>
                </c:pt>
                <c:pt idx="742">
                  <c:v>40126</c:v>
                </c:pt>
                <c:pt idx="743">
                  <c:v>40156</c:v>
                </c:pt>
                <c:pt idx="744">
                  <c:v>40188</c:v>
                </c:pt>
                <c:pt idx="745">
                  <c:v>40219</c:v>
                </c:pt>
                <c:pt idx="746">
                  <c:v>40247</c:v>
                </c:pt>
                <c:pt idx="747">
                  <c:v>40278</c:v>
                </c:pt>
                <c:pt idx="748">
                  <c:v>40308</c:v>
                </c:pt>
                <c:pt idx="749">
                  <c:v>40339</c:v>
                </c:pt>
                <c:pt idx="750">
                  <c:v>40369</c:v>
                </c:pt>
                <c:pt idx="751">
                  <c:v>40400</c:v>
                </c:pt>
                <c:pt idx="752">
                  <c:v>40431</c:v>
                </c:pt>
                <c:pt idx="753">
                  <c:v>40461</c:v>
                </c:pt>
                <c:pt idx="754">
                  <c:v>40492</c:v>
                </c:pt>
                <c:pt idx="755">
                  <c:v>40522</c:v>
                </c:pt>
                <c:pt idx="756">
                  <c:v>40554</c:v>
                </c:pt>
                <c:pt idx="757">
                  <c:v>40585</c:v>
                </c:pt>
                <c:pt idx="758">
                  <c:v>40613</c:v>
                </c:pt>
                <c:pt idx="759">
                  <c:v>40644</c:v>
                </c:pt>
                <c:pt idx="760">
                  <c:v>40674</c:v>
                </c:pt>
                <c:pt idx="761">
                  <c:v>40705</c:v>
                </c:pt>
                <c:pt idx="762">
                  <c:v>40735</c:v>
                </c:pt>
                <c:pt idx="763">
                  <c:v>40766</c:v>
                </c:pt>
                <c:pt idx="764">
                  <c:v>40797</c:v>
                </c:pt>
                <c:pt idx="765">
                  <c:v>40827</c:v>
                </c:pt>
                <c:pt idx="766">
                  <c:v>40858</c:v>
                </c:pt>
                <c:pt idx="767">
                  <c:v>40888</c:v>
                </c:pt>
                <c:pt idx="768">
                  <c:v>40919</c:v>
                </c:pt>
                <c:pt idx="769">
                  <c:v>40950</c:v>
                </c:pt>
                <c:pt idx="770">
                  <c:v>40979</c:v>
                </c:pt>
                <c:pt idx="771">
                  <c:v>41010</c:v>
                </c:pt>
                <c:pt idx="772">
                  <c:v>41040</c:v>
                </c:pt>
                <c:pt idx="773">
                  <c:v>41071</c:v>
                </c:pt>
                <c:pt idx="774">
                  <c:v>41101</c:v>
                </c:pt>
                <c:pt idx="775">
                  <c:v>41132</c:v>
                </c:pt>
                <c:pt idx="776">
                  <c:v>41163</c:v>
                </c:pt>
                <c:pt idx="777">
                  <c:v>41193</c:v>
                </c:pt>
                <c:pt idx="778">
                  <c:v>41224</c:v>
                </c:pt>
                <c:pt idx="779">
                  <c:v>41254</c:v>
                </c:pt>
                <c:pt idx="780">
                  <c:v>41285</c:v>
                </c:pt>
                <c:pt idx="781">
                  <c:v>41316</c:v>
                </c:pt>
                <c:pt idx="782">
                  <c:v>41344</c:v>
                </c:pt>
                <c:pt idx="783">
                  <c:v>41375</c:v>
                </c:pt>
                <c:pt idx="784">
                  <c:v>41405</c:v>
                </c:pt>
                <c:pt idx="785">
                  <c:v>41436</c:v>
                </c:pt>
                <c:pt idx="786">
                  <c:v>41466</c:v>
                </c:pt>
                <c:pt idx="787">
                  <c:v>41497</c:v>
                </c:pt>
                <c:pt idx="788">
                  <c:v>41528</c:v>
                </c:pt>
                <c:pt idx="789">
                  <c:v>41558</c:v>
                </c:pt>
                <c:pt idx="790">
                  <c:v>41589</c:v>
                </c:pt>
                <c:pt idx="791">
                  <c:v>41619</c:v>
                </c:pt>
                <c:pt idx="792">
                  <c:v>41650</c:v>
                </c:pt>
                <c:pt idx="793">
                  <c:v>41681</c:v>
                </c:pt>
                <c:pt idx="794">
                  <c:v>41709</c:v>
                </c:pt>
                <c:pt idx="795">
                  <c:v>41740</c:v>
                </c:pt>
                <c:pt idx="796">
                  <c:v>41770</c:v>
                </c:pt>
                <c:pt idx="797">
                  <c:v>41801</c:v>
                </c:pt>
                <c:pt idx="798">
                  <c:v>41831</c:v>
                </c:pt>
                <c:pt idx="799">
                  <c:v>41862</c:v>
                </c:pt>
                <c:pt idx="800">
                  <c:v>41893</c:v>
                </c:pt>
                <c:pt idx="801">
                  <c:v>41923</c:v>
                </c:pt>
                <c:pt idx="802">
                  <c:v>41954</c:v>
                </c:pt>
                <c:pt idx="803">
                  <c:v>41974</c:v>
                </c:pt>
                <c:pt idx="804">
                  <c:v>42005</c:v>
                </c:pt>
                <c:pt idx="805">
                  <c:v>42036</c:v>
                </c:pt>
                <c:pt idx="806">
                  <c:v>42064</c:v>
                </c:pt>
                <c:pt idx="807">
                  <c:v>42095</c:v>
                </c:pt>
                <c:pt idx="808">
                  <c:v>42125</c:v>
                </c:pt>
                <c:pt idx="809">
                  <c:v>42156</c:v>
                </c:pt>
                <c:pt idx="810">
                  <c:v>42186</c:v>
                </c:pt>
                <c:pt idx="811">
                  <c:v>42217</c:v>
                </c:pt>
                <c:pt idx="812">
                  <c:v>42248</c:v>
                </c:pt>
                <c:pt idx="813">
                  <c:v>42278</c:v>
                </c:pt>
                <c:pt idx="814">
                  <c:v>42309</c:v>
                </c:pt>
                <c:pt idx="815">
                  <c:v>42339</c:v>
                </c:pt>
                <c:pt idx="816">
                  <c:v>42370</c:v>
                </c:pt>
                <c:pt idx="817">
                  <c:v>42401</c:v>
                </c:pt>
                <c:pt idx="818">
                  <c:v>42430</c:v>
                </c:pt>
                <c:pt idx="819">
                  <c:v>42461</c:v>
                </c:pt>
                <c:pt idx="820">
                  <c:v>42491</c:v>
                </c:pt>
                <c:pt idx="821">
                  <c:v>42522</c:v>
                </c:pt>
                <c:pt idx="822">
                  <c:v>42552</c:v>
                </c:pt>
                <c:pt idx="823">
                  <c:v>42583</c:v>
                </c:pt>
                <c:pt idx="824">
                  <c:v>42614</c:v>
                </c:pt>
                <c:pt idx="825">
                  <c:v>42644</c:v>
                </c:pt>
                <c:pt idx="826">
                  <c:v>42675</c:v>
                </c:pt>
                <c:pt idx="827">
                  <c:v>42705</c:v>
                </c:pt>
                <c:pt idx="828">
                  <c:v>42736</c:v>
                </c:pt>
                <c:pt idx="829">
                  <c:v>42767</c:v>
                </c:pt>
                <c:pt idx="830">
                  <c:v>42795</c:v>
                </c:pt>
                <c:pt idx="831">
                  <c:v>42826</c:v>
                </c:pt>
                <c:pt idx="832">
                  <c:v>42856</c:v>
                </c:pt>
                <c:pt idx="833">
                  <c:v>42887</c:v>
                </c:pt>
                <c:pt idx="834">
                  <c:v>42917</c:v>
                </c:pt>
                <c:pt idx="835">
                  <c:v>42964</c:v>
                </c:pt>
                <c:pt idx="836">
                  <c:v>42981</c:v>
                </c:pt>
                <c:pt idx="837">
                  <c:v>43009</c:v>
                </c:pt>
                <c:pt idx="838">
                  <c:v>43040</c:v>
                </c:pt>
                <c:pt idx="839">
                  <c:v>43070</c:v>
                </c:pt>
                <c:pt idx="840">
                  <c:v>43101</c:v>
                </c:pt>
                <c:pt idx="841">
                  <c:v>43132</c:v>
                </c:pt>
                <c:pt idx="842">
                  <c:v>43160</c:v>
                </c:pt>
                <c:pt idx="843">
                  <c:v>43191</c:v>
                </c:pt>
                <c:pt idx="844">
                  <c:v>43221</c:v>
                </c:pt>
                <c:pt idx="845">
                  <c:v>43252</c:v>
                </c:pt>
                <c:pt idx="846">
                  <c:v>43282</c:v>
                </c:pt>
                <c:pt idx="847">
                  <c:v>43313</c:v>
                </c:pt>
                <c:pt idx="848">
                  <c:v>43344</c:v>
                </c:pt>
                <c:pt idx="849">
                  <c:v>43374</c:v>
                </c:pt>
                <c:pt idx="850">
                  <c:v>43405</c:v>
                </c:pt>
                <c:pt idx="851">
                  <c:v>43435</c:v>
                </c:pt>
                <c:pt idx="852">
                  <c:v>43466</c:v>
                </c:pt>
                <c:pt idx="853">
                  <c:v>43497</c:v>
                </c:pt>
                <c:pt idx="854">
                  <c:v>43525</c:v>
                </c:pt>
                <c:pt idx="855">
                  <c:v>43556</c:v>
                </c:pt>
                <c:pt idx="856">
                  <c:v>43586</c:v>
                </c:pt>
                <c:pt idx="857">
                  <c:v>43617</c:v>
                </c:pt>
                <c:pt idx="858">
                  <c:v>43647</c:v>
                </c:pt>
                <c:pt idx="859">
                  <c:v>43678</c:v>
                </c:pt>
                <c:pt idx="860">
                  <c:v>43709</c:v>
                </c:pt>
                <c:pt idx="861">
                  <c:v>43739</c:v>
                </c:pt>
                <c:pt idx="862">
                  <c:v>43770</c:v>
                </c:pt>
                <c:pt idx="863">
                  <c:v>43800</c:v>
                </c:pt>
                <c:pt idx="864">
                  <c:v>43831</c:v>
                </c:pt>
                <c:pt idx="865">
                  <c:v>43862</c:v>
                </c:pt>
                <c:pt idx="866">
                  <c:v>43891</c:v>
                </c:pt>
                <c:pt idx="867">
                  <c:v>43922</c:v>
                </c:pt>
                <c:pt idx="868">
                  <c:v>43952</c:v>
                </c:pt>
                <c:pt idx="869">
                  <c:v>43983</c:v>
                </c:pt>
                <c:pt idx="870">
                  <c:v>44013</c:v>
                </c:pt>
                <c:pt idx="871">
                  <c:v>44044</c:v>
                </c:pt>
                <c:pt idx="872">
                  <c:v>44075</c:v>
                </c:pt>
                <c:pt idx="873">
                  <c:v>44105</c:v>
                </c:pt>
                <c:pt idx="874">
                  <c:v>44136</c:v>
                </c:pt>
                <c:pt idx="875">
                  <c:v>44166</c:v>
                </c:pt>
                <c:pt idx="876">
                  <c:v>44197</c:v>
                </c:pt>
                <c:pt idx="877">
                  <c:v>44228</c:v>
                </c:pt>
                <c:pt idx="878">
                  <c:v>44256</c:v>
                </c:pt>
                <c:pt idx="879">
                  <c:v>44287</c:v>
                </c:pt>
                <c:pt idx="880">
                  <c:v>44317</c:v>
                </c:pt>
                <c:pt idx="881">
                  <c:v>44348</c:v>
                </c:pt>
                <c:pt idx="882">
                  <c:v>44378</c:v>
                </c:pt>
                <c:pt idx="883">
                  <c:v>44409</c:v>
                </c:pt>
                <c:pt idx="884">
                  <c:v>44440</c:v>
                </c:pt>
                <c:pt idx="885">
                  <c:v>44470</c:v>
                </c:pt>
                <c:pt idx="886">
                  <c:v>44501</c:v>
                </c:pt>
                <c:pt idx="887">
                  <c:v>44531</c:v>
                </c:pt>
                <c:pt idx="888">
                  <c:v>44562</c:v>
                </c:pt>
                <c:pt idx="889">
                  <c:v>44593</c:v>
                </c:pt>
                <c:pt idx="890">
                  <c:v>44621</c:v>
                </c:pt>
                <c:pt idx="891">
                  <c:v>44652</c:v>
                </c:pt>
                <c:pt idx="892">
                  <c:v>44682</c:v>
                </c:pt>
                <c:pt idx="893">
                  <c:v>44713</c:v>
                </c:pt>
                <c:pt idx="894">
                  <c:v>44743</c:v>
                </c:pt>
                <c:pt idx="895">
                  <c:v>44774</c:v>
                </c:pt>
                <c:pt idx="896">
                  <c:v>44805</c:v>
                </c:pt>
                <c:pt idx="897">
                  <c:v>44835</c:v>
                </c:pt>
                <c:pt idx="898">
                  <c:v>44866</c:v>
                </c:pt>
                <c:pt idx="899">
                  <c:v>44896</c:v>
                </c:pt>
                <c:pt idx="900">
                  <c:v>44927</c:v>
                </c:pt>
                <c:pt idx="901">
                  <c:v>44958</c:v>
                </c:pt>
                <c:pt idx="902">
                  <c:v>44986</c:v>
                </c:pt>
                <c:pt idx="903">
                  <c:v>45017</c:v>
                </c:pt>
                <c:pt idx="904">
                  <c:v>45047</c:v>
                </c:pt>
                <c:pt idx="905">
                  <c:v>45078</c:v>
                </c:pt>
                <c:pt idx="906">
                  <c:v>45108</c:v>
                </c:pt>
                <c:pt idx="907">
                  <c:v>45139</c:v>
                </c:pt>
                <c:pt idx="908">
                  <c:v>45170</c:v>
                </c:pt>
                <c:pt idx="909">
                  <c:v>45200</c:v>
                </c:pt>
                <c:pt idx="910">
                  <c:v>45231</c:v>
                </c:pt>
                <c:pt idx="911">
                  <c:v>45261</c:v>
                </c:pt>
                <c:pt idx="912">
                  <c:v>45292</c:v>
                </c:pt>
                <c:pt idx="913">
                  <c:v>45323</c:v>
                </c:pt>
                <c:pt idx="914">
                  <c:v>45352</c:v>
                </c:pt>
                <c:pt idx="915">
                  <c:v>45383</c:v>
                </c:pt>
                <c:pt idx="916">
                  <c:v>45413</c:v>
                </c:pt>
                <c:pt idx="917">
                  <c:v>45444</c:v>
                </c:pt>
                <c:pt idx="918">
                  <c:v>45474</c:v>
                </c:pt>
                <c:pt idx="919">
                  <c:v>45505</c:v>
                </c:pt>
                <c:pt idx="920">
                  <c:v>45536</c:v>
                </c:pt>
                <c:pt idx="921">
                  <c:v>45566</c:v>
                </c:pt>
                <c:pt idx="922">
                  <c:v>45597</c:v>
                </c:pt>
                <c:pt idx="923">
                  <c:v>45627</c:v>
                </c:pt>
                <c:pt idx="924">
                  <c:v>45658</c:v>
                </c:pt>
                <c:pt idx="925">
                  <c:v>45689</c:v>
                </c:pt>
                <c:pt idx="926">
                  <c:v>45717</c:v>
                </c:pt>
                <c:pt idx="927">
                  <c:v>45748</c:v>
                </c:pt>
                <c:pt idx="928">
                  <c:v>45778</c:v>
                </c:pt>
                <c:pt idx="929">
                  <c:v>45809</c:v>
                </c:pt>
                <c:pt idx="930">
                  <c:v>45839</c:v>
                </c:pt>
                <c:pt idx="931">
                  <c:v>45870</c:v>
                </c:pt>
                <c:pt idx="932">
                  <c:v>45901</c:v>
                </c:pt>
                <c:pt idx="933">
                  <c:v>45931</c:v>
                </c:pt>
                <c:pt idx="934">
                  <c:v>45962</c:v>
                </c:pt>
                <c:pt idx="935">
                  <c:v>45992</c:v>
                </c:pt>
                <c:pt idx="936">
                  <c:v>46023</c:v>
                </c:pt>
                <c:pt idx="937">
                  <c:v>46054</c:v>
                </c:pt>
                <c:pt idx="938">
                  <c:v>46082</c:v>
                </c:pt>
                <c:pt idx="939">
                  <c:v>46113</c:v>
                </c:pt>
                <c:pt idx="940">
                  <c:v>46143</c:v>
                </c:pt>
                <c:pt idx="941">
                  <c:v>46174</c:v>
                </c:pt>
                <c:pt idx="942">
                  <c:v>46204</c:v>
                </c:pt>
              </c:numCache>
            </c:numRef>
          </c:cat>
          <c:val>
            <c:numRef>
              <c:f>ISM!$B$5:$B$947</c:f>
              <c:numCache>
                <c:formatCode>0.00</c:formatCode>
                <c:ptCount val="943"/>
                <c:pt idx="0">
                  <c:v>51.7</c:v>
                </c:pt>
                <c:pt idx="1">
                  <c:v>50.2</c:v>
                </c:pt>
                <c:pt idx="2">
                  <c:v>43.3</c:v>
                </c:pt>
                <c:pt idx="3">
                  <c:v>45.4</c:v>
                </c:pt>
                <c:pt idx="4">
                  <c:v>49.5</c:v>
                </c:pt>
                <c:pt idx="5">
                  <c:v>53</c:v>
                </c:pt>
                <c:pt idx="6">
                  <c:v>48.4</c:v>
                </c:pt>
                <c:pt idx="7">
                  <c:v>45.1</c:v>
                </c:pt>
                <c:pt idx="8">
                  <c:v>42.1</c:v>
                </c:pt>
                <c:pt idx="9">
                  <c:v>47.2</c:v>
                </c:pt>
                <c:pt idx="10">
                  <c:v>42.4</c:v>
                </c:pt>
                <c:pt idx="11">
                  <c:v>35</c:v>
                </c:pt>
                <c:pt idx="12">
                  <c:v>32.9</c:v>
                </c:pt>
                <c:pt idx="13">
                  <c:v>31.3</c:v>
                </c:pt>
                <c:pt idx="14">
                  <c:v>34.5</c:v>
                </c:pt>
                <c:pt idx="15">
                  <c:v>35.5</c:v>
                </c:pt>
                <c:pt idx="16">
                  <c:v>32.6</c:v>
                </c:pt>
                <c:pt idx="17">
                  <c:v>31.6</c:v>
                </c:pt>
                <c:pt idx="18">
                  <c:v>39</c:v>
                </c:pt>
                <c:pt idx="19">
                  <c:v>47</c:v>
                </c:pt>
                <c:pt idx="20">
                  <c:v>52.3</c:v>
                </c:pt>
                <c:pt idx="21">
                  <c:v>51</c:v>
                </c:pt>
                <c:pt idx="22">
                  <c:v>51</c:v>
                </c:pt>
                <c:pt idx="23">
                  <c:v>57.3</c:v>
                </c:pt>
                <c:pt idx="24">
                  <c:v>59.1</c:v>
                </c:pt>
                <c:pt idx="25">
                  <c:v>60.5</c:v>
                </c:pt>
                <c:pt idx="26">
                  <c:v>62.1</c:v>
                </c:pt>
                <c:pt idx="27">
                  <c:v>68.099999999999994</c:v>
                </c:pt>
                <c:pt idx="28">
                  <c:v>74.7</c:v>
                </c:pt>
                <c:pt idx="29">
                  <c:v>76.599999999999994</c:v>
                </c:pt>
                <c:pt idx="30">
                  <c:v>77.5</c:v>
                </c:pt>
                <c:pt idx="31">
                  <c:v>75.8</c:v>
                </c:pt>
                <c:pt idx="32">
                  <c:v>68.099999999999994</c:v>
                </c:pt>
                <c:pt idx="33">
                  <c:v>59.2</c:v>
                </c:pt>
                <c:pt idx="34">
                  <c:v>63.1</c:v>
                </c:pt>
                <c:pt idx="35">
                  <c:v>67.099999999999994</c:v>
                </c:pt>
                <c:pt idx="36">
                  <c:v>67.8</c:v>
                </c:pt>
                <c:pt idx="37">
                  <c:v>69.3</c:v>
                </c:pt>
                <c:pt idx="38">
                  <c:v>65.5</c:v>
                </c:pt>
                <c:pt idx="39">
                  <c:v>53.5</c:v>
                </c:pt>
                <c:pt idx="40">
                  <c:v>50.7</c:v>
                </c:pt>
                <c:pt idx="41">
                  <c:v>45.5</c:v>
                </c:pt>
                <c:pt idx="42">
                  <c:v>42.1</c:v>
                </c:pt>
                <c:pt idx="43">
                  <c:v>43.6</c:v>
                </c:pt>
                <c:pt idx="44">
                  <c:v>48.1</c:v>
                </c:pt>
                <c:pt idx="45">
                  <c:v>49.6</c:v>
                </c:pt>
                <c:pt idx="46">
                  <c:v>47.2</c:v>
                </c:pt>
                <c:pt idx="47">
                  <c:v>46.5</c:v>
                </c:pt>
                <c:pt idx="48">
                  <c:v>44.7</c:v>
                </c:pt>
                <c:pt idx="49">
                  <c:v>41.8</c:v>
                </c:pt>
                <c:pt idx="50">
                  <c:v>40</c:v>
                </c:pt>
                <c:pt idx="51">
                  <c:v>36.700000000000003</c:v>
                </c:pt>
                <c:pt idx="52">
                  <c:v>39.5</c:v>
                </c:pt>
                <c:pt idx="53">
                  <c:v>43.3</c:v>
                </c:pt>
                <c:pt idx="54">
                  <c:v>48.3</c:v>
                </c:pt>
                <c:pt idx="55">
                  <c:v>60.4</c:v>
                </c:pt>
                <c:pt idx="56">
                  <c:v>56.1</c:v>
                </c:pt>
                <c:pt idx="57">
                  <c:v>56.2</c:v>
                </c:pt>
                <c:pt idx="58">
                  <c:v>56.8</c:v>
                </c:pt>
                <c:pt idx="59">
                  <c:v>55.8</c:v>
                </c:pt>
                <c:pt idx="60">
                  <c:v>59.4</c:v>
                </c:pt>
                <c:pt idx="61">
                  <c:v>55.4</c:v>
                </c:pt>
                <c:pt idx="62">
                  <c:v>50.5</c:v>
                </c:pt>
                <c:pt idx="63">
                  <c:v>51.1</c:v>
                </c:pt>
                <c:pt idx="64">
                  <c:v>48.9</c:v>
                </c:pt>
                <c:pt idx="65">
                  <c:v>48.5</c:v>
                </c:pt>
                <c:pt idx="66">
                  <c:v>46.3</c:v>
                </c:pt>
                <c:pt idx="67">
                  <c:v>43.5</c:v>
                </c:pt>
                <c:pt idx="68">
                  <c:v>40.200000000000003</c:v>
                </c:pt>
                <c:pt idx="69">
                  <c:v>37.4</c:v>
                </c:pt>
                <c:pt idx="70">
                  <c:v>36.9</c:v>
                </c:pt>
                <c:pt idx="71">
                  <c:v>35.6</c:v>
                </c:pt>
                <c:pt idx="72">
                  <c:v>37.4</c:v>
                </c:pt>
                <c:pt idx="73">
                  <c:v>40.700000000000003</c:v>
                </c:pt>
                <c:pt idx="74">
                  <c:v>44.7</c:v>
                </c:pt>
                <c:pt idx="75">
                  <c:v>47.7</c:v>
                </c:pt>
                <c:pt idx="76">
                  <c:v>50.1</c:v>
                </c:pt>
                <c:pt idx="77">
                  <c:v>52.1</c:v>
                </c:pt>
                <c:pt idx="78">
                  <c:v>51.7</c:v>
                </c:pt>
                <c:pt idx="79">
                  <c:v>54.4</c:v>
                </c:pt>
                <c:pt idx="80">
                  <c:v>53.5</c:v>
                </c:pt>
                <c:pt idx="81">
                  <c:v>58.2</c:v>
                </c:pt>
                <c:pt idx="82">
                  <c:v>58.8</c:v>
                </c:pt>
                <c:pt idx="83">
                  <c:v>63.8</c:v>
                </c:pt>
                <c:pt idx="84">
                  <c:v>63</c:v>
                </c:pt>
                <c:pt idx="85">
                  <c:v>67.8</c:v>
                </c:pt>
                <c:pt idx="86">
                  <c:v>67.5</c:v>
                </c:pt>
                <c:pt idx="87">
                  <c:v>68.7</c:v>
                </c:pt>
                <c:pt idx="88">
                  <c:v>69.5</c:v>
                </c:pt>
                <c:pt idx="89">
                  <c:v>63.3</c:v>
                </c:pt>
                <c:pt idx="90">
                  <c:v>66.2</c:v>
                </c:pt>
                <c:pt idx="91">
                  <c:v>64.8</c:v>
                </c:pt>
                <c:pt idx="92">
                  <c:v>62.4</c:v>
                </c:pt>
                <c:pt idx="93">
                  <c:v>63.7</c:v>
                </c:pt>
                <c:pt idx="94">
                  <c:v>62</c:v>
                </c:pt>
                <c:pt idx="95">
                  <c:v>65.599999999999994</c:v>
                </c:pt>
                <c:pt idx="96">
                  <c:v>60.2</c:v>
                </c:pt>
                <c:pt idx="97">
                  <c:v>58.2</c:v>
                </c:pt>
                <c:pt idx="98">
                  <c:v>57.2</c:v>
                </c:pt>
                <c:pt idx="99">
                  <c:v>55.9</c:v>
                </c:pt>
                <c:pt idx="100">
                  <c:v>51.2</c:v>
                </c:pt>
                <c:pt idx="101">
                  <c:v>47.7</c:v>
                </c:pt>
                <c:pt idx="102">
                  <c:v>44.2</c:v>
                </c:pt>
                <c:pt idx="103">
                  <c:v>51.5</c:v>
                </c:pt>
                <c:pt idx="104">
                  <c:v>55.5</c:v>
                </c:pt>
                <c:pt idx="105">
                  <c:v>52.7</c:v>
                </c:pt>
                <c:pt idx="106">
                  <c:v>55</c:v>
                </c:pt>
                <c:pt idx="107">
                  <c:v>52.7</c:v>
                </c:pt>
                <c:pt idx="108">
                  <c:v>53.6</c:v>
                </c:pt>
                <c:pt idx="109">
                  <c:v>51</c:v>
                </c:pt>
                <c:pt idx="110">
                  <c:v>47.5</c:v>
                </c:pt>
                <c:pt idx="111">
                  <c:v>43.1</c:v>
                </c:pt>
                <c:pt idx="112">
                  <c:v>43.4</c:v>
                </c:pt>
                <c:pt idx="113">
                  <c:v>45.9</c:v>
                </c:pt>
                <c:pt idx="114">
                  <c:v>45.7</c:v>
                </c:pt>
                <c:pt idx="115">
                  <c:v>45.3</c:v>
                </c:pt>
                <c:pt idx="116">
                  <c:v>45.8</c:v>
                </c:pt>
                <c:pt idx="117">
                  <c:v>41.1</c:v>
                </c:pt>
                <c:pt idx="118">
                  <c:v>40.4</c:v>
                </c:pt>
                <c:pt idx="119">
                  <c:v>36.799999999999997</c:v>
                </c:pt>
                <c:pt idx="120">
                  <c:v>33.4</c:v>
                </c:pt>
                <c:pt idx="121">
                  <c:v>37.200000000000003</c:v>
                </c:pt>
                <c:pt idx="122">
                  <c:v>39.799999999999997</c:v>
                </c:pt>
                <c:pt idx="123">
                  <c:v>39.1</c:v>
                </c:pt>
                <c:pt idx="124">
                  <c:v>46.6</c:v>
                </c:pt>
                <c:pt idx="125">
                  <c:v>51.4</c:v>
                </c:pt>
                <c:pt idx="126">
                  <c:v>54.7</c:v>
                </c:pt>
                <c:pt idx="127">
                  <c:v>57.3</c:v>
                </c:pt>
                <c:pt idx="128">
                  <c:v>59.8</c:v>
                </c:pt>
                <c:pt idx="129">
                  <c:v>62.3</c:v>
                </c:pt>
                <c:pt idx="130">
                  <c:v>62.7</c:v>
                </c:pt>
                <c:pt idx="131">
                  <c:v>60.5</c:v>
                </c:pt>
                <c:pt idx="132">
                  <c:v>64.400000000000006</c:v>
                </c:pt>
                <c:pt idx="133">
                  <c:v>66.900000000000006</c:v>
                </c:pt>
                <c:pt idx="134">
                  <c:v>67.099999999999994</c:v>
                </c:pt>
                <c:pt idx="135">
                  <c:v>66.900000000000006</c:v>
                </c:pt>
                <c:pt idx="136">
                  <c:v>68.2</c:v>
                </c:pt>
                <c:pt idx="137">
                  <c:v>64.400000000000006</c:v>
                </c:pt>
                <c:pt idx="138">
                  <c:v>61.5</c:v>
                </c:pt>
                <c:pt idx="139">
                  <c:v>55.1</c:v>
                </c:pt>
                <c:pt idx="140">
                  <c:v>48.3</c:v>
                </c:pt>
                <c:pt idx="141">
                  <c:v>49.7</c:v>
                </c:pt>
                <c:pt idx="142">
                  <c:v>50.6</c:v>
                </c:pt>
                <c:pt idx="143">
                  <c:v>58.2</c:v>
                </c:pt>
                <c:pt idx="144">
                  <c:v>61.5</c:v>
                </c:pt>
                <c:pt idx="145">
                  <c:v>52.3</c:v>
                </c:pt>
                <c:pt idx="146">
                  <c:v>47.8</c:v>
                </c:pt>
                <c:pt idx="147">
                  <c:v>45.3</c:v>
                </c:pt>
                <c:pt idx="148">
                  <c:v>42.6</c:v>
                </c:pt>
                <c:pt idx="149">
                  <c:v>44.4</c:v>
                </c:pt>
                <c:pt idx="150">
                  <c:v>43.7</c:v>
                </c:pt>
                <c:pt idx="151">
                  <c:v>47.6</c:v>
                </c:pt>
                <c:pt idx="152">
                  <c:v>45.4</c:v>
                </c:pt>
                <c:pt idx="153">
                  <c:v>46</c:v>
                </c:pt>
                <c:pt idx="154">
                  <c:v>44.3</c:v>
                </c:pt>
                <c:pt idx="155">
                  <c:v>44.3</c:v>
                </c:pt>
                <c:pt idx="156">
                  <c:v>43.9</c:v>
                </c:pt>
                <c:pt idx="157">
                  <c:v>43.6</c:v>
                </c:pt>
                <c:pt idx="158">
                  <c:v>49.1</c:v>
                </c:pt>
                <c:pt idx="159">
                  <c:v>57.6</c:v>
                </c:pt>
                <c:pt idx="160">
                  <c:v>58.9</c:v>
                </c:pt>
                <c:pt idx="161">
                  <c:v>58.1</c:v>
                </c:pt>
                <c:pt idx="162">
                  <c:v>58.2</c:v>
                </c:pt>
                <c:pt idx="163">
                  <c:v>60.7</c:v>
                </c:pt>
                <c:pt idx="164">
                  <c:v>63</c:v>
                </c:pt>
                <c:pt idx="165">
                  <c:v>62.2</c:v>
                </c:pt>
                <c:pt idx="166">
                  <c:v>59</c:v>
                </c:pt>
                <c:pt idx="167">
                  <c:v>64.2</c:v>
                </c:pt>
                <c:pt idx="168">
                  <c:v>60.9</c:v>
                </c:pt>
                <c:pt idx="169">
                  <c:v>61.1</c:v>
                </c:pt>
                <c:pt idx="170">
                  <c:v>60.6</c:v>
                </c:pt>
                <c:pt idx="171">
                  <c:v>55.1</c:v>
                </c:pt>
                <c:pt idx="172">
                  <c:v>52.2</c:v>
                </c:pt>
                <c:pt idx="173">
                  <c:v>50.8</c:v>
                </c:pt>
                <c:pt idx="174">
                  <c:v>51</c:v>
                </c:pt>
                <c:pt idx="175">
                  <c:v>49.5</c:v>
                </c:pt>
                <c:pt idx="176">
                  <c:v>50</c:v>
                </c:pt>
                <c:pt idx="177">
                  <c:v>51.2</c:v>
                </c:pt>
                <c:pt idx="178">
                  <c:v>53.8</c:v>
                </c:pt>
                <c:pt idx="179">
                  <c:v>57.2</c:v>
                </c:pt>
                <c:pt idx="180">
                  <c:v>55.2</c:v>
                </c:pt>
                <c:pt idx="181">
                  <c:v>55.1</c:v>
                </c:pt>
                <c:pt idx="182">
                  <c:v>54.7</c:v>
                </c:pt>
                <c:pt idx="183">
                  <c:v>57.6</c:v>
                </c:pt>
                <c:pt idx="184">
                  <c:v>59.8</c:v>
                </c:pt>
                <c:pt idx="185">
                  <c:v>58.2</c:v>
                </c:pt>
                <c:pt idx="186">
                  <c:v>55.5</c:v>
                </c:pt>
                <c:pt idx="187">
                  <c:v>55.1</c:v>
                </c:pt>
                <c:pt idx="188">
                  <c:v>56.9</c:v>
                </c:pt>
                <c:pt idx="189">
                  <c:v>57.7</c:v>
                </c:pt>
                <c:pt idx="190">
                  <c:v>57.5</c:v>
                </c:pt>
                <c:pt idx="191">
                  <c:v>54</c:v>
                </c:pt>
                <c:pt idx="192">
                  <c:v>57.1</c:v>
                </c:pt>
                <c:pt idx="193">
                  <c:v>57.9</c:v>
                </c:pt>
                <c:pt idx="194">
                  <c:v>60.2</c:v>
                </c:pt>
                <c:pt idx="195">
                  <c:v>59.2</c:v>
                </c:pt>
                <c:pt idx="196">
                  <c:v>58.7</c:v>
                </c:pt>
                <c:pt idx="197">
                  <c:v>60.1</c:v>
                </c:pt>
                <c:pt idx="198">
                  <c:v>62.9</c:v>
                </c:pt>
                <c:pt idx="199">
                  <c:v>63.3</c:v>
                </c:pt>
                <c:pt idx="200">
                  <c:v>63.3</c:v>
                </c:pt>
                <c:pt idx="201">
                  <c:v>60.7</c:v>
                </c:pt>
                <c:pt idx="202">
                  <c:v>61.8</c:v>
                </c:pt>
                <c:pt idx="203">
                  <c:v>62.4</c:v>
                </c:pt>
                <c:pt idx="204">
                  <c:v>61</c:v>
                </c:pt>
                <c:pt idx="205">
                  <c:v>62.1</c:v>
                </c:pt>
                <c:pt idx="206">
                  <c:v>64.900000000000006</c:v>
                </c:pt>
                <c:pt idx="207">
                  <c:v>62</c:v>
                </c:pt>
                <c:pt idx="208">
                  <c:v>61.3</c:v>
                </c:pt>
                <c:pt idx="209">
                  <c:v>58.7</c:v>
                </c:pt>
                <c:pt idx="210">
                  <c:v>58.1</c:v>
                </c:pt>
                <c:pt idx="211">
                  <c:v>58.1</c:v>
                </c:pt>
                <c:pt idx="212">
                  <c:v>61</c:v>
                </c:pt>
                <c:pt idx="213">
                  <c:v>58.6</c:v>
                </c:pt>
                <c:pt idx="214">
                  <c:v>59.4</c:v>
                </c:pt>
                <c:pt idx="215">
                  <c:v>62.8</c:v>
                </c:pt>
                <c:pt idx="216">
                  <c:v>65.8</c:v>
                </c:pt>
                <c:pt idx="217">
                  <c:v>65.5</c:v>
                </c:pt>
                <c:pt idx="218">
                  <c:v>65.7</c:v>
                </c:pt>
                <c:pt idx="219">
                  <c:v>64.2</c:v>
                </c:pt>
                <c:pt idx="220">
                  <c:v>57.7</c:v>
                </c:pt>
                <c:pt idx="221">
                  <c:v>59</c:v>
                </c:pt>
                <c:pt idx="222">
                  <c:v>60.3</c:v>
                </c:pt>
                <c:pt idx="223">
                  <c:v>58.5</c:v>
                </c:pt>
                <c:pt idx="224">
                  <c:v>58.7</c:v>
                </c:pt>
                <c:pt idx="225">
                  <c:v>57.2</c:v>
                </c:pt>
                <c:pt idx="226">
                  <c:v>53.7</c:v>
                </c:pt>
                <c:pt idx="227">
                  <c:v>52.4</c:v>
                </c:pt>
                <c:pt idx="228">
                  <c:v>49.1</c:v>
                </c:pt>
                <c:pt idx="229">
                  <c:v>47.6</c:v>
                </c:pt>
                <c:pt idx="230">
                  <c:v>45.3</c:v>
                </c:pt>
                <c:pt idx="231">
                  <c:v>42.8</c:v>
                </c:pt>
                <c:pt idx="232">
                  <c:v>44.5</c:v>
                </c:pt>
                <c:pt idx="233">
                  <c:v>46.8</c:v>
                </c:pt>
                <c:pt idx="234">
                  <c:v>49.5</c:v>
                </c:pt>
                <c:pt idx="235">
                  <c:v>52.2</c:v>
                </c:pt>
                <c:pt idx="236">
                  <c:v>54.9</c:v>
                </c:pt>
                <c:pt idx="237">
                  <c:v>54.1</c:v>
                </c:pt>
                <c:pt idx="238">
                  <c:v>54.2</c:v>
                </c:pt>
                <c:pt idx="239">
                  <c:v>55.6</c:v>
                </c:pt>
                <c:pt idx="240">
                  <c:v>56.6</c:v>
                </c:pt>
                <c:pt idx="241">
                  <c:v>55</c:v>
                </c:pt>
                <c:pt idx="242">
                  <c:v>53.8</c:v>
                </c:pt>
                <c:pt idx="243">
                  <c:v>58</c:v>
                </c:pt>
                <c:pt idx="244">
                  <c:v>55.3</c:v>
                </c:pt>
                <c:pt idx="245">
                  <c:v>53.5</c:v>
                </c:pt>
                <c:pt idx="246">
                  <c:v>54.1</c:v>
                </c:pt>
                <c:pt idx="247">
                  <c:v>52.7</c:v>
                </c:pt>
                <c:pt idx="248">
                  <c:v>51.8</c:v>
                </c:pt>
                <c:pt idx="249">
                  <c:v>55.8</c:v>
                </c:pt>
                <c:pt idx="250">
                  <c:v>58.1</c:v>
                </c:pt>
                <c:pt idx="251">
                  <c:v>56.1</c:v>
                </c:pt>
                <c:pt idx="252">
                  <c:v>54.9</c:v>
                </c:pt>
                <c:pt idx="253">
                  <c:v>57</c:v>
                </c:pt>
                <c:pt idx="254">
                  <c:v>57.1</c:v>
                </c:pt>
                <c:pt idx="255">
                  <c:v>55.2</c:v>
                </c:pt>
                <c:pt idx="256">
                  <c:v>56.7</c:v>
                </c:pt>
                <c:pt idx="257">
                  <c:v>55.5</c:v>
                </c:pt>
                <c:pt idx="258">
                  <c:v>53.1</c:v>
                </c:pt>
                <c:pt idx="259">
                  <c:v>54.8</c:v>
                </c:pt>
                <c:pt idx="260">
                  <c:v>54.1</c:v>
                </c:pt>
                <c:pt idx="261">
                  <c:v>54.6</c:v>
                </c:pt>
                <c:pt idx="262">
                  <c:v>53.2</c:v>
                </c:pt>
                <c:pt idx="263">
                  <c:v>52</c:v>
                </c:pt>
                <c:pt idx="264">
                  <c:v>48.7</c:v>
                </c:pt>
                <c:pt idx="265">
                  <c:v>47.4</c:v>
                </c:pt>
                <c:pt idx="266">
                  <c:v>46.9</c:v>
                </c:pt>
                <c:pt idx="267">
                  <c:v>45</c:v>
                </c:pt>
                <c:pt idx="268">
                  <c:v>47.2</c:v>
                </c:pt>
                <c:pt idx="269">
                  <c:v>51.1</c:v>
                </c:pt>
                <c:pt idx="270">
                  <c:v>49.5</c:v>
                </c:pt>
                <c:pt idx="271">
                  <c:v>47.3</c:v>
                </c:pt>
                <c:pt idx="272">
                  <c:v>44.1</c:v>
                </c:pt>
                <c:pt idx="273">
                  <c:v>42.4</c:v>
                </c:pt>
                <c:pt idx="274">
                  <c:v>39.700000000000003</c:v>
                </c:pt>
                <c:pt idx="275">
                  <c:v>45.4</c:v>
                </c:pt>
                <c:pt idx="276">
                  <c:v>47.9</c:v>
                </c:pt>
                <c:pt idx="277">
                  <c:v>54.8</c:v>
                </c:pt>
                <c:pt idx="278">
                  <c:v>51.2</c:v>
                </c:pt>
                <c:pt idx="279">
                  <c:v>54.5</c:v>
                </c:pt>
                <c:pt idx="280">
                  <c:v>54.2</c:v>
                </c:pt>
                <c:pt idx="281">
                  <c:v>53.8</c:v>
                </c:pt>
                <c:pt idx="282">
                  <c:v>54.4</c:v>
                </c:pt>
                <c:pt idx="283">
                  <c:v>53.6</c:v>
                </c:pt>
                <c:pt idx="284">
                  <c:v>55.1</c:v>
                </c:pt>
                <c:pt idx="285">
                  <c:v>55</c:v>
                </c:pt>
                <c:pt idx="286">
                  <c:v>52.3</c:v>
                </c:pt>
                <c:pt idx="287">
                  <c:v>57.6</c:v>
                </c:pt>
                <c:pt idx="288">
                  <c:v>59.6</c:v>
                </c:pt>
                <c:pt idx="289">
                  <c:v>60.6</c:v>
                </c:pt>
                <c:pt idx="290">
                  <c:v>59.8</c:v>
                </c:pt>
                <c:pt idx="291">
                  <c:v>59.3</c:v>
                </c:pt>
                <c:pt idx="292">
                  <c:v>61.4</c:v>
                </c:pt>
                <c:pt idx="293">
                  <c:v>58.6</c:v>
                </c:pt>
                <c:pt idx="294">
                  <c:v>60.1</c:v>
                </c:pt>
                <c:pt idx="295">
                  <c:v>61.7</c:v>
                </c:pt>
                <c:pt idx="296">
                  <c:v>65.099999999999994</c:v>
                </c:pt>
                <c:pt idx="297">
                  <c:v>67</c:v>
                </c:pt>
                <c:pt idx="298">
                  <c:v>69.900000000000006</c:v>
                </c:pt>
                <c:pt idx="299">
                  <c:v>70.5</c:v>
                </c:pt>
                <c:pt idx="300">
                  <c:v>72.099999999999994</c:v>
                </c:pt>
                <c:pt idx="301">
                  <c:v>69.599999999999994</c:v>
                </c:pt>
                <c:pt idx="302">
                  <c:v>69.599999999999994</c:v>
                </c:pt>
                <c:pt idx="303">
                  <c:v>67.7</c:v>
                </c:pt>
                <c:pt idx="304">
                  <c:v>64.8</c:v>
                </c:pt>
                <c:pt idx="305">
                  <c:v>65</c:v>
                </c:pt>
                <c:pt idx="306">
                  <c:v>57.8</c:v>
                </c:pt>
                <c:pt idx="307">
                  <c:v>62.7</c:v>
                </c:pt>
                <c:pt idx="308">
                  <c:v>63.5</c:v>
                </c:pt>
                <c:pt idx="309">
                  <c:v>66.2</c:v>
                </c:pt>
                <c:pt idx="310">
                  <c:v>68.099999999999994</c:v>
                </c:pt>
                <c:pt idx="311">
                  <c:v>63.6</c:v>
                </c:pt>
                <c:pt idx="312">
                  <c:v>62.1</c:v>
                </c:pt>
                <c:pt idx="313">
                  <c:v>58.6</c:v>
                </c:pt>
                <c:pt idx="314">
                  <c:v>61.8</c:v>
                </c:pt>
                <c:pt idx="315">
                  <c:v>59.9</c:v>
                </c:pt>
                <c:pt idx="316">
                  <c:v>55.7</c:v>
                </c:pt>
                <c:pt idx="317">
                  <c:v>54.7</c:v>
                </c:pt>
                <c:pt idx="318">
                  <c:v>54.8</c:v>
                </c:pt>
                <c:pt idx="319">
                  <c:v>52.9</c:v>
                </c:pt>
                <c:pt idx="320">
                  <c:v>46.2</c:v>
                </c:pt>
                <c:pt idx="321">
                  <c:v>42.7</c:v>
                </c:pt>
                <c:pt idx="322">
                  <c:v>37.9</c:v>
                </c:pt>
                <c:pt idx="323">
                  <c:v>30.9</c:v>
                </c:pt>
                <c:pt idx="324">
                  <c:v>30.7</c:v>
                </c:pt>
                <c:pt idx="325">
                  <c:v>34.4</c:v>
                </c:pt>
                <c:pt idx="326">
                  <c:v>31.6</c:v>
                </c:pt>
                <c:pt idx="327">
                  <c:v>37.5</c:v>
                </c:pt>
                <c:pt idx="328">
                  <c:v>41.2</c:v>
                </c:pt>
                <c:pt idx="329">
                  <c:v>45.1</c:v>
                </c:pt>
                <c:pt idx="330">
                  <c:v>47.2</c:v>
                </c:pt>
                <c:pt idx="331">
                  <c:v>51.4</c:v>
                </c:pt>
                <c:pt idx="332">
                  <c:v>54.4</c:v>
                </c:pt>
                <c:pt idx="333">
                  <c:v>55.5</c:v>
                </c:pt>
                <c:pt idx="334">
                  <c:v>54.5</c:v>
                </c:pt>
                <c:pt idx="335">
                  <c:v>54.9</c:v>
                </c:pt>
                <c:pt idx="336">
                  <c:v>58.8</c:v>
                </c:pt>
                <c:pt idx="337">
                  <c:v>61.5</c:v>
                </c:pt>
                <c:pt idx="338">
                  <c:v>58.4</c:v>
                </c:pt>
                <c:pt idx="339">
                  <c:v>60.6</c:v>
                </c:pt>
                <c:pt idx="340">
                  <c:v>58.8</c:v>
                </c:pt>
                <c:pt idx="341">
                  <c:v>58.2</c:v>
                </c:pt>
                <c:pt idx="342">
                  <c:v>55.9</c:v>
                </c:pt>
                <c:pt idx="343">
                  <c:v>54.5</c:v>
                </c:pt>
                <c:pt idx="344">
                  <c:v>53.6</c:v>
                </c:pt>
                <c:pt idx="345">
                  <c:v>53.5</c:v>
                </c:pt>
                <c:pt idx="346">
                  <c:v>51.7</c:v>
                </c:pt>
                <c:pt idx="347">
                  <c:v>56.6</c:v>
                </c:pt>
                <c:pt idx="348">
                  <c:v>54.8</c:v>
                </c:pt>
                <c:pt idx="349">
                  <c:v>55</c:v>
                </c:pt>
                <c:pt idx="350">
                  <c:v>58.4</c:v>
                </c:pt>
                <c:pt idx="351">
                  <c:v>56.9</c:v>
                </c:pt>
                <c:pt idx="352">
                  <c:v>59.7</c:v>
                </c:pt>
                <c:pt idx="353">
                  <c:v>56.8</c:v>
                </c:pt>
                <c:pt idx="354">
                  <c:v>57.7</c:v>
                </c:pt>
                <c:pt idx="355">
                  <c:v>54.9</c:v>
                </c:pt>
                <c:pt idx="356">
                  <c:v>53.9</c:v>
                </c:pt>
                <c:pt idx="357">
                  <c:v>55.4</c:v>
                </c:pt>
                <c:pt idx="358">
                  <c:v>56.1</c:v>
                </c:pt>
                <c:pt idx="359">
                  <c:v>59.8</c:v>
                </c:pt>
                <c:pt idx="360">
                  <c:v>57.4</c:v>
                </c:pt>
                <c:pt idx="361">
                  <c:v>55.9</c:v>
                </c:pt>
                <c:pt idx="362">
                  <c:v>55</c:v>
                </c:pt>
                <c:pt idx="363">
                  <c:v>57.7</c:v>
                </c:pt>
                <c:pt idx="364">
                  <c:v>60.2</c:v>
                </c:pt>
                <c:pt idx="365">
                  <c:v>60.5</c:v>
                </c:pt>
                <c:pt idx="366">
                  <c:v>62.2</c:v>
                </c:pt>
                <c:pt idx="367">
                  <c:v>60.3</c:v>
                </c:pt>
                <c:pt idx="368">
                  <c:v>60.5</c:v>
                </c:pt>
                <c:pt idx="369">
                  <c:v>60.1</c:v>
                </c:pt>
                <c:pt idx="370">
                  <c:v>61.3</c:v>
                </c:pt>
                <c:pt idx="371">
                  <c:v>59.4</c:v>
                </c:pt>
                <c:pt idx="372">
                  <c:v>58.5</c:v>
                </c:pt>
                <c:pt idx="373">
                  <c:v>58.2</c:v>
                </c:pt>
                <c:pt idx="374">
                  <c:v>57.7</c:v>
                </c:pt>
                <c:pt idx="375">
                  <c:v>56.2</c:v>
                </c:pt>
                <c:pt idx="376">
                  <c:v>54.4</c:v>
                </c:pt>
                <c:pt idx="377">
                  <c:v>52.7</c:v>
                </c:pt>
                <c:pt idx="378">
                  <c:v>51.3</c:v>
                </c:pt>
                <c:pt idx="379">
                  <c:v>49.5</c:v>
                </c:pt>
                <c:pt idx="380">
                  <c:v>49.6</c:v>
                </c:pt>
                <c:pt idx="381">
                  <c:v>49</c:v>
                </c:pt>
                <c:pt idx="382">
                  <c:v>48</c:v>
                </c:pt>
                <c:pt idx="383">
                  <c:v>44.8</c:v>
                </c:pt>
                <c:pt idx="384">
                  <c:v>46.2</c:v>
                </c:pt>
                <c:pt idx="385">
                  <c:v>50.2</c:v>
                </c:pt>
                <c:pt idx="386">
                  <c:v>43.6</c:v>
                </c:pt>
                <c:pt idx="387">
                  <c:v>37.4</c:v>
                </c:pt>
                <c:pt idx="388">
                  <c:v>29.4</c:v>
                </c:pt>
                <c:pt idx="389">
                  <c:v>30.3</c:v>
                </c:pt>
                <c:pt idx="390">
                  <c:v>35</c:v>
                </c:pt>
                <c:pt idx="391">
                  <c:v>45.5</c:v>
                </c:pt>
                <c:pt idx="392">
                  <c:v>50.1</c:v>
                </c:pt>
                <c:pt idx="393">
                  <c:v>55.5</c:v>
                </c:pt>
                <c:pt idx="394">
                  <c:v>58.2</c:v>
                </c:pt>
                <c:pt idx="395">
                  <c:v>53</c:v>
                </c:pt>
                <c:pt idx="396">
                  <c:v>49.2</c:v>
                </c:pt>
                <c:pt idx="397">
                  <c:v>48.8</c:v>
                </c:pt>
                <c:pt idx="398">
                  <c:v>49.6</c:v>
                </c:pt>
                <c:pt idx="399">
                  <c:v>51.6</c:v>
                </c:pt>
                <c:pt idx="400">
                  <c:v>53.5</c:v>
                </c:pt>
                <c:pt idx="401">
                  <c:v>50.7</c:v>
                </c:pt>
                <c:pt idx="402">
                  <c:v>46.7</c:v>
                </c:pt>
                <c:pt idx="403">
                  <c:v>48.3</c:v>
                </c:pt>
                <c:pt idx="404">
                  <c:v>42.5</c:v>
                </c:pt>
                <c:pt idx="405">
                  <c:v>40</c:v>
                </c:pt>
                <c:pt idx="406">
                  <c:v>36.1</c:v>
                </c:pt>
                <c:pt idx="407">
                  <c:v>37.799999999999997</c:v>
                </c:pt>
                <c:pt idx="408">
                  <c:v>38.200000000000003</c:v>
                </c:pt>
                <c:pt idx="409">
                  <c:v>38.299999999999997</c:v>
                </c:pt>
                <c:pt idx="410">
                  <c:v>36.799999999999997</c:v>
                </c:pt>
                <c:pt idx="411">
                  <c:v>37.799999999999997</c:v>
                </c:pt>
                <c:pt idx="412">
                  <c:v>35.5</c:v>
                </c:pt>
                <c:pt idx="413">
                  <c:v>38.299999999999997</c:v>
                </c:pt>
                <c:pt idx="414">
                  <c:v>38.4</c:v>
                </c:pt>
                <c:pt idx="415">
                  <c:v>38.299999999999997</c:v>
                </c:pt>
                <c:pt idx="416">
                  <c:v>38.799999999999997</c:v>
                </c:pt>
                <c:pt idx="417">
                  <c:v>39.4</c:v>
                </c:pt>
                <c:pt idx="418">
                  <c:v>39.200000000000003</c:v>
                </c:pt>
                <c:pt idx="419">
                  <c:v>42.8</c:v>
                </c:pt>
                <c:pt idx="420">
                  <c:v>46</c:v>
                </c:pt>
                <c:pt idx="421">
                  <c:v>54.4</c:v>
                </c:pt>
                <c:pt idx="422">
                  <c:v>53.9</c:v>
                </c:pt>
                <c:pt idx="423">
                  <c:v>54.2</c:v>
                </c:pt>
                <c:pt idx="424">
                  <c:v>56.1</c:v>
                </c:pt>
                <c:pt idx="425">
                  <c:v>57.5</c:v>
                </c:pt>
                <c:pt idx="426">
                  <c:v>63.6</c:v>
                </c:pt>
                <c:pt idx="427">
                  <c:v>63.1</c:v>
                </c:pt>
                <c:pt idx="428">
                  <c:v>62.5</c:v>
                </c:pt>
                <c:pt idx="429">
                  <c:v>64.400000000000006</c:v>
                </c:pt>
                <c:pt idx="430">
                  <c:v>66</c:v>
                </c:pt>
                <c:pt idx="431">
                  <c:v>69.900000000000006</c:v>
                </c:pt>
                <c:pt idx="432">
                  <c:v>60.5</c:v>
                </c:pt>
                <c:pt idx="433">
                  <c:v>61.3</c:v>
                </c:pt>
                <c:pt idx="434">
                  <c:v>58.9</c:v>
                </c:pt>
                <c:pt idx="435">
                  <c:v>61</c:v>
                </c:pt>
                <c:pt idx="436">
                  <c:v>58.6</c:v>
                </c:pt>
                <c:pt idx="437">
                  <c:v>58.1</c:v>
                </c:pt>
                <c:pt idx="438">
                  <c:v>56.1</c:v>
                </c:pt>
                <c:pt idx="439">
                  <c:v>53</c:v>
                </c:pt>
                <c:pt idx="440">
                  <c:v>50</c:v>
                </c:pt>
                <c:pt idx="441">
                  <c:v>50.8</c:v>
                </c:pt>
                <c:pt idx="442">
                  <c:v>50.3</c:v>
                </c:pt>
                <c:pt idx="443">
                  <c:v>50.6</c:v>
                </c:pt>
                <c:pt idx="444">
                  <c:v>50.3</c:v>
                </c:pt>
                <c:pt idx="445">
                  <c:v>49.9</c:v>
                </c:pt>
                <c:pt idx="446">
                  <c:v>47.8</c:v>
                </c:pt>
                <c:pt idx="447">
                  <c:v>48.2</c:v>
                </c:pt>
                <c:pt idx="448">
                  <c:v>47.1</c:v>
                </c:pt>
                <c:pt idx="449">
                  <c:v>47.8</c:v>
                </c:pt>
                <c:pt idx="450">
                  <c:v>47.9</c:v>
                </c:pt>
                <c:pt idx="451">
                  <c:v>47.7</c:v>
                </c:pt>
                <c:pt idx="452">
                  <c:v>49.9</c:v>
                </c:pt>
                <c:pt idx="453">
                  <c:v>50.9</c:v>
                </c:pt>
                <c:pt idx="454">
                  <c:v>52</c:v>
                </c:pt>
                <c:pt idx="455">
                  <c:v>50.7</c:v>
                </c:pt>
                <c:pt idx="456">
                  <c:v>51.2</c:v>
                </c:pt>
                <c:pt idx="457">
                  <c:v>51</c:v>
                </c:pt>
                <c:pt idx="458">
                  <c:v>51</c:v>
                </c:pt>
                <c:pt idx="459">
                  <c:v>49.7</c:v>
                </c:pt>
                <c:pt idx="460">
                  <c:v>53.4</c:v>
                </c:pt>
                <c:pt idx="461">
                  <c:v>50.5</c:v>
                </c:pt>
                <c:pt idx="462">
                  <c:v>48</c:v>
                </c:pt>
                <c:pt idx="463">
                  <c:v>52.6</c:v>
                </c:pt>
                <c:pt idx="464">
                  <c:v>52.4</c:v>
                </c:pt>
                <c:pt idx="465">
                  <c:v>51.2</c:v>
                </c:pt>
                <c:pt idx="466">
                  <c:v>51.2</c:v>
                </c:pt>
                <c:pt idx="467">
                  <c:v>50.5</c:v>
                </c:pt>
                <c:pt idx="468">
                  <c:v>54.9</c:v>
                </c:pt>
                <c:pt idx="469">
                  <c:v>52.6</c:v>
                </c:pt>
                <c:pt idx="470">
                  <c:v>55</c:v>
                </c:pt>
                <c:pt idx="471">
                  <c:v>55.5</c:v>
                </c:pt>
                <c:pt idx="472">
                  <c:v>57.2</c:v>
                </c:pt>
                <c:pt idx="473">
                  <c:v>57.4</c:v>
                </c:pt>
                <c:pt idx="474">
                  <c:v>57.5</c:v>
                </c:pt>
                <c:pt idx="475">
                  <c:v>59.3</c:v>
                </c:pt>
                <c:pt idx="476">
                  <c:v>60</c:v>
                </c:pt>
                <c:pt idx="477">
                  <c:v>60.7</c:v>
                </c:pt>
                <c:pt idx="478">
                  <c:v>58.8</c:v>
                </c:pt>
                <c:pt idx="479">
                  <c:v>61</c:v>
                </c:pt>
                <c:pt idx="480">
                  <c:v>57.5</c:v>
                </c:pt>
                <c:pt idx="481">
                  <c:v>56.2</c:v>
                </c:pt>
                <c:pt idx="482">
                  <c:v>54.6</c:v>
                </c:pt>
                <c:pt idx="483">
                  <c:v>55.8</c:v>
                </c:pt>
                <c:pt idx="484">
                  <c:v>55.5</c:v>
                </c:pt>
                <c:pt idx="485">
                  <c:v>59.3</c:v>
                </c:pt>
                <c:pt idx="486">
                  <c:v>58.2</c:v>
                </c:pt>
                <c:pt idx="487">
                  <c:v>56</c:v>
                </c:pt>
                <c:pt idx="488">
                  <c:v>54.5</c:v>
                </c:pt>
                <c:pt idx="489">
                  <c:v>55.4</c:v>
                </c:pt>
                <c:pt idx="490">
                  <c:v>55.6</c:v>
                </c:pt>
                <c:pt idx="491">
                  <c:v>56</c:v>
                </c:pt>
                <c:pt idx="492">
                  <c:v>54.7</c:v>
                </c:pt>
                <c:pt idx="493">
                  <c:v>54.1</c:v>
                </c:pt>
                <c:pt idx="494">
                  <c:v>51.5</c:v>
                </c:pt>
                <c:pt idx="495">
                  <c:v>52.2</c:v>
                </c:pt>
                <c:pt idx="496">
                  <c:v>49.3</c:v>
                </c:pt>
                <c:pt idx="497">
                  <c:v>47.3</c:v>
                </c:pt>
                <c:pt idx="498">
                  <c:v>45.9</c:v>
                </c:pt>
                <c:pt idx="499">
                  <c:v>45.1</c:v>
                </c:pt>
                <c:pt idx="500">
                  <c:v>46</c:v>
                </c:pt>
                <c:pt idx="501">
                  <c:v>46.8</c:v>
                </c:pt>
                <c:pt idx="502">
                  <c:v>46.8</c:v>
                </c:pt>
                <c:pt idx="503">
                  <c:v>47.4</c:v>
                </c:pt>
                <c:pt idx="504">
                  <c:v>47.2</c:v>
                </c:pt>
                <c:pt idx="505">
                  <c:v>49.1</c:v>
                </c:pt>
                <c:pt idx="506">
                  <c:v>49.9</c:v>
                </c:pt>
                <c:pt idx="507">
                  <c:v>50</c:v>
                </c:pt>
                <c:pt idx="508">
                  <c:v>49.5</c:v>
                </c:pt>
                <c:pt idx="509">
                  <c:v>49.2</c:v>
                </c:pt>
                <c:pt idx="510">
                  <c:v>46.6</c:v>
                </c:pt>
                <c:pt idx="511">
                  <c:v>46.1</c:v>
                </c:pt>
                <c:pt idx="512">
                  <c:v>44.5</c:v>
                </c:pt>
                <c:pt idx="513">
                  <c:v>43.2</c:v>
                </c:pt>
                <c:pt idx="514">
                  <c:v>41.3</c:v>
                </c:pt>
                <c:pt idx="515">
                  <c:v>40.799999999999997</c:v>
                </c:pt>
                <c:pt idx="516">
                  <c:v>39.200000000000003</c:v>
                </c:pt>
                <c:pt idx="517">
                  <c:v>39.4</c:v>
                </c:pt>
                <c:pt idx="518">
                  <c:v>40.700000000000003</c:v>
                </c:pt>
                <c:pt idx="519">
                  <c:v>42.8</c:v>
                </c:pt>
                <c:pt idx="520">
                  <c:v>44.5</c:v>
                </c:pt>
                <c:pt idx="521">
                  <c:v>50.3</c:v>
                </c:pt>
                <c:pt idx="522">
                  <c:v>50.6</c:v>
                </c:pt>
                <c:pt idx="523">
                  <c:v>52.9</c:v>
                </c:pt>
                <c:pt idx="524">
                  <c:v>54.9</c:v>
                </c:pt>
                <c:pt idx="525">
                  <c:v>53.1</c:v>
                </c:pt>
                <c:pt idx="526">
                  <c:v>49.5</c:v>
                </c:pt>
                <c:pt idx="527">
                  <c:v>46.8</c:v>
                </c:pt>
                <c:pt idx="528">
                  <c:v>47.3</c:v>
                </c:pt>
                <c:pt idx="529">
                  <c:v>52.7</c:v>
                </c:pt>
                <c:pt idx="530">
                  <c:v>54.6</c:v>
                </c:pt>
                <c:pt idx="531">
                  <c:v>52.6</c:v>
                </c:pt>
                <c:pt idx="532">
                  <c:v>55.7</c:v>
                </c:pt>
                <c:pt idx="533">
                  <c:v>53.6</c:v>
                </c:pt>
                <c:pt idx="534">
                  <c:v>53.9</c:v>
                </c:pt>
                <c:pt idx="535">
                  <c:v>53.4</c:v>
                </c:pt>
                <c:pt idx="536">
                  <c:v>49.7</c:v>
                </c:pt>
                <c:pt idx="537">
                  <c:v>50.3</c:v>
                </c:pt>
                <c:pt idx="538">
                  <c:v>53.6</c:v>
                </c:pt>
                <c:pt idx="539">
                  <c:v>54.2</c:v>
                </c:pt>
                <c:pt idx="540">
                  <c:v>55.8</c:v>
                </c:pt>
                <c:pt idx="541">
                  <c:v>55.2</c:v>
                </c:pt>
                <c:pt idx="542">
                  <c:v>53.5</c:v>
                </c:pt>
                <c:pt idx="543">
                  <c:v>50.2</c:v>
                </c:pt>
                <c:pt idx="544">
                  <c:v>51.2</c:v>
                </c:pt>
                <c:pt idx="545">
                  <c:v>49.6</c:v>
                </c:pt>
                <c:pt idx="546">
                  <c:v>50.2</c:v>
                </c:pt>
                <c:pt idx="547">
                  <c:v>50.7</c:v>
                </c:pt>
                <c:pt idx="548">
                  <c:v>50.8</c:v>
                </c:pt>
                <c:pt idx="549">
                  <c:v>53.4</c:v>
                </c:pt>
                <c:pt idx="550">
                  <c:v>53.8</c:v>
                </c:pt>
                <c:pt idx="551">
                  <c:v>55.6</c:v>
                </c:pt>
                <c:pt idx="552">
                  <c:v>56</c:v>
                </c:pt>
                <c:pt idx="553">
                  <c:v>56.5</c:v>
                </c:pt>
                <c:pt idx="554">
                  <c:v>56.9</c:v>
                </c:pt>
                <c:pt idx="555">
                  <c:v>57.4</c:v>
                </c:pt>
                <c:pt idx="556">
                  <c:v>58.2</c:v>
                </c:pt>
                <c:pt idx="557">
                  <c:v>58.8</c:v>
                </c:pt>
                <c:pt idx="558">
                  <c:v>58.5</c:v>
                </c:pt>
                <c:pt idx="559">
                  <c:v>58</c:v>
                </c:pt>
                <c:pt idx="560">
                  <c:v>59</c:v>
                </c:pt>
                <c:pt idx="561">
                  <c:v>59.4</c:v>
                </c:pt>
                <c:pt idx="562">
                  <c:v>59.2</c:v>
                </c:pt>
                <c:pt idx="563">
                  <c:v>56.1</c:v>
                </c:pt>
                <c:pt idx="564">
                  <c:v>57.4</c:v>
                </c:pt>
                <c:pt idx="565">
                  <c:v>55.1</c:v>
                </c:pt>
                <c:pt idx="566">
                  <c:v>52.1</c:v>
                </c:pt>
                <c:pt idx="567">
                  <c:v>51.5</c:v>
                </c:pt>
                <c:pt idx="568">
                  <c:v>46.7</c:v>
                </c:pt>
                <c:pt idx="569">
                  <c:v>45.9</c:v>
                </c:pt>
                <c:pt idx="570">
                  <c:v>50.7</c:v>
                </c:pt>
                <c:pt idx="571">
                  <c:v>47.1</c:v>
                </c:pt>
                <c:pt idx="572">
                  <c:v>48.1</c:v>
                </c:pt>
                <c:pt idx="573">
                  <c:v>46.7</c:v>
                </c:pt>
                <c:pt idx="574">
                  <c:v>45.9</c:v>
                </c:pt>
                <c:pt idx="575">
                  <c:v>46.2</c:v>
                </c:pt>
                <c:pt idx="576">
                  <c:v>45.5</c:v>
                </c:pt>
                <c:pt idx="577">
                  <c:v>45.9</c:v>
                </c:pt>
                <c:pt idx="578">
                  <c:v>46.9</c:v>
                </c:pt>
                <c:pt idx="579">
                  <c:v>49.3</c:v>
                </c:pt>
                <c:pt idx="580">
                  <c:v>49.1</c:v>
                </c:pt>
                <c:pt idx="581">
                  <c:v>53.6</c:v>
                </c:pt>
                <c:pt idx="582">
                  <c:v>49.7</c:v>
                </c:pt>
                <c:pt idx="583">
                  <c:v>51.6</c:v>
                </c:pt>
                <c:pt idx="584">
                  <c:v>51.1</c:v>
                </c:pt>
                <c:pt idx="585">
                  <c:v>50.5</c:v>
                </c:pt>
                <c:pt idx="586">
                  <c:v>53</c:v>
                </c:pt>
                <c:pt idx="587">
                  <c:v>55.2</c:v>
                </c:pt>
                <c:pt idx="588">
                  <c:v>53.8</c:v>
                </c:pt>
                <c:pt idx="589">
                  <c:v>53.1</c:v>
                </c:pt>
                <c:pt idx="590">
                  <c:v>53.8</c:v>
                </c:pt>
                <c:pt idx="591">
                  <c:v>53.7</c:v>
                </c:pt>
                <c:pt idx="592">
                  <c:v>56.1</c:v>
                </c:pt>
                <c:pt idx="593">
                  <c:v>54.9</c:v>
                </c:pt>
                <c:pt idx="594">
                  <c:v>57.7</c:v>
                </c:pt>
                <c:pt idx="595">
                  <c:v>56.3</c:v>
                </c:pt>
                <c:pt idx="596">
                  <c:v>53.9</c:v>
                </c:pt>
                <c:pt idx="597">
                  <c:v>56.4</c:v>
                </c:pt>
                <c:pt idx="598">
                  <c:v>55.7</c:v>
                </c:pt>
                <c:pt idx="599">
                  <c:v>54.5</c:v>
                </c:pt>
                <c:pt idx="600">
                  <c:v>53.8</c:v>
                </c:pt>
                <c:pt idx="601">
                  <c:v>52.9</c:v>
                </c:pt>
                <c:pt idx="602">
                  <c:v>52.9</c:v>
                </c:pt>
                <c:pt idx="603">
                  <c:v>52.2</c:v>
                </c:pt>
                <c:pt idx="604">
                  <c:v>50.9</c:v>
                </c:pt>
                <c:pt idx="605">
                  <c:v>48.9</c:v>
                </c:pt>
                <c:pt idx="606">
                  <c:v>49.2</c:v>
                </c:pt>
                <c:pt idx="607">
                  <c:v>49.3</c:v>
                </c:pt>
                <c:pt idx="608">
                  <c:v>48.7</c:v>
                </c:pt>
                <c:pt idx="609">
                  <c:v>48.7</c:v>
                </c:pt>
                <c:pt idx="610">
                  <c:v>48.2</c:v>
                </c:pt>
                <c:pt idx="611">
                  <c:v>46.8</c:v>
                </c:pt>
                <c:pt idx="612">
                  <c:v>50.6</c:v>
                </c:pt>
                <c:pt idx="613">
                  <c:v>51.7</c:v>
                </c:pt>
                <c:pt idx="614">
                  <c:v>52.4</c:v>
                </c:pt>
                <c:pt idx="615">
                  <c:v>52.3</c:v>
                </c:pt>
                <c:pt idx="616">
                  <c:v>54.3</c:v>
                </c:pt>
                <c:pt idx="617">
                  <c:v>55.8</c:v>
                </c:pt>
                <c:pt idx="618">
                  <c:v>53.6</c:v>
                </c:pt>
                <c:pt idx="619">
                  <c:v>54.8</c:v>
                </c:pt>
                <c:pt idx="620">
                  <c:v>57</c:v>
                </c:pt>
                <c:pt idx="621">
                  <c:v>57.2</c:v>
                </c:pt>
                <c:pt idx="622">
                  <c:v>58.1</c:v>
                </c:pt>
                <c:pt idx="623">
                  <c:v>57.8</c:v>
                </c:pt>
                <c:pt idx="624">
                  <c:v>56.7</c:v>
                </c:pt>
                <c:pt idx="625">
                  <c:v>55.8</c:v>
                </c:pt>
                <c:pt idx="626">
                  <c:v>54.9</c:v>
                </c:pt>
                <c:pt idx="627">
                  <c:v>54.7</c:v>
                </c:pt>
                <c:pt idx="628">
                  <c:v>53.2</c:v>
                </c:pt>
                <c:pt idx="629">
                  <c:v>51.4</c:v>
                </c:pt>
                <c:pt idx="630">
                  <c:v>52.5</c:v>
                </c:pt>
                <c:pt idx="631">
                  <c:v>49.9</c:v>
                </c:pt>
                <c:pt idx="632">
                  <c:v>49.7</c:v>
                </c:pt>
                <c:pt idx="633">
                  <c:v>48.7</c:v>
                </c:pt>
                <c:pt idx="634">
                  <c:v>48.5</c:v>
                </c:pt>
                <c:pt idx="635">
                  <c:v>43.9</c:v>
                </c:pt>
                <c:pt idx="636">
                  <c:v>42.3</c:v>
                </c:pt>
                <c:pt idx="637">
                  <c:v>42.1</c:v>
                </c:pt>
                <c:pt idx="638">
                  <c:v>43.1</c:v>
                </c:pt>
                <c:pt idx="639">
                  <c:v>42.7</c:v>
                </c:pt>
                <c:pt idx="640">
                  <c:v>41.3</c:v>
                </c:pt>
                <c:pt idx="641">
                  <c:v>43.2</c:v>
                </c:pt>
                <c:pt idx="642">
                  <c:v>43.5</c:v>
                </c:pt>
                <c:pt idx="643">
                  <c:v>46.3</c:v>
                </c:pt>
                <c:pt idx="644">
                  <c:v>46.2</c:v>
                </c:pt>
                <c:pt idx="645">
                  <c:v>40.799999999999997</c:v>
                </c:pt>
                <c:pt idx="646">
                  <c:v>44.1</c:v>
                </c:pt>
                <c:pt idx="647">
                  <c:v>45.3</c:v>
                </c:pt>
                <c:pt idx="648">
                  <c:v>47.5</c:v>
                </c:pt>
                <c:pt idx="649">
                  <c:v>50.7</c:v>
                </c:pt>
                <c:pt idx="650">
                  <c:v>52.4</c:v>
                </c:pt>
                <c:pt idx="651">
                  <c:v>52.4</c:v>
                </c:pt>
                <c:pt idx="652">
                  <c:v>53.1</c:v>
                </c:pt>
                <c:pt idx="653">
                  <c:v>53.6</c:v>
                </c:pt>
                <c:pt idx="654">
                  <c:v>50.2</c:v>
                </c:pt>
                <c:pt idx="655">
                  <c:v>50.3</c:v>
                </c:pt>
                <c:pt idx="656">
                  <c:v>50.5</c:v>
                </c:pt>
                <c:pt idx="657">
                  <c:v>49</c:v>
                </c:pt>
                <c:pt idx="658">
                  <c:v>48.5</c:v>
                </c:pt>
                <c:pt idx="659">
                  <c:v>51.6</c:v>
                </c:pt>
                <c:pt idx="660">
                  <c:v>51.3</c:v>
                </c:pt>
                <c:pt idx="661">
                  <c:v>48.8</c:v>
                </c:pt>
                <c:pt idx="662">
                  <c:v>46.3</c:v>
                </c:pt>
                <c:pt idx="663">
                  <c:v>46.1</c:v>
                </c:pt>
                <c:pt idx="664">
                  <c:v>49</c:v>
                </c:pt>
                <c:pt idx="665">
                  <c:v>49</c:v>
                </c:pt>
                <c:pt idx="666">
                  <c:v>51</c:v>
                </c:pt>
                <c:pt idx="667">
                  <c:v>53.2</c:v>
                </c:pt>
                <c:pt idx="668">
                  <c:v>52.4</c:v>
                </c:pt>
                <c:pt idx="669">
                  <c:v>55.2</c:v>
                </c:pt>
                <c:pt idx="670">
                  <c:v>58.4</c:v>
                </c:pt>
                <c:pt idx="671">
                  <c:v>60.1</c:v>
                </c:pt>
                <c:pt idx="672">
                  <c:v>60.8</c:v>
                </c:pt>
                <c:pt idx="673">
                  <c:v>59.9</c:v>
                </c:pt>
                <c:pt idx="674">
                  <c:v>60.6</c:v>
                </c:pt>
                <c:pt idx="675">
                  <c:v>60.6</c:v>
                </c:pt>
                <c:pt idx="676">
                  <c:v>61.4</c:v>
                </c:pt>
                <c:pt idx="677">
                  <c:v>60.5</c:v>
                </c:pt>
                <c:pt idx="678">
                  <c:v>59.9</c:v>
                </c:pt>
                <c:pt idx="679">
                  <c:v>58.5</c:v>
                </c:pt>
                <c:pt idx="680">
                  <c:v>57.4</c:v>
                </c:pt>
                <c:pt idx="681">
                  <c:v>56.3</c:v>
                </c:pt>
                <c:pt idx="682">
                  <c:v>56.2</c:v>
                </c:pt>
                <c:pt idx="683">
                  <c:v>57.2</c:v>
                </c:pt>
                <c:pt idx="684">
                  <c:v>56.6</c:v>
                </c:pt>
                <c:pt idx="685">
                  <c:v>54.8</c:v>
                </c:pt>
                <c:pt idx="686">
                  <c:v>54.9</c:v>
                </c:pt>
                <c:pt idx="687">
                  <c:v>52.5</c:v>
                </c:pt>
                <c:pt idx="688">
                  <c:v>51</c:v>
                </c:pt>
                <c:pt idx="689">
                  <c:v>52.6</c:v>
                </c:pt>
                <c:pt idx="690">
                  <c:v>54</c:v>
                </c:pt>
                <c:pt idx="691">
                  <c:v>51.6</c:v>
                </c:pt>
                <c:pt idx="692">
                  <c:v>56.5</c:v>
                </c:pt>
                <c:pt idx="693">
                  <c:v>57.2</c:v>
                </c:pt>
                <c:pt idx="694">
                  <c:v>56.5</c:v>
                </c:pt>
                <c:pt idx="695">
                  <c:v>54.9</c:v>
                </c:pt>
                <c:pt idx="696">
                  <c:v>55</c:v>
                </c:pt>
                <c:pt idx="697">
                  <c:v>55.5</c:v>
                </c:pt>
                <c:pt idx="698">
                  <c:v>54.7</c:v>
                </c:pt>
                <c:pt idx="699">
                  <c:v>55.8</c:v>
                </c:pt>
                <c:pt idx="700">
                  <c:v>53.5</c:v>
                </c:pt>
                <c:pt idx="701">
                  <c:v>52.4</c:v>
                </c:pt>
                <c:pt idx="702">
                  <c:v>53.2</c:v>
                </c:pt>
                <c:pt idx="703">
                  <c:v>52.8</c:v>
                </c:pt>
                <c:pt idx="704">
                  <c:v>51.8</c:v>
                </c:pt>
                <c:pt idx="705">
                  <c:v>50.5</c:v>
                </c:pt>
                <c:pt idx="706">
                  <c:v>50.4</c:v>
                </c:pt>
                <c:pt idx="707">
                  <c:v>52</c:v>
                </c:pt>
                <c:pt idx="708">
                  <c:v>49.9</c:v>
                </c:pt>
                <c:pt idx="709">
                  <c:v>52</c:v>
                </c:pt>
                <c:pt idx="710">
                  <c:v>51.3</c:v>
                </c:pt>
                <c:pt idx="711">
                  <c:v>52.6</c:v>
                </c:pt>
                <c:pt idx="712">
                  <c:v>52.3</c:v>
                </c:pt>
                <c:pt idx="713">
                  <c:v>52.4</c:v>
                </c:pt>
                <c:pt idx="714">
                  <c:v>51.7</c:v>
                </c:pt>
                <c:pt idx="715">
                  <c:v>50.2</c:v>
                </c:pt>
                <c:pt idx="716">
                  <c:v>50</c:v>
                </c:pt>
                <c:pt idx="717">
                  <c:v>50.9</c:v>
                </c:pt>
                <c:pt idx="718">
                  <c:v>51.5</c:v>
                </c:pt>
                <c:pt idx="719">
                  <c:v>49</c:v>
                </c:pt>
                <c:pt idx="720">
                  <c:v>51.1</c:v>
                </c:pt>
                <c:pt idx="721">
                  <c:v>48.9</c:v>
                </c:pt>
                <c:pt idx="722">
                  <c:v>49</c:v>
                </c:pt>
                <c:pt idx="723">
                  <c:v>48.8</c:v>
                </c:pt>
                <c:pt idx="724">
                  <c:v>48.8</c:v>
                </c:pt>
                <c:pt idx="725">
                  <c:v>49</c:v>
                </c:pt>
                <c:pt idx="726">
                  <c:v>49.6</c:v>
                </c:pt>
                <c:pt idx="727">
                  <c:v>48</c:v>
                </c:pt>
                <c:pt idx="728">
                  <c:v>43.8</c:v>
                </c:pt>
                <c:pt idx="729">
                  <c:v>39</c:v>
                </c:pt>
                <c:pt idx="730">
                  <c:v>36.9</c:v>
                </c:pt>
                <c:pt idx="731">
                  <c:v>33.299999999999997</c:v>
                </c:pt>
                <c:pt idx="732">
                  <c:v>35.700000000000003</c:v>
                </c:pt>
                <c:pt idx="733">
                  <c:v>36</c:v>
                </c:pt>
                <c:pt idx="734">
                  <c:v>36.6</c:v>
                </c:pt>
                <c:pt idx="735">
                  <c:v>39.9</c:v>
                </c:pt>
                <c:pt idx="736">
                  <c:v>41.9</c:v>
                </c:pt>
                <c:pt idx="737">
                  <c:v>44.7</c:v>
                </c:pt>
                <c:pt idx="738">
                  <c:v>49</c:v>
                </c:pt>
                <c:pt idx="739">
                  <c:v>51.4</c:v>
                </c:pt>
                <c:pt idx="740">
                  <c:v>53.2</c:v>
                </c:pt>
                <c:pt idx="741">
                  <c:v>55.8</c:v>
                </c:pt>
                <c:pt idx="742">
                  <c:v>54.7</c:v>
                </c:pt>
                <c:pt idx="743">
                  <c:v>56.4</c:v>
                </c:pt>
                <c:pt idx="744">
                  <c:v>58.3</c:v>
                </c:pt>
                <c:pt idx="745">
                  <c:v>57.1</c:v>
                </c:pt>
                <c:pt idx="746">
                  <c:v>60.4</c:v>
                </c:pt>
                <c:pt idx="747">
                  <c:v>59.6</c:v>
                </c:pt>
                <c:pt idx="748">
                  <c:v>57.8</c:v>
                </c:pt>
                <c:pt idx="749">
                  <c:v>55.3</c:v>
                </c:pt>
                <c:pt idx="750">
                  <c:v>55.1</c:v>
                </c:pt>
                <c:pt idx="751">
                  <c:v>55.2</c:v>
                </c:pt>
                <c:pt idx="752">
                  <c:v>55.3</c:v>
                </c:pt>
                <c:pt idx="753">
                  <c:v>56.9</c:v>
                </c:pt>
                <c:pt idx="754">
                  <c:v>58.2</c:v>
                </c:pt>
                <c:pt idx="755">
                  <c:v>58.5</c:v>
                </c:pt>
                <c:pt idx="756">
                  <c:v>60.8</c:v>
                </c:pt>
                <c:pt idx="757">
                  <c:v>61.4</c:v>
                </c:pt>
                <c:pt idx="758">
                  <c:v>61.2</c:v>
                </c:pt>
                <c:pt idx="759">
                  <c:v>60.4</c:v>
                </c:pt>
                <c:pt idx="760">
                  <c:v>53.5</c:v>
                </c:pt>
                <c:pt idx="761">
                  <c:v>55.3</c:v>
                </c:pt>
                <c:pt idx="762">
                  <c:v>50.9</c:v>
                </c:pt>
                <c:pt idx="763">
                  <c:v>50.6</c:v>
                </c:pt>
                <c:pt idx="764">
                  <c:v>51.6</c:v>
                </c:pt>
                <c:pt idx="765">
                  <c:v>50.8</c:v>
                </c:pt>
                <c:pt idx="766">
                  <c:v>52.7</c:v>
                </c:pt>
                <c:pt idx="767">
                  <c:v>53.9</c:v>
                </c:pt>
                <c:pt idx="768">
                  <c:v>54.1</c:v>
                </c:pt>
                <c:pt idx="769">
                  <c:v>52.4</c:v>
                </c:pt>
                <c:pt idx="770">
                  <c:v>53.4</c:v>
                </c:pt>
                <c:pt idx="771">
                  <c:v>54.8</c:v>
                </c:pt>
                <c:pt idx="772">
                  <c:v>53.5</c:v>
                </c:pt>
                <c:pt idx="773">
                  <c:v>49.7</c:v>
                </c:pt>
                <c:pt idx="774">
                  <c:v>49.8</c:v>
                </c:pt>
                <c:pt idx="775">
                  <c:v>49.6</c:v>
                </c:pt>
                <c:pt idx="776">
                  <c:v>51.5</c:v>
                </c:pt>
                <c:pt idx="777">
                  <c:v>51.7</c:v>
                </c:pt>
                <c:pt idx="778">
                  <c:v>49.5</c:v>
                </c:pt>
                <c:pt idx="779">
                  <c:v>50.7</c:v>
                </c:pt>
                <c:pt idx="780">
                  <c:v>53.1</c:v>
                </c:pt>
                <c:pt idx="781">
                  <c:v>54.2</c:v>
                </c:pt>
                <c:pt idx="782">
                  <c:v>51.3</c:v>
                </c:pt>
                <c:pt idx="783">
                  <c:v>50.7</c:v>
                </c:pt>
                <c:pt idx="784">
                  <c:v>49</c:v>
                </c:pt>
                <c:pt idx="785">
                  <c:v>50.9</c:v>
                </c:pt>
                <c:pt idx="786">
                  <c:v>55.4</c:v>
                </c:pt>
                <c:pt idx="787">
                  <c:v>55.7</c:v>
                </c:pt>
                <c:pt idx="788">
                  <c:v>56.2</c:v>
                </c:pt>
                <c:pt idx="789">
                  <c:v>56.4</c:v>
                </c:pt>
                <c:pt idx="790">
                  <c:v>57.3</c:v>
                </c:pt>
                <c:pt idx="791">
                  <c:v>57</c:v>
                </c:pt>
                <c:pt idx="792">
                  <c:v>51.3</c:v>
                </c:pt>
                <c:pt idx="793">
                  <c:v>53.2</c:v>
                </c:pt>
                <c:pt idx="794">
                  <c:v>53.7</c:v>
                </c:pt>
                <c:pt idx="795">
                  <c:v>54.9</c:v>
                </c:pt>
                <c:pt idx="796">
                  <c:v>55.4</c:v>
                </c:pt>
                <c:pt idx="797">
                  <c:v>55.3</c:v>
                </c:pt>
                <c:pt idx="798">
                  <c:v>57.1</c:v>
                </c:pt>
                <c:pt idx="799">
                  <c:v>59</c:v>
                </c:pt>
                <c:pt idx="800">
                  <c:v>56.6</c:v>
                </c:pt>
                <c:pt idx="801">
                  <c:v>59</c:v>
                </c:pt>
                <c:pt idx="802">
                  <c:v>58.7</c:v>
                </c:pt>
                <c:pt idx="803">
                  <c:v>55.1</c:v>
                </c:pt>
                <c:pt idx="804">
                  <c:v>53.5</c:v>
                </c:pt>
                <c:pt idx="805">
                  <c:v>52.9</c:v>
                </c:pt>
                <c:pt idx="806">
                  <c:v>51.5</c:v>
                </c:pt>
                <c:pt idx="807">
                  <c:v>51.5</c:v>
                </c:pt>
                <c:pt idx="808">
                  <c:v>52.8</c:v>
                </c:pt>
                <c:pt idx="809">
                  <c:v>53.5</c:v>
                </c:pt>
                <c:pt idx="810">
                  <c:v>52.7</c:v>
                </c:pt>
                <c:pt idx="811">
                  <c:v>51.1</c:v>
                </c:pt>
                <c:pt idx="812">
                  <c:v>50.2</c:v>
                </c:pt>
                <c:pt idx="813">
                  <c:v>49.4</c:v>
                </c:pt>
                <c:pt idx="814">
                  <c:v>48.4</c:v>
                </c:pt>
                <c:pt idx="815">
                  <c:v>48</c:v>
                </c:pt>
                <c:pt idx="816">
                  <c:v>48.2</c:v>
                </c:pt>
                <c:pt idx="817">
                  <c:v>49.7</c:v>
                </c:pt>
                <c:pt idx="818">
                  <c:v>51.7</c:v>
                </c:pt>
                <c:pt idx="819">
                  <c:v>50.7</c:v>
                </c:pt>
                <c:pt idx="820">
                  <c:v>51</c:v>
                </c:pt>
                <c:pt idx="821">
                  <c:v>52.8</c:v>
                </c:pt>
                <c:pt idx="822">
                  <c:v>52.3</c:v>
                </c:pt>
                <c:pt idx="823">
                  <c:v>49.4</c:v>
                </c:pt>
                <c:pt idx="824">
                  <c:v>51.7</c:v>
                </c:pt>
                <c:pt idx="825">
                  <c:v>52</c:v>
                </c:pt>
                <c:pt idx="826">
                  <c:v>53.5</c:v>
                </c:pt>
                <c:pt idx="827">
                  <c:v>54.5</c:v>
                </c:pt>
                <c:pt idx="828">
                  <c:v>56</c:v>
                </c:pt>
                <c:pt idx="829">
                  <c:v>57.7</c:v>
                </c:pt>
                <c:pt idx="830">
                  <c:v>57.2</c:v>
                </c:pt>
                <c:pt idx="831">
                  <c:v>54.8</c:v>
                </c:pt>
                <c:pt idx="832">
                  <c:v>54.9</c:v>
                </c:pt>
                <c:pt idx="833">
                  <c:v>57.8</c:v>
                </c:pt>
                <c:pt idx="834">
                  <c:v>56.3</c:v>
                </c:pt>
                <c:pt idx="835">
                  <c:v>58.8</c:v>
                </c:pt>
                <c:pt idx="836">
                  <c:v>60.8</c:v>
                </c:pt>
                <c:pt idx="837">
                  <c:v>59.379999999999995</c:v>
                </c:pt>
                <c:pt idx="838">
                  <c:v>58.220000000000006</c:v>
                </c:pt>
                <c:pt idx="839">
                  <c:v>59.720000000000006</c:v>
                </c:pt>
                <c:pt idx="840">
                  <c:v>59.1</c:v>
                </c:pt>
                <c:pt idx="841">
                  <c:v>60.739999999999995</c:v>
                </c:pt>
                <c:pt idx="842">
                  <c:v>59.259999999999991</c:v>
                </c:pt>
                <c:pt idx="843">
                  <c:v>57.339999999999996</c:v>
                </c:pt>
                <c:pt idx="844">
                  <c:v>58.739999999999995</c:v>
                </c:pt>
                <c:pt idx="845">
                  <c:v>60.459999999999994</c:v>
                </c:pt>
                <c:pt idx="846">
                  <c:v>58.6</c:v>
                </c:pt>
                <c:pt idx="847">
                  <c:v>61.4</c:v>
                </c:pt>
                <c:pt idx="848">
                  <c:v>59.779999999999994</c:v>
                </c:pt>
                <c:pt idx="849">
                  <c:v>57.580000000000005</c:v>
                </c:pt>
                <c:pt idx="850">
                  <c:v>59.3</c:v>
                </c:pt>
                <c:pt idx="851">
                  <c:v>54.06</c:v>
                </c:pt>
                <c:pt idx="852">
                  <c:v>56.64</c:v>
                </c:pt>
                <c:pt idx="853">
                  <c:v>54.179999999999993</c:v>
                </c:pt>
                <c:pt idx="854">
                  <c:v>55.419999999999995</c:v>
                </c:pt>
                <c:pt idx="855">
                  <c:v>52.44</c:v>
                </c:pt>
                <c:pt idx="856">
                  <c:v>52.11999999999999</c:v>
                </c:pt>
                <c:pt idx="857">
                  <c:v>51.680000000000007</c:v>
                </c:pt>
                <c:pt idx="858">
                  <c:v>51.220000000000006</c:v>
                </c:pt>
                <c:pt idx="859">
                  <c:v>49.08</c:v>
                </c:pt>
                <c:pt idx="860">
                  <c:v>47.779999999999994</c:v>
                </c:pt>
                <c:pt idx="861">
                  <c:v>48.12</c:v>
                </c:pt>
                <c:pt idx="862">
                  <c:v>48.08</c:v>
                </c:pt>
                <c:pt idx="863">
                  <c:v>47.239999999999995</c:v>
                </c:pt>
                <c:pt idx="864">
                  <c:v>50.92</c:v>
                </c:pt>
                <c:pt idx="865">
                  <c:v>50.160000000000004</c:v>
                </c:pt>
                <c:pt idx="866">
                  <c:v>49.12</c:v>
                </c:pt>
                <c:pt idx="867">
                  <c:v>41.56</c:v>
                </c:pt>
                <c:pt idx="868">
                  <c:v>43.1</c:v>
                </c:pt>
                <c:pt idx="869">
                  <c:v>52.819999999999993</c:v>
                </c:pt>
                <c:pt idx="870">
                  <c:v>54.14</c:v>
                </c:pt>
                <c:pt idx="871">
                  <c:v>55.98</c:v>
                </c:pt>
                <c:pt idx="872">
                  <c:v>55.38000000000001</c:v>
                </c:pt>
                <c:pt idx="873">
                  <c:v>59.3</c:v>
                </c:pt>
                <c:pt idx="874">
                  <c:v>57.44</c:v>
                </c:pt>
                <c:pt idx="875">
                  <c:v>60.719999999999992</c:v>
                </c:pt>
                <c:pt idx="876">
                  <c:v>58.680000000000007</c:v>
                </c:pt>
                <c:pt idx="877">
                  <c:v>60.820000000000007</c:v>
                </c:pt>
                <c:pt idx="878">
                  <c:v>64.599999999999994</c:v>
                </c:pt>
                <c:pt idx="879">
                  <c:v>61.459999999999994</c:v>
                </c:pt>
                <c:pt idx="880">
                  <c:v>61.2</c:v>
                </c:pt>
                <c:pt idx="881">
                  <c:v>60.58</c:v>
                </c:pt>
                <c:pt idx="882">
                  <c:v>59.720000000000006</c:v>
                </c:pt>
                <c:pt idx="883">
                  <c:v>59.879999999999995</c:v>
                </c:pt>
                <c:pt idx="884">
                  <c:v>61.06</c:v>
                </c:pt>
                <c:pt idx="885">
                  <c:v>60.739999999999995</c:v>
                </c:pt>
                <c:pt idx="886">
                  <c:v>61.06</c:v>
                </c:pt>
                <c:pt idx="887">
                  <c:v>58.680000000000007</c:v>
                </c:pt>
                <c:pt idx="888">
                  <c:v>57.6</c:v>
                </c:pt>
                <c:pt idx="889">
                  <c:v>58.56</c:v>
                </c:pt>
                <c:pt idx="890">
                  <c:v>57.1</c:v>
                </c:pt>
                <c:pt idx="891">
                  <c:v>55.36</c:v>
                </c:pt>
                <c:pt idx="892">
                  <c:v>56.1</c:v>
                </c:pt>
                <c:pt idx="893">
                  <c:v>52.94</c:v>
                </c:pt>
                <c:pt idx="894">
                  <c:v>52.780000000000008</c:v>
                </c:pt>
                <c:pt idx="895">
                  <c:v>52.3</c:v>
                </c:pt>
                <c:pt idx="896">
                  <c:v>50.86</c:v>
                </c:pt>
                <c:pt idx="897">
                  <c:v>50.160000000000004</c:v>
                </c:pt>
                <c:pt idx="898">
                  <c:v>49.040000000000006</c:v>
                </c:pt>
                <c:pt idx="899">
                  <c:v>48.379999999999995</c:v>
                </c:pt>
                <c:pt idx="900">
                  <c:v>47.379999999999995</c:v>
                </c:pt>
                <c:pt idx="901">
                  <c:v>47.74</c:v>
                </c:pt>
                <c:pt idx="902">
                  <c:v>46.260000000000005</c:v>
                </c:pt>
                <c:pt idx="903">
                  <c:v>47.14</c:v>
                </c:pt>
                <c:pt idx="904">
                  <c:v>46.879999999999995</c:v>
                </c:pt>
                <c:pt idx="905">
                  <c:v>46.02</c:v>
                </c:pt>
                <c:pt idx="906">
                  <c:v>46.08</c:v>
                </c:pt>
                <c:pt idx="907">
                  <c:v>47.56</c:v>
                </c:pt>
                <c:pt idx="908">
                  <c:v>49.46</c:v>
                </c:pt>
                <c:pt idx="909">
                  <c:v>46.739999999999995</c:v>
                </c:pt>
                <c:pt idx="910">
                  <c:v>47.86</c:v>
                </c:pt>
                <c:pt idx="911">
                  <c:v>47.320000000000007</c:v>
                </c:pt>
                <c:pt idx="912">
                  <c:v>48.7</c:v>
                </c:pt>
                <c:pt idx="913">
                  <c:v>47.779999999999994</c:v>
                </c:pt>
                <c:pt idx="914">
                  <c:v>49.839999999999996</c:v>
                </c:pt>
                <c:pt idx="915">
                  <c:v>49.220000000000006</c:v>
                </c:pt>
                <c:pt idx="916">
                  <c:v>48.7</c:v>
                </c:pt>
                <c:pt idx="917">
                  <c:v>48.459999999999994</c:v>
                </c:pt>
                <c:pt idx="918">
                  <c:v>46.76</c:v>
                </c:pt>
                <c:pt idx="919">
                  <c:v>47.239999999999995</c:v>
                </c:pt>
                <c:pt idx="920">
                  <c:v>47.18</c:v>
                </c:pt>
                <c:pt idx="921">
                  <c:v>47.839999999999996</c:v>
                </c:pt>
                <c:pt idx="922">
                  <c:v>48.42</c:v>
                </c:pt>
                <c:pt idx="923">
                  <c:v>49.44</c:v>
                </c:pt>
                <c:pt idx="924">
                  <c:v>50.94</c:v>
                </c:pt>
                <c:pt idx="925">
                  <c:v>50.260000000000005</c:v>
                </c:pt>
                <c:pt idx="926">
                  <c:v>49.019999999999996</c:v>
                </c:pt>
                <c:pt idx="927">
                  <c:v>50.3</c:v>
                </c:pt>
                <c:pt idx="928">
                  <c:v>49.46</c:v>
                </c:pt>
                <c:pt idx="929">
                  <c:v>49.92</c:v>
                </c:pt>
                <c:pt idx="930">
                  <c:v>50.3</c:v>
                </c:pt>
                <c:pt idx="931">
                  <c:v>50.82</c:v>
                </c:pt>
                <c:pt idx="932">
                  <c:v>49.279999999999994</c:v>
                </c:pt>
                <c:pt idx="933">
                  <c:v>49.62</c:v>
                </c:pt>
                <c:pt idx="934">
                  <c:v>49.14</c:v>
                </c:pt>
                <c:pt idx="935">
                  <c:v>49.32</c:v>
                </c:pt>
                <c:pt idx="936">
                  <c:v>53.239999999999995</c:v>
                </c:pt>
                <c:pt idx="937">
                  <c:v>51.760000000000005</c:v>
                </c:pt>
                <c:pt idx="938">
                  <c:v>50.8</c:v>
                </c:pt>
                <c:pt idx="939">
                  <c:v>52.42</c:v>
                </c:pt>
                <c:pt idx="940">
                  <c:v>54.04</c:v>
                </c:pt>
                <c:pt idx="941">
                  <c:v>53.339999999999996</c:v>
                </c:pt>
                <c:pt idx="942">
                  <c:v>55.6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F43-4A09-ACD0-6B641E195D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36341663"/>
        <c:axId val="1246836432"/>
      </c:lineChart>
      <c:dateAx>
        <c:axId val="1336341663"/>
        <c:scaling>
          <c:orientation val="minMax"/>
        </c:scaling>
        <c:delete val="0"/>
        <c:axPos val="b"/>
        <c:numFmt formatCode="yyyy/mm/dd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595959"/>
                </a:solidFill>
                <a:latin typeface="Aptos Narrow"/>
                <a:ea typeface="Aptos Narrow"/>
                <a:cs typeface="Aptos Narrow"/>
              </a:defRPr>
            </a:pPr>
            <a:endParaRPr lang="en-US"/>
          </a:p>
        </c:txPr>
        <c:crossAx val="1246836432"/>
        <c:crosses val="autoZero"/>
        <c:auto val="0"/>
        <c:lblOffset val="100"/>
        <c:baseTimeUnit val="days"/>
      </c:dateAx>
      <c:valAx>
        <c:axId val="1246836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D9D9D9"/>
              </a:solidFill>
              <a:prstDash val="solid"/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595959"/>
                </a:solidFill>
                <a:latin typeface="Aptos Narrow"/>
                <a:ea typeface="Aptos Narrow"/>
                <a:cs typeface="Aptos Narrow"/>
              </a:defRPr>
            </a:pPr>
            <a:endParaRPr lang="en-US"/>
          </a:p>
        </c:txPr>
        <c:crossAx val="13363416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rgbClr val="D9D9D9"/>
      </a:solidFill>
      <a:prstDash val="solid"/>
      <a:round/>
    </a:ln>
    <a:effectLst/>
  </c:spPr>
  <c:txPr>
    <a:bodyPr/>
    <a:lstStyle/>
    <a:p>
      <a:pPr>
        <a:defRPr sz="900">
          <a:solidFill>
            <a:srgbClr val="595959"/>
          </a:solidFill>
          <a:latin typeface="Aptos Narrow"/>
          <a:ea typeface="Aptos Narrow"/>
          <a:cs typeface="Aptos Narrow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1F4E79"/>
                </a:solidFill>
                <a:latin typeface="Aptos Narrow"/>
                <a:ea typeface="Aptos Narrow"/>
                <a:cs typeface="Aptos Narrow"/>
              </a:defRPr>
            </a:pPr>
            <a:r>
              <a:rPr lang="en-US"/>
              <a:t>ISM — Chg MoM (pts) (bars) vs level (line, rhs)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1F4E79"/>
              </a:solidFill>
              <a:latin typeface="Aptos Narrow"/>
              <a:ea typeface="Aptos Narrow"/>
              <a:cs typeface="Aptos Narrow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ISM!$I$12</c:f>
              <c:strCache>
                <c:ptCount val="1"/>
                <c:pt idx="0">
                  <c:v>Frequency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ISM!$H$13:$H$24</c:f>
              <c:numCache>
                <c:formatCode>0.0000</c:formatCode>
                <c:ptCount val="12"/>
                <c:pt idx="0">
                  <c:v>-9.9916666666666671</c:v>
                </c:pt>
                <c:pt idx="1">
                  <c:v>-7.9833333333333334</c:v>
                </c:pt>
                <c:pt idx="2">
                  <c:v>-5.9749999999999996</c:v>
                </c:pt>
                <c:pt idx="3">
                  <c:v>-3.9666666666666668</c:v>
                </c:pt>
                <c:pt idx="4">
                  <c:v>-1.9583333333333339</c:v>
                </c:pt>
                <c:pt idx="5">
                  <c:v>5.0000000000000711E-2</c:v>
                </c:pt>
                <c:pt idx="6">
                  <c:v>2.0583333333333336</c:v>
                </c:pt>
                <c:pt idx="7">
                  <c:v>4.0666666666666664</c:v>
                </c:pt>
                <c:pt idx="8">
                  <c:v>6.0749999999999993</c:v>
                </c:pt>
                <c:pt idx="9">
                  <c:v>8.0833333333333321</c:v>
                </c:pt>
                <c:pt idx="10">
                  <c:v>10.091666666666665</c:v>
                </c:pt>
                <c:pt idx="11">
                  <c:v>12.100000000000001</c:v>
                </c:pt>
              </c:numCache>
            </c:numRef>
          </c:cat>
          <c:val>
            <c:numRef>
              <c:f>ISM!$I$13:$I$24</c:f>
              <c:numCache>
                <c:formatCode>General</c:formatCode>
                <c:ptCount val="12"/>
                <c:pt idx="0">
                  <c:v>1</c:v>
                </c:pt>
                <c:pt idx="1">
                  <c:v>4</c:v>
                </c:pt>
                <c:pt idx="2">
                  <c:v>14</c:v>
                </c:pt>
                <c:pt idx="3">
                  <c:v>26</c:v>
                </c:pt>
                <c:pt idx="4">
                  <c:v>129</c:v>
                </c:pt>
                <c:pt idx="5">
                  <c:v>312</c:v>
                </c:pt>
                <c:pt idx="6">
                  <c:v>283</c:v>
                </c:pt>
                <c:pt idx="7">
                  <c:v>128</c:v>
                </c:pt>
                <c:pt idx="8">
                  <c:v>31</c:v>
                </c:pt>
                <c:pt idx="9">
                  <c:v>9</c:v>
                </c:pt>
                <c:pt idx="10">
                  <c:v>3</c:v>
                </c:pt>
                <c:pt idx="1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F1-416A-9955-5B311FF1A7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36357903"/>
        <c:axId val="1246848432"/>
      </c:barChart>
      <c:catAx>
        <c:axId val="1336357903"/>
        <c:scaling>
          <c:orientation val="minMax"/>
        </c:scaling>
        <c:delete val="0"/>
        <c:axPos val="b"/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595959"/>
                </a:solidFill>
                <a:latin typeface="Aptos Narrow"/>
                <a:ea typeface="Aptos Narrow"/>
                <a:cs typeface="Aptos Narrow"/>
              </a:defRPr>
            </a:pPr>
            <a:endParaRPr lang="en-US"/>
          </a:p>
        </c:txPr>
        <c:crossAx val="1246848432"/>
        <c:crosses val="autoZero"/>
        <c:auto val="1"/>
        <c:lblAlgn val="ctr"/>
        <c:lblOffset val="100"/>
        <c:noMultiLvlLbl val="1"/>
      </c:catAx>
      <c:valAx>
        <c:axId val="1246848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D9D9D9"/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595959"/>
                </a:solidFill>
                <a:latin typeface="Aptos Narrow"/>
                <a:ea typeface="Aptos Narrow"/>
                <a:cs typeface="Aptos Narrow"/>
              </a:defRPr>
            </a:pPr>
            <a:endParaRPr lang="en-US"/>
          </a:p>
        </c:txPr>
        <c:crossAx val="1336357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595959"/>
              </a:solidFill>
              <a:latin typeface="Aptos Narrow"/>
              <a:ea typeface="Aptos Narrow"/>
              <a:cs typeface="Aptos Narrow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rgbClr val="D9D9D9"/>
      </a:solidFill>
      <a:prstDash val="solid"/>
      <a:round/>
    </a:ln>
    <a:effectLst/>
  </c:spPr>
  <c:txPr>
    <a:bodyPr/>
    <a:lstStyle/>
    <a:p>
      <a:pPr>
        <a:defRPr sz="900">
          <a:solidFill>
            <a:srgbClr val="595959"/>
          </a:solidFill>
          <a:latin typeface="Aptos Narrow"/>
          <a:ea typeface="Aptos Narrow"/>
          <a:cs typeface="Aptos Narrow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1F4E79"/>
                </a:solidFill>
                <a:latin typeface="Aptos Narrow"/>
                <a:ea typeface="Aptos Narrow"/>
                <a:cs typeface="Aptos Narrow"/>
              </a:defRPr>
            </a:pPr>
            <a:r>
              <a:rPr lang="en-US"/>
              <a:t>ISM — distribution of Chg MoM (pts) (histogram)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1F4E79"/>
              </a:solidFill>
              <a:latin typeface="Aptos Narrow"/>
              <a:ea typeface="Aptos Narrow"/>
              <a:cs typeface="Aptos Narrow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ISM!$V$8</c:f>
              <c:strCache>
                <c:ptCount val="1"/>
                <c:pt idx="0">
                  <c:v>Actual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ISM!$U$9:$U$11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cat>
          <c:val>
            <c:numRef>
              <c:f>ISM!$V$9:$V$11</c:f>
              <c:numCache>
                <c:formatCode>0.0%</c:formatCode>
                <c:ptCount val="3"/>
                <c:pt idx="0">
                  <c:v>0.73885350318471332</c:v>
                </c:pt>
                <c:pt idx="1">
                  <c:v>0.94585987261146498</c:v>
                </c:pt>
                <c:pt idx="2">
                  <c:v>0.98832271762208068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385-426F-9F7C-CF0B689AC35C}"/>
            </c:ext>
          </c:extLst>
        </c:ser>
        <c:ser>
          <c:idx val="1"/>
          <c:order val="1"/>
          <c:tx>
            <c:strRef>
              <c:f>ISM!$W$8</c:f>
              <c:strCache>
                <c:ptCount val="1"/>
                <c:pt idx="0">
                  <c:v>Normal %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ISM!$U$9:$U$11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cat>
          <c:val>
            <c:numRef>
              <c:f>ISM!$W$9:$W$11</c:f>
              <c:numCache>
                <c:formatCode>0.0%</c:formatCode>
                <c:ptCount val="3"/>
                <c:pt idx="0">
                  <c:v>0.68200000000000005</c:v>
                </c:pt>
                <c:pt idx="1">
                  <c:v>0.95399999999999996</c:v>
                </c:pt>
                <c:pt idx="2">
                  <c:v>0.997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F6-4B25-A9C5-D98ED9A361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"/>
        <c:overlap val="-27"/>
        <c:axId val="1336383887"/>
        <c:axId val="1246862832"/>
      </c:barChart>
      <c:catAx>
        <c:axId val="1336383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595959"/>
                </a:solidFill>
                <a:latin typeface="Aptos Narrow"/>
                <a:ea typeface="Aptos Narrow"/>
                <a:cs typeface="Aptos Narrow"/>
              </a:defRPr>
            </a:pPr>
            <a:endParaRPr lang="en-US"/>
          </a:p>
        </c:txPr>
        <c:crossAx val="1246862832"/>
        <c:crosses val="autoZero"/>
        <c:auto val="1"/>
        <c:lblAlgn val="ctr"/>
        <c:lblOffset val="100"/>
        <c:noMultiLvlLbl val="0"/>
      </c:catAx>
      <c:valAx>
        <c:axId val="1246862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D9D9D9"/>
              </a:solidFill>
              <a:prstDash val="solid"/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595959"/>
                </a:solidFill>
                <a:latin typeface="Aptos Narrow"/>
                <a:ea typeface="Aptos Narrow"/>
                <a:cs typeface="Aptos Narrow"/>
              </a:defRPr>
            </a:pPr>
            <a:endParaRPr lang="en-US"/>
          </a:p>
        </c:txPr>
        <c:crossAx val="1336383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595959"/>
              </a:solidFill>
              <a:latin typeface="Aptos Narrow"/>
              <a:ea typeface="Aptos Narrow"/>
              <a:cs typeface="Aptos Narrow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rgbClr val="D9D9D9"/>
      </a:solidFill>
      <a:prstDash val="solid"/>
      <a:round/>
    </a:ln>
    <a:effectLst/>
  </c:spPr>
  <c:txPr>
    <a:bodyPr/>
    <a:lstStyle/>
    <a:p>
      <a:pPr>
        <a:defRPr sz="900">
          <a:solidFill>
            <a:srgbClr val="595959"/>
          </a:solidFill>
          <a:latin typeface="Aptos Narrow"/>
          <a:ea typeface="Aptos Narrow"/>
          <a:cs typeface="Aptos Narrow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1F4E79"/>
                </a:solidFill>
                <a:latin typeface="Aptos Narrow"/>
                <a:ea typeface="Aptos Narrow"/>
                <a:cs typeface="Aptos Narrow"/>
              </a:defRPr>
            </a:pPr>
            <a:r>
              <a:rPr lang="en-US"/>
              <a:t>Retail sales ex motor vehicles &amp; parts ($m) — level, 1992–present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1F4E79"/>
              </a:solidFill>
              <a:latin typeface="Aptos Narrow"/>
              <a:ea typeface="Aptos Narrow"/>
              <a:cs typeface="Aptos Narrow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RETX!$B$4</c:f>
              <c:strCache>
                <c:ptCount val="1"/>
                <c:pt idx="0">
                  <c:v>Value</c:v>
                </c:pt>
              </c:strCache>
            </c:strRef>
          </c:tx>
          <c:spPr>
            <a:ln w="25400" cap="rnd">
              <a:solidFill>
                <a:srgbClr val="1F4E79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RETX!$A$5:$A$418</c:f>
              <c:numCache>
                <c:formatCode>yyyy/mm/dd</c:formatCode>
                <c:ptCount val="414"/>
                <c:pt idx="0">
                  <c:v>33604</c:v>
                </c:pt>
                <c:pt idx="1">
                  <c:v>33635</c:v>
                </c:pt>
                <c:pt idx="2">
                  <c:v>33664</c:v>
                </c:pt>
                <c:pt idx="3">
                  <c:v>33695</c:v>
                </c:pt>
                <c:pt idx="4">
                  <c:v>33725</c:v>
                </c:pt>
                <c:pt idx="5">
                  <c:v>33756</c:v>
                </c:pt>
                <c:pt idx="6">
                  <c:v>33786</c:v>
                </c:pt>
                <c:pt idx="7">
                  <c:v>33817</c:v>
                </c:pt>
                <c:pt idx="8">
                  <c:v>33848</c:v>
                </c:pt>
                <c:pt idx="9">
                  <c:v>33878</c:v>
                </c:pt>
                <c:pt idx="10">
                  <c:v>33909</c:v>
                </c:pt>
                <c:pt idx="11">
                  <c:v>33939</c:v>
                </c:pt>
                <c:pt idx="12">
                  <c:v>33970</c:v>
                </c:pt>
                <c:pt idx="13">
                  <c:v>34001</c:v>
                </c:pt>
                <c:pt idx="14">
                  <c:v>34029</c:v>
                </c:pt>
                <c:pt idx="15">
                  <c:v>34060</c:v>
                </c:pt>
                <c:pt idx="16">
                  <c:v>34090</c:v>
                </c:pt>
                <c:pt idx="17">
                  <c:v>34121</c:v>
                </c:pt>
                <c:pt idx="18">
                  <c:v>34151</c:v>
                </c:pt>
                <c:pt idx="19">
                  <c:v>34182</c:v>
                </c:pt>
                <c:pt idx="20">
                  <c:v>34213</c:v>
                </c:pt>
                <c:pt idx="21">
                  <c:v>34243</c:v>
                </c:pt>
                <c:pt idx="22">
                  <c:v>34274</c:v>
                </c:pt>
                <c:pt idx="23">
                  <c:v>34304</c:v>
                </c:pt>
                <c:pt idx="24">
                  <c:v>34335</c:v>
                </c:pt>
                <c:pt idx="25">
                  <c:v>34366</c:v>
                </c:pt>
                <c:pt idx="26">
                  <c:v>34394</c:v>
                </c:pt>
                <c:pt idx="27">
                  <c:v>34425</c:v>
                </c:pt>
                <c:pt idx="28">
                  <c:v>34455</c:v>
                </c:pt>
                <c:pt idx="29">
                  <c:v>34486</c:v>
                </c:pt>
                <c:pt idx="30">
                  <c:v>34516</c:v>
                </c:pt>
                <c:pt idx="31">
                  <c:v>34547</c:v>
                </c:pt>
                <c:pt idx="32">
                  <c:v>34578</c:v>
                </c:pt>
                <c:pt idx="33">
                  <c:v>34608</c:v>
                </c:pt>
                <c:pt idx="34">
                  <c:v>34639</c:v>
                </c:pt>
                <c:pt idx="35">
                  <c:v>34669</c:v>
                </c:pt>
                <c:pt idx="36">
                  <c:v>34700</c:v>
                </c:pt>
                <c:pt idx="37">
                  <c:v>34731</c:v>
                </c:pt>
                <c:pt idx="38">
                  <c:v>34759</c:v>
                </c:pt>
                <c:pt idx="39">
                  <c:v>34790</c:v>
                </c:pt>
                <c:pt idx="40">
                  <c:v>34820</c:v>
                </c:pt>
                <c:pt idx="41">
                  <c:v>34851</c:v>
                </c:pt>
                <c:pt idx="42">
                  <c:v>34881</c:v>
                </c:pt>
                <c:pt idx="43">
                  <c:v>34912</c:v>
                </c:pt>
                <c:pt idx="44">
                  <c:v>34943</c:v>
                </c:pt>
                <c:pt idx="45">
                  <c:v>34973</c:v>
                </c:pt>
                <c:pt idx="46">
                  <c:v>35004</c:v>
                </c:pt>
                <c:pt idx="47">
                  <c:v>35034</c:v>
                </c:pt>
                <c:pt idx="48">
                  <c:v>35065</c:v>
                </c:pt>
                <c:pt idx="49">
                  <c:v>35096</c:v>
                </c:pt>
                <c:pt idx="50">
                  <c:v>35125</c:v>
                </c:pt>
                <c:pt idx="51">
                  <c:v>35156</c:v>
                </c:pt>
                <c:pt idx="52">
                  <c:v>35186</c:v>
                </c:pt>
                <c:pt idx="53">
                  <c:v>35217</c:v>
                </c:pt>
                <c:pt idx="54">
                  <c:v>35247</c:v>
                </c:pt>
                <c:pt idx="55">
                  <c:v>35278</c:v>
                </c:pt>
                <c:pt idx="56">
                  <c:v>35309</c:v>
                </c:pt>
                <c:pt idx="57">
                  <c:v>35339</c:v>
                </c:pt>
                <c:pt idx="58">
                  <c:v>35370</c:v>
                </c:pt>
                <c:pt idx="59">
                  <c:v>35400</c:v>
                </c:pt>
                <c:pt idx="60">
                  <c:v>35431</c:v>
                </c:pt>
                <c:pt idx="61">
                  <c:v>35462</c:v>
                </c:pt>
                <c:pt idx="62">
                  <c:v>35490</c:v>
                </c:pt>
                <c:pt idx="63">
                  <c:v>35521</c:v>
                </c:pt>
                <c:pt idx="64">
                  <c:v>35551</c:v>
                </c:pt>
                <c:pt idx="65">
                  <c:v>35582</c:v>
                </c:pt>
                <c:pt idx="66">
                  <c:v>35612</c:v>
                </c:pt>
                <c:pt idx="67">
                  <c:v>35643</c:v>
                </c:pt>
                <c:pt idx="68">
                  <c:v>35674</c:v>
                </c:pt>
                <c:pt idx="69">
                  <c:v>35704</c:v>
                </c:pt>
                <c:pt idx="70">
                  <c:v>35735</c:v>
                </c:pt>
                <c:pt idx="71">
                  <c:v>35765</c:v>
                </c:pt>
                <c:pt idx="72">
                  <c:v>35796</c:v>
                </c:pt>
                <c:pt idx="73">
                  <c:v>35827</c:v>
                </c:pt>
                <c:pt idx="74">
                  <c:v>35855</c:v>
                </c:pt>
                <c:pt idx="75">
                  <c:v>35886</c:v>
                </c:pt>
                <c:pt idx="76">
                  <c:v>35916</c:v>
                </c:pt>
                <c:pt idx="77">
                  <c:v>35947</c:v>
                </c:pt>
                <c:pt idx="78">
                  <c:v>35977</c:v>
                </c:pt>
                <c:pt idx="79">
                  <c:v>36008</c:v>
                </c:pt>
                <c:pt idx="80">
                  <c:v>36039</c:v>
                </c:pt>
                <c:pt idx="81">
                  <c:v>36069</c:v>
                </c:pt>
                <c:pt idx="82">
                  <c:v>36100</c:v>
                </c:pt>
                <c:pt idx="83">
                  <c:v>36130</c:v>
                </c:pt>
                <c:pt idx="84">
                  <c:v>36161</c:v>
                </c:pt>
                <c:pt idx="85">
                  <c:v>36192</c:v>
                </c:pt>
                <c:pt idx="86">
                  <c:v>36220</c:v>
                </c:pt>
                <c:pt idx="87">
                  <c:v>36251</c:v>
                </c:pt>
                <c:pt idx="88">
                  <c:v>36281</c:v>
                </c:pt>
                <c:pt idx="89">
                  <c:v>36312</c:v>
                </c:pt>
                <c:pt idx="90">
                  <c:v>36342</c:v>
                </c:pt>
                <c:pt idx="91">
                  <c:v>36373</c:v>
                </c:pt>
                <c:pt idx="92">
                  <c:v>36404</c:v>
                </c:pt>
                <c:pt idx="93">
                  <c:v>36434</c:v>
                </c:pt>
                <c:pt idx="94">
                  <c:v>36465</c:v>
                </c:pt>
                <c:pt idx="95">
                  <c:v>36495</c:v>
                </c:pt>
                <c:pt idx="96">
                  <c:v>36526</c:v>
                </c:pt>
                <c:pt idx="97">
                  <c:v>36557</c:v>
                </c:pt>
                <c:pt idx="98">
                  <c:v>36586</c:v>
                </c:pt>
                <c:pt idx="99">
                  <c:v>36617</c:v>
                </c:pt>
                <c:pt idx="100">
                  <c:v>36647</c:v>
                </c:pt>
                <c:pt idx="101">
                  <c:v>36678</c:v>
                </c:pt>
                <c:pt idx="102">
                  <c:v>36708</c:v>
                </c:pt>
                <c:pt idx="103">
                  <c:v>36739</c:v>
                </c:pt>
                <c:pt idx="104">
                  <c:v>36770</c:v>
                </c:pt>
                <c:pt idx="105">
                  <c:v>36800</c:v>
                </c:pt>
                <c:pt idx="106">
                  <c:v>36831</c:v>
                </c:pt>
                <c:pt idx="107">
                  <c:v>36861</c:v>
                </c:pt>
                <c:pt idx="108">
                  <c:v>36892</c:v>
                </c:pt>
                <c:pt idx="109">
                  <c:v>36923</c:v>
                </c:pt>
                <c:pt idx="110">
                  <c:v>36951</c:v>
                </c:pt>
                <c:pt idx="111">
                  <c:v>36982</c:v>
                </c:pt>
                <c:pt idx="112">
                  <c:v>37012</c:v>
                </c:pt>
                <c:pt idx="113">
                  <c:v>37043</c:v>
                </c:pt>
                <c:pt idx="114">
                  <c:v>37073</c:v>
                </c:pt>
                <c:pt idx="115">
                  <c:v>37104</c:v>
                </c:pt>
                <c:pt idx="116">
                  <c:v>37135</c:v>
                </c:pt>
                <c:pt idx="117">
                  <c:v>37165</c:v>
                </c:pt>
                <c:pt idx="118">
                  <c:v>37196</c:v>
                </c:pt>
                <c:pt idx="119">
                  <c:v>37226</c:v>
                </c:pt>
                <c:pt idx="120">
                  <c:v>37257</c:v>
                </c:pt>
                <c:pt idx="121">
                  <c:v>37288</c:v>
                </c:pt>
                <c:pt idx="122">
                  <c:v>37316</c:v>
                </c:pt>
                <c:pt idx="123">
                  <c:v>37347</c:v>
                </c:pt>
                <c:pt idx="124">
                  <c:v>37377</c:v>
                </c:pt>
                <c:pt idx="125">
                  <c:v>37408</c:v>
                </c:pt>
                <c:pt idx="126">
                  <c:v>37438</c:v>
                </c:pt>
                <c:pt idx="127">
                  <c:v>37469</c:v>
                </c:pt>
                <c:pt idx="128">
                  <c:v>37500</c:v>
                </c:pt>
                <c:pt idx="129">
                  <c:v>37530</c:v>
                </c:pt>
                <c:pt idx="130">
                  <c:v>37561</c:v>
                </c:pt>
                <c:pt idx="131">
                  <c:v>37591</c:v>
                </c:pt>
                <c:pt idx="132">
                  <c:v>37622</c:v>
                </c:pt>
                <c:pt idx="133">
                  <c:v>37653</c:v>
                </c:pt>
                <c:pt idx="134">
                  <c:v>37681</c:v>
                </c:pt>
                <c:pt idx="135">
                  <c:v>37712</c:v>
                </c:pt>
                <c:pt idx="136">
                  <c:v>37742</c:v>
                </c:pt>
                <c:pt idx="137">
                  <c:v>37773</c:v>
                </c:pt>
                <c:pt idx="138">
                  <c:v>37803</c:v>
                </c:pt>
                <c:pt idx="139">
                  <c:v>37834</c:v>
                </c:pt>
                <c:pt idx="140">
                  <c:v>37865</c:v>
                </c:pt>
                <c:pt idx="141">
                  <c:v>37895</c:v>
                </c:pt>
                <c:pt idx="142">
                  <c:v>37926</c:v>
                </c:pt>
                <c:pt idx="143">
                  <c:v>37956</c:v>
                </c:pt>
                <c:pt idx="144">
                  <c:v>37987</c:v>
                </c:pt>
                <c:pt idx="145">
                  <c:v>38018</c:v>
                </c:pt>
                <c:pt idx="146">
                  <c:v>38047</c:v>
                </c:pt>
                <c:pt idx="147">
                  <c:v>38078</c:v>
                </c:pt>
                <c:pt idx="148">
                  <c:v>38108</c:v>
                </c:pt>
                <c:pt idx="149">
                  <c:v>38139</c:v>
                </c:pt>
                <c:pt idx="150">
                  <c:v>38169</c:v>
                </c:pt>
                <c:pt idx="151">
                  <c:v>38200</c:v>
                </c:pt>
                <c:pt idx="152">
                  <c:v>38231</c:v>
                </c:pt>
                <c:pt idx="153">
                  <c:v>38261</c:v>
                </c:pt>
                <c:pt idx="154">
                  <c:v>38292</c:v>
                </c:pt>
                <c:pt idx="155">
                  <c:v>38322</c:v>
                </c:pt>
                <c:pt idx="156">
                  <c:v>38353</c:v>
                </c:pt>
                <c:pt idx="157">
                  <c:v>38384</c:v>
                </c:pt>
                <c:pt idx="158">
                  <c:v>38412</c:v>
                </c:pt>
                <c:pt idx="159">
                  <c:v>38443</c:v>
                </c:pt>
                <c:pt idx="160">
                  <c:v>38473</c:v>
                </c:pt>
                <c:pt idx="161">
                  <c:v>38504</c:v>
                </c:pt>
                <c:pt idx="162">
                  <c:v>38534</c:v>
                </c:pt>
                <c:pt idx="163">
                  <c:v>38565</c:v>
                </c:pt>
                <c:pt idx="164">
                  <c:v>38596</c:v>
                </c:pt>
                <c:pt idx="165">
                  <c:v>38626</c:v>
                </c:pt>
                <c:pt idx="166">
                  <c:v>38657</c:v>
                </c:pt>
                <c:pt idx="167">
                  <c:v>38687</c:v>
                </c:pt>
                <c:pt idx="168">
                  <c:v>38718</c:v>
                </c:pt>
                <c:pt idx="169">
                  <c:v>38749</c:v>
                </c:pt>
                <c:pt idx="170">
                  <c:v>38777</c:v>
                </c:pt>
                <c:pt idx="171">
                  <c:v>38808</c:v>
                </c:pt>
                <c:pt idx="172">
                  <c:v>38838</c:v>
                </c:pt>
                <c:pt idx="173">
                  <c:v>38869</c:v>
                </c:pt>
                <c:pt idx="174">
                  <c:v>38899</c:v>
                </c:pt>
                <c:pt idx="175">
                  <c:v>38930</c:v>
                </c:pt>
                <c:pt idx="176">
                  <c:v>38961</c:v>
                </c:pt>
                <c:pt idx="177">
                  <c:v>38991</c:v>
                </c:pt>
                <c:pt idx="178">
                  <c:v>39022</c:v>
                </c:pt>
                <c:pt idx="179">
                  <c:v>39052</c:v>
                </c:pt>
                <c:pt idx="180">
                  <c:v>39083</c:v>
                </c:pt>
                <c:pt idx="181">
                  <c:v>39114</c:v>
                </c:pt>
                <c:pt idx="182">
                  <c:v>39142</c:v>
                </c:pt>
                <c:pt idx="183">
                  <c:v>39173</c:v>
                </c:pt>
                <c:pt idx="184">
                  <c:v>39203</c:v>
                </c:pt>
                <c:pt idx="185">
                  <c:v>39234</c:v>
                </c:pt>
                <c:pt idx="186">
                  <c:v>39264</c:v>
                </c:pt>
                <c:pt idx="187">
                  <c:v>39295</c:v>
                </c:pt>
                <c:pt idx="188">
                  <c:v>39326</c:v>
                </c:pt>
                <c:pt idx="189">
                  <c:v>39356</c:v>
                </c:pt>
                <c:pt idx="190">
                  <c:v>39387</c:v>
                </c:pt>
                <c:pt idx="191">
                  <c:v>39417</c:v>
                </c:pt>
                <c:pt idx="192">
                  <c:v>39448</c:v>
                </c:pt>
                <c:pt idx="193">
                  <c:v>39479</c:v>
                </c:pt>
                <c:pt idx="194">
                  <c:v>39508</c:v>
                </c:pt>
                <c:pt idx="195">
                  <c:v>39539</c:v>
                </c:pt>
                <c:pt idx="196">
                  <c:v>39569</c:v>
                </c:pt>
                <c:pt idx="197">
                  <c:v>39600</c:v>
                </c:pt>
                <c:pt idx="198">
                  <c:v>39630</c:v>
                </c:pt>
                <c:pt idx="199">
                  <c:v>39661</c:v>
                </c:pt>
                <c:pt idx="200">
                  <c:v>39692</c:v>
                </c:pt>
                <c:pt idx="201">
                  <c:v>39722</c:v>
                </c:pt>
                <c:pt idx="202">
                  <c:v>39753</c:v>
                </c:pt>
                <c:pt idx="203">
                  <c:v>39783</c:v>
                </c:pt>
                <c:pt idx="204">
                  <c:v>39814</c:v>
                </c:pt>
                <c:pt idx="205">
                  <c:v>39845</c:v>
                </c:pt>
                <c:pt idx="206">
                  <c:v>39873</c:v>
                </c:pt>
                <c:pt idx="207">
                  <c:v>39904</c:v>
                </c:pt>
                <c:pt idx="208">
                  <c:v>39934</c:v>
                </c:pt>
                <c:pt idx="209">
                  <c:v>39965</c:v>
                </c:pt>
                <c:pt idx="210">
                  <c:v>39995</c:v>
                </c:pt>
                <c:pt idx="211">
                  <c:v>40026</c:v>
                </c:pt>
                <c:pt idx="212">
                  <c:v>40057</c:v>
                </c:pt>
                <c:pt idx="213">
                  <c:v>40087</c:v>
                </c:pt>
                <c:pt idx="214">
                  <c:v>40118</c:v>
                </c:pt>
                <c:pt idx="215">
                  <c:v>40148</c:v>
                </c:pt>
                <c:pt idx="216">
                  <c:v>40179</c:v>
                </c:pt>
                <c:pt idx="217">
                  <c:v>40210</c:v>
                </c:pt>
                <c:pt idx="218">
                  <c:v>40238</c:v>
                </c:pt>
                <c:pt idx="219">
                  <c:v>40269</c:v>
                </c:pt>
                <c:pt idx="220">
                  <c:v>40299</c:v>
                </c:pt>
                <c:pt idx="221">
                  <c:v>40330</c:v>
                </c:pt>
                <c:pt idx="222">
                  <c:v>40360</c:v>
                </c:pt>
                <c:pt idx="223">
                  <c:v>40391</c:v>
                </c:pt>
                <c:pt idx="224">
                  <c:v>40422</c:v>
                </c:pt>
                <c:pt idx="225">
                  <c:v>40452</c:v>
                </c:pt>
                <c:pt idx="226">
                  <c:v>40483</c:v>
                </c:pt>
                <c:pt idx="227">
                  <c:v>40513</c:v>
                </c:pt>
                <c:pt idx="228">
                  <c:v>40544</c:v>
                </c:pt>
                <c:pt idx="229">
                  <c:v>40575</c:v>
                </c:pt>
                <c:pt idx="230">
                  <c:v>40603</c:v>
                </c:pt>
                <c:pt idx="231">
                  <c:v>40634</c:v>
                </c:pt>
                <c:pt idx="232">
                  <c:v>40664</c:v>
                </c:pt>
                <c:pt idx="233">
                  <c:v>40695</c:v>
                </c:pt>
                <c:pt idx="234">
                  <c:v>40725</c:v>
                </c:pt>
                <c:pt idx="235">
                  <c:v>40756</c:v>
                </c:pt>
                <c:pt idx="236">
                  <c:v>40787</c:v>
                </c:pt>
                <c:pt idx="237">
                  <c:v>40817</c:v>
                </c:pt>
                <c:pt idx="238">
                  <c:v>40848</c:v>
                </c:pt>
                <c:pt idx="239">
                  <c:v>40878</c:v>
                </c:pt>
                <c:pt idx="240">
                  <c:v>40909</c:v>
                </c:pt>
                <c:pt idx="241">
                  <c:v>40940</c:v>
                </c:pt>
                <c:pt idx="242">
                  <c:v>40969</c:v>
                </c:pt>
                <c:pt idx="243">
                  <c:v>41000</c:v>
                </c:pt>
                <c:pt idx="244">
                  <c:v>41030</c:v>
                </c:pt>
                <c:pt idx="245">
                  <c:v>41061</c:v>
                </c:pt>
                <c:pt idx="246">
                  <c:v>41091</c:v>
                </c:pt>
                <c:pt idx="247">
                  <c:v>41122</c:v>
                </c:pt>
                <c:pt idx="248">
                  <c:v>41153</c:v>
                </c:pt>
                <c:pt idx="249">
                  <c:v>41183</c:v>
                </c:pt>
                <c:pt idx="250">
                  <c:v>41214</c:v>
                </c:pt>
                <c:pt idx="251">
                  <c:v>41244</c:v>
                </c:pt>
                <c:pt idx="252">
                  <c:v>41275</c:v>
                </c:pt>
                <c:pt idx="253">
                  <c:v>41306</c:v>
                </c:pt>
                <c:pt idx="254">
                  <c:v>41334</c:v>
                </c:pt>
                <c:pt idx="255">
                  <c:v>41365</c:v>
                </c:pt>
                <c:pt idx="256">
                  <c:v>41395</c:v>
                </c:pt>
                <c:pt idx="257">
                  <c:v>41426</c:v>
                </c:pt>
                <c:pt idx="258">
                  <c:v>41456</c:v>
                </c:pt>
                <c:pt idx="259">
                  <c:v>41487</c:v>
                </c:pt>
                <c:pt idx="260">
                  <c:v>41518</c:v>
                </c:pt>
                <c:pt idx="261">
                  <c:v>41548</c:v>
                </c:pt>
                <c:pt idx="262">
                  <c:v>41579</c:v>
                </c:pt>
                <c:pt idx="263">
                  <c:v>41609</c:v>
                </c:pt>
                <c:pt idx="264">
                  <c:v>41640</c:v>
                </c:pt>
                <c:pt idx="265">
                  <c:v>41671</c:v>
                </c:pt>
                <c:pt idx="266">
                  <c:v>41699</c:v>
                </c:pt>
                <c:pt idx="267">
                  <c:v>41730</c:v>
                </c:pt>
                <c:pt idx="268">
                  <c:v>41760</c:v>
                </c:pt>
                <c:pt idx="269">
                  <c:v>41791</c:v>
                </c:pt>
                <c:pt idx="270">
                  <c:v>41821</c:v>
                </c:pt>
                <c:pt idx="271">
                  <c:v>41852</c:v>
                </c:pt>
                <c:pt idx="272">
                  <c:v>41883</c:v>
                </c:pt>
                <c:pt idx="273">
                  <c:v>41913</c:v>
                </c:pt>
                <c:pt idx="274">
                  <c:v>41944</c:v>
                </c:pt>
                <c:pt idx="275">
                  <c:v>41974</c:v>
                </c:pt>
                <c:pt idx="276">
                  <c:v>42005</c:v>
                </c:pt>
                <c:pt idx="277">
                  <c:v>42036</c:v>
                </c:pt>
                <c:pt idx="278">
                  <c:v>42064</c:v>
                </c:pt>
                <c:pt idx="279">
                  <c:v>42095</c:v>
                </c:pt>
                <c:pt idx="280">
                  <c:v>42125</c:v>
                </c:pt>
                <c:pt idx="281">
                  <c:v>42156</c:v>
                </c:pt>
                <c:pt idx="282">
                  <c:v>42186</c:v>
                </c:pt>
                <c:pt idx="283">
                  <c:v>42217</c:v>
                </c:pt>
                <c:pt idx="284">
                  <c:v>42248</c:v>
                </c:pt>
                <c:pt idx="285">
                  <c:v>42278</c:v>
                </c:pt>
                <c:pt idx="286">
                  <c:v>42309</c:v>
                </c:pt>
                <c:pt idx="287">
                  <c:v>42339</c:v>
                </c:pt>
                <c:pt idx="288">
                  <c:v>42370</c:v>
                </c:pt>
                <c:pt idx="289">
                  <c:v>42401</c:v>
                </c:pt>
                <c:pt idx="290">
                  <c:v>42430</c:v>
                </c:pt>
                <c:pt idx="291">
                  <c:v>42461</c:v>
                </c:pt>
                <c:pt idx="292">
                  <c:v>42491</c:v>
                </c:pt>
                <c:pt idx="293">
                  <c:v>42522</c:v>
                </c:pt>
                <c:pt idx="294">
                  <c:v>42552</c:v>
                </c:pt>
                <c:pt idx="295">
                  <c:v>42583</c:v>
                </c:pt>
                <c:pt idx="296">
                  <c:v>42614</c:v>
                </c:pt>
                <c:pt idx="297">
                  <c:v>42644</c:v>
                </c:pt>
                <c:pt idx="298">
                  <c:v>42675</c:v>
                </c:pt>
                <c:pt idx="299">
                  <c:v>42705</c:v>
                </c:pt>
                <c:pt idx="300">
                  <c:v>42736</c:v>
                </c:pt>
                <c:pt idx="301">
                  <c:v>42767</c:v>
                </c:pt>
                <c:pt idx="302">
                  <c:v>42795</c:v>
                </c:pt>
                <c:pt idx="303">
                  <c:v>42826</c:v>
                </c:pt>
                <c:pt idx="304">
                  <c:v>42856</c:v>
                </c:pt>
                <c:pt idx="305">
                  <c:v>42887</c:v>
                </c:pt>
                <c:pt idx="306">
                  <c:v>42917</c:v>
                </c:pt>
                <c:pt idx="307">
                  <c:v>42948</c:v>
                </c:pt>
                <c:pt idx="308">
                  <c:v>42979</c:v>
                </c:pt>
                <c:pt idx="309">
                  <c:v>43009</c:v>
                </c:pt>
                <c:pt idx="310">
                  <c:v>43040</c:v>
                </c:pt>
                <c:pt idx="311">
                  <c:v>43070</c:v>
                </c:pt>
                <c:pt idx="312">
                  <c:v>43101</c:v>
                </c:pt>
                <c:pt idx="313">
                  <c:v>43132</c:v>
                </c:pt>
                <c:pt idx="314">
                  <c:v>43160</c:v>
                </c:pt>
                <c:pt idx="315">
                  <c:v>43191</c:v>
                </c:pt>
                <c:pt idx="316">
                  <c:v>43221</c:v>
                </c:pt>
                <c:pt idx="317">
                  <c:v>43252</c:v>
                </c:pt>
                <c:pt idx="318">
                  <c:v>43282</c:v>
                </c:pt>
                <c:pt idx="319">
                  <c:v>43313</c:v>
                </c:pt>
                <c:pt idx="320">
                  <c:v>43344</c:v>
                </c:pt>
                <c:pt idx="321">
                  <c:v>43374</c:v>
                </c:pt>
                <c:pt idx="322">
                  <c:v>43405</c:v>
                </c:pt>
                <c:pt idx="323">
                  <c:v>43435</c:v>
                </c:pt>
                <c:pt idx="324">
                  <c:v>43466</c:v>
                </c:pt>
                <c:pt idx="325">
                  <c:v>43497</c:v>
                </c:pt>
                <c:pt idx="326">
                  <c:v>43525</c:v>
                </c:pt>
                <c:pt idx="327">
                  <c:v>43556</c:v>
                </c:pt>
                <c:pt idx="328">
                  <c:v>43586</c:v>
                </c:pt>
                <c:pt idx="329">
                  <c:v>43617</c:v>
                </c:pt>
                <c:pt idx="330">
                  <c:v>43647</c:v>
                </c:pt>
                <c:pt idx="331">
                  <c:v>43678</c:v>
                </c:pt>
                <c:pt idx="332">
                  <c:v>43709</c:v>
                </c:pt>
                <c:pt idx="333">
                  <c:v>43739</c:v>
                </c:pt>
                <c:pt idx="334">
                  <c:v>43770</c:v>
                </c:pt>
                <c:pt idx="335">
                  <c:v>43800</c:v>
                </c:pt>
                <c:pt idx="336">
                  <c:v>43831</c:v>
                </c:pt>
                <c:pt idx="337">
                  <c:v>43862</c:v>
                </c:pt>
                <c:pt idx="338">
                  <c:v>43891</c:v>
                </c:pt>
                <c:pt idx="339">
                  <c:v>43922</c:v>
                </c:pt>
                <c:pt idx="340">
                  <c:v>43952</c:v>
                </c:pt>
                <c:pt idx="341">
                  <c:v>43983</c:v>
                </c:pt>
                <c:pt idx="342">
                  <c:v>44013</c:v>
                </c:pt>
                <c:pt idx="343">
                  <c:v>44044</c:v>
                </c:pt>
                <c:pt idx="344">
                  <c:v>44075</c:v>
                </c:pt>
                <c:pt idx="345">
                  <c:v>44105</c:v>
                </c:pt>
                <c:pt idx="346">
                  <c:v>44136</c:v>
                </c:pt>
                <c:pt idx="347">
                  <c:v>44166</c:v>
                </c:pt>
                <c:pt idx="348">
                  <c:v>44197</c:v>
                </c:pt>
                <c:pt idx="349">
                  <c:v>44228</c:v>
                </c:pt>
                <c:pt idx="350">
                  <c:v>44256</c:v>
                </c:pt>
                <c:pt idx="351">
                  <c:v>44287</c:v>
                </c:pt>
                <c:pt idx="352">
                  <c:v>44317</c:v>
                </c:pt>
                <c:pt idx="353">
                  <c:v>44348</c:v>
                </c:pt>
                <c:pt idx="354">
                  <c:v>44378</c:v>
                </c:pt>
                <c:pt idx="355">
                  <c:v>44409</c:v>
                </c:pt>
                <c:pt idx="356">
                  <c:v>44440</c:v>
                </c:pt>
                <c:pt idx="357">
                  <c:v>44470</c:v>
                </c:pt>
                <c:pt idx="358">
                  <c:v>44501</c:v>
                </c:pt>
                <c:pt idx="359">
                  <c:v>44531</c:v>
                </c:pt>
                <c:pt idx="360">
                  <c:v>44562</c:v>
                </c:pt>
                <c:pt idx="361">
                  <c:v>44593</c:v>
                </c:pt>
                <c:pt idx="362">
                  <c:v>44621</c:v>
                </c:pt>
                <c:pt idx="363">
                  <c:v>44652</c:v>
                </c:pt>
                <c:pt idx="364">
                  <c:v>44682</c:v>
                </c:pt>
                <c:pt idx="365">
                  <c:v>44713</c:v>
                </c:pt>
                <c:pt idx="366">
                  <c:v>44743</c:v>
                </c:pt>
                <c:pt idx="367">
                  <c:v>44774</c:v>
                </c:pt>
                <c:pt idx="368">
                  <c:v>44805</c:v>
                </c:pt>
                <c:pt idx="369">
                  <c:v>44835</c:v>
                </c:pt>
                <c:pt idx="370">
                  <c:v>44866</c:v>
                </c:pt>
                <c:pt idx="371">
                  <c:v>44896</c:v>
                </c:pt>
                <c:pt idx="372">
                  <c:v>44927</c:v>
                </c:pt>
                <c:pt idx="373">
                  <c:v>44958</c:v>
                </c:pt>
                <c:pt idx="374">
                  <c:v>44986</c:v>
                </c:pt>
                <c:pt idx="375">
                  <c:v>45017</c:v>
                </c:pt>
                <c:pt idx="376">
                  <c:v>45047</c:v>
                </c:pt>
                <c:pt idx="377">
                  <c:v>45078</c:v>
                </c:pt>
                <c:pt idx="378">
                  <c:v>45108</c:v>
                </c:pt>
                <c:pt idx="379">
                  <c:v>45139</c:v>
                </c:pt>
                <c:pt idx="380">
                  <c:v>45170</c:v>
                </c:pt>
                <c:pt idx="381">
                  <c:v>45200</c:v>
                </c:pt>
                <c:pt idx="382">
                  <c:v>45231</c:v>
                </c:pt>
                <c:pt idx="383">
                  <c:v>45261</c:v>
                </c:pt>
                <c:pt idx="384">
                  <c:v>45292</c:v>
                </c:pt>
                <c:pt idx="385">
                  <c:v>45323</c:v>
                </c:pt>
                <c:pt idx="386">
                  <c:v>45352</c:v>
                </c:pt>
                <c:pt idx="387">
                  <c:v>45383</c:v>
                </c:pt>
                <c:pt idx="388">
                  <c:v>45413</c:v>
                </c:pt>
                <c:pt idx="389">
                  <c:v>45444</c:v>
                </c:pt>
                <c:pt idx="390">
                  <c:v>45474</c:v>
                </c:pt>
                <c:pt idx="391">
                  <c:v>45505</c:v>
                </c:pt>
                <c:pt idx="392">
                  <c:v>45536</c:v>
                </c:pt>
                <c:pt idx="393">
                  <c:v>45566</c:v>
                </c:pt>
                <c:pt idx="394">
                  <c:v>45597</c:v>
                </c:pt>
                <c:pt idx="395">
                  <c:v>45627</c:v>
                </c:pt>
                <c:pt idx="396">
                  <c:v>45658</c:v>
                </c:pt>
                <c:pt idx="397">
                  <c:v>45689</c:v>
                </c:pt>
                <c:pt idx="398">
                  <c:v>45717</c:v>
                </c:pt>
                <c:pt idx="399">
                  <c:v>45748</c:v>
                </c:pt>
                <c:pt idx="400">
                  <c:v>45778</c:v>
                </c:pt>
                <c:pt idx="401">
                  <c:v>45809</c:v>
                </c:pt>
                <c:pt idx="402">
                  <c:v>45839</c:v>
                </c:pt>
                <c:pt idx="403">
                  <c:v>45870</c:v>
                </c:pt>
                <c:pt idx="404">
                  <c:v>45901</c:v>
                </c:pt>
                <c:pt idx="405">
                  <c:v>45931</c:v>
                </c:pt>
                <c:pt idx="406">
                  <c:v>45962</c:v>
                </c:pt>
                <c:pt idx="407">
                  <c:v>45992</c:v>
                </c:pt>
                <c:pt idx="408">
                  <c:v>46023</c:v>
                </c:pt>
                <c:pt idx="409">
                  <c:v>46054</c:v>
                </c:pt>
                <c:pt idx="410">
                  <c:v>46082</c:v>
                </c:pt>
                <c:pt idx="411">
                  <c:v>46113</c:v>
                </c:pt>
                <c:pt idx="412">
                  <c:v>46143</c:v>
                </c:pt>
                <c:pt idx="413">
                  <c:v>46174</c:v>
                </c:pt>
              </c:numCache>
            </c:numRef>
          </c:cat>
          <c:val>
            <c:numRef>
              <c:f>RETX!$B$5:$B$418</c:f>
              <c:numCache>
                <c:formatCode>#,##0</c:formatCode>
                <c:ptCount val="414"/>
                <c:pt idx="0">
                  <c:v>126498</c:v>
                </c:pt>
                <c:pt idx="1">
                  <c:v>126383</c:v>
                </c:pt>
                <c:pt idx="2">
                  <c:v>126194</c:v>
                </c:pt>
                <c:pt idx="3">
                  <c:v>126970</c:v>
                </c:pt>
                <c:pt idx="4">
                  <c:v>127274</c:v>
                </c:pt>
                <c:pt idx="5">
                  <c:v>127293</c:v>
                </c:pt>
                <c:pt idx="6">
                  <c:v>128256</c:v>
                </c:pt>
                <c:pt idx="7">
                  <c:v>129253</c:v>
                </c:pt>
                <c:pt idx="8">
                  <c:v>129319</c:v>
                </c:pt>
                <c:pt idx="9">
                  <c:v>130889</c:v>
                </c:pt>
                <c:pt idx="10">
                  <c:v>131160</c:v>
                </c:pt>
                <c:pt idx="11">
                  <c:v>132128</c:v>
                </c:pt>
                <c:pt idx="12">
                  <c:v>133412</c:v>
                </c:pt>
                <c:pt idx="13">
                  <c:v>133092</c:v>
                </c:pt>
                <c:pt idx="14">
                  <c:v>132443</c:v>
                </c:pt>
                <c:pt idx="15">
                  <c:v>134384</c:v>
                </c:pt>
                <c:pt idx="16">
                  <c:v>135168</c:v>
                </c:pt>
                <c:pt idx="17">
                  <c:v>135093</c:v>
                </c:pt>
                <c:pt idx="18">
                  <c:v>136477</c:v>
                </c:pt>
                <c:pt idx="19">
                  <c:v>135944</c:v>
                </c:pt>
                <c:pt idx="20">
                  <c:v>137233</c:v>
                </c:pt>
                <c:pt idx="21">
                  <c:v>137934</c:v>
                </c:pt>
                <c:pt idx="22">
                  <c:v>138617</c:v>
                </c:pt>
                <c:pt idx="23">
                  <c:v>139138</c:v>
                </c:pt>
                <c:pt idx="24">
                  <c:v>138384</c:v>
                </c:pt>
                <c:pt idx="25">
                  <c:v>140389</c:v>
                </c:pt>
                <c:pt idx="26">
                  <c:v>142940</c:v>
                </c:pt>
                <c:pt idx="27">
                  <c:v>142587</c:v>
                </c:pt>
                <c:pt idx="28">
                  <c:v>142378</c:v>
                </c:pt>
                <c:pt idx="29">
                  <c:v>144275</c:v>
                </c:pt>
                <c:pt idx="30">
                  <c:v>145012</c:v>
                </c:pt>
                <c:pt idx="31">
                  <c:v>146595</c:v>
                </c:pt>
                <c:pt idx="32">
                  <c:v>147260</c:v>
                </c:pt>
                <c:pt idx="33">
                  <c:v>148228</c:v>
                </c:pt>
                <c:pt idx="34">
                  <c:v>148131</c:v>
                </c:pt>
                <c:pt idx="35">
                  <c:v>149169</c:v>
                </c:pt>
                <c:pt idx="36">
                  <c:v>149915</c:v>
                </c:pt>
                <c:pt idx="37">
                  <c:v>148251</c:v>
                </c:pt>
                <c:pt idx="38">
                  <c:v>149356</c:v>
                </c:pt>
                <c:pt idx="39">
                  <c:v>149678</c:v>
                </c:pt>
                <c:pt idx="40">
                  <c:v>150931</c:v>
                </c:pt>
                <c:pt idx="41">
                  <c:v>151677</c:v>
                </c:pt>
                <c:pt idx="42">
                  <c:v>151778</c:v>
                </c:pt>
                <c:pt idx="43">
                  <c:v>152226</c:v>
                </c:pt>
                <c:pt idx="44">
                  <c:v>153644</c:v>
                </c:pt>
                <c:pt idx="45">
                  <c:v>152316</c:v>
                </c:pt>
                <c:pt idx="46">
                  <c:v>154548</c:v>
                </c:pt>
                <c:pt idx="47">
                  <c:v>155527</c:v>
                </c:pt>
                <c:pt idx="48">
                  <c:v>154263</c:v>
                </c:pt>
                <c:pt idx="49">
                  <c:v>155584</c:v>
                </c:pt>
                <c:pt idx="50">
                  <c:v>157137</c:v>
                </c:pt>
                <c:pt idx="51">
                  <c:v>158564</c:v>
                </c:pt>
                <c:pt idx="52">
                  <c:v>159585</c:v>
                </c:pt>
                <c:pt idx="53">
                  <c:v>159391</c:v>
                </c:pt>
                <c:pt idx="54">
                  <c:v>159617</c:v>
                </c:pt>
                <c:pt idx="55">
                  <c:v>160665</c:v>
                </c:pt>
                <c:pt idx="56">
                  <c:v>161368</c:v>
                </c:pt>
                <c:pt idx="57">
                  <c:v>162922</c:v>
                </c:pt>
                <c:pt idx="58">
                  <c:v>163871</c:v>
                </c:pt>
                <c:pt idx="59">
                  <c:v>164077</c:v>
                </c:pt>
                <c:pt idx="60">
                  <c:v>165069</c:v>
                </c:pt>
                <c:pt idx="61">
                  <c:v>166268</c:v>
                </c:pt>
                <c:pt idx="62">
                  <c:v>168000</c:v>
                </c:pt>
                <c:pt idx="63">
                  <c:v>165632</c:v>
                </c:pt>
                <c:pt idx="64">
                  <c:v>166535</c:v>
                </c:pt>
                <c:pt idx="65">
                  <c:v>167373</c:v>
                </c:pt>
                <c:pt idx="66">
                  <c:v>168610</c:v>
                </c:pt>
                <c:pt idx="67">
                  <c:v>169306</c:v>
                </c:pt>
                <c:pt idx="68">
                  <c:v>170143</c:v>
                </c:pt>
                <c:pt idx="69">
                  <c:v>170457</c:v>
                </c:pt>
                <c:pt idx="70">
                  <c:v>170153</c:v>
                </c:pt>
                <c:pt idx="71">
                  <c:v>170490</c:v>
                </c:pt>
                <c:pt idx="72">
                  <c:v>171713</c:v>
                </c:pt>
                <c:pt idx="73">
                  <c:v>172197</c:v>
                </c:pt>
                <c:pt idx="74">
                  <c:v>172008</c:v>
                </c:pt>
                <c:pt idx="75">
                  <c:v>173839</c:v>
                </c:pt>
                <c:pt idx="76">
                  <c:v>174527</c:v>
                </c:pt>
                <c:pt idx="77">
                  <c:v>174821</c:v>
                </c:pt>
                <c:pt idx="78">
                  <c:v>176263</c:v>
                </c:pt>
                <c:pt idx="79">
                  <c:v>176400</c:v>
                </c:pt>
                <c:pt idx="80">
                  <c:v>176388</c:v>
                </c:pt>
                <c:pt idx="81">
                  <c:v>178401</c:v>
                </c:pt>
                <c:pt idx="82">
                  <c:v>179263</c:v>
                </c:pt>
                <c:pt idx="83">
                  <c:v>180637</c:v>
                </c:pt>
                <c:pt idx="84">
                  <c:v>181548</c:v>
                </c:pt>
                <c:pt idx="85">
                  <c:v>183385</c:v>
                </c:pt>
                <c:pt idx="86">
                  <c:v>184025</c:v>
                </c:pt>
                <c:pt idx="87">
                  <c:v>185446</c:v>
                </c:pt>
                <c:pt idx="88">
                  <c:v>186516</c:v>
                </c:pt>
                <c:pt idx="89">
                  <c:v>186876</c:v>
                </c:pt>
                <c:pt idx="90">
                  <c:v>188256</c:v>
                </c:pt>
                <c:pt idx="91">
                  <c:v>189315</c:v>
                </c:pt>
                <c:pt idx="92">
                  <c:v>191225</c:v>
                </c:pt>
                <c:pt idx="93">
                  <c:v>192306</c:v>
                </c:pt>
                <c:pt idx="94">
                  <c:v>193342</c:v>
                </c:pt>
                <c:pt idx="95">
                  <c:v>198600</c:v>
                </c:pt>
                <c:pt idx="96">
                  <c:v>195603</c:v>
                </c:pt>
                <c:pt idx="97">
                  <c:v>197780</c:v>
                </c:pt>
                <c:pt idx="98">
                  <c:v>201690</c:v>
                </c:pt>
                <c:pt idx="99">
                  <c:v>200086</c:v>
                </c:pt>
                <c:pt idx="100">
                  <c:v>200582</c:v>
                </c:pt>
                <c:pt idx="101">
                  <c:v>202008</c:v>
                </c:pt>
                <c:pt idx="102">
                  <c:v>202232</c:v>
                </c:pt>
                <c:pt idx="103">
                  <c:v>202434</c:v>
                </c:pt>
                <c:pt idx="104">
                  <c:v>205788</c:v>
                </c:pt>
                <c:pt idx="105">
                  <c:v>205319</c:v>
                </c:pt>
                <c:pt idx="106">
                  <c:v>205905</c:v>
                </c:pt>
                <c:pt idx="107">
                  <c:v>206882</c:v>
                </c:pt>
                <c:pt idx="108">
                  <c:v>207847</c:v>
                </c:pt>
                <c:pt idx="109">
                  <c:v>207605</c:v>
                </c:pt>
                <c:pt idx="110">
                  <c:v>205633</c:v>
                </c:pt>
                <c:pt idx="111">
                  <c:v>208765</c:v>
                </c:pt>
                <c:pt idx="112">
                  <c:v>209255</c:v>
                </c:pt>
                <c:pt idx="113">
                  <c:v>209007</c:v>
                </c:pt>
                <c:pt idx="114">
                  <c:v>208248</c:v>
                </c:pt>
                <c:pt idx="115">
                  <c:v>210319</c:v>
                </c:pt>
                <c:pt idx="116">
                  <c:v>207049</c:v>
                </c:pt>
                <c:pt idx="117">
                  <c:v>209005</c:v>
                </c:pt>
                <c:pt idx="118">
                  <c:v>209495</c:v>
                </c:pt>
                <c:pt idx="119">
                  <c:v>210047</c:v>
                </c:pt>
                <c:pt idx="120">
                  <c:v>210592</c:v>
                </c:pt>
                <c:pt idx="121">
                  <c:v>211933</c:v>
                </c:pt>
                <c:pt idx="122">
                  <c:v>212922</c:v>
                </c:pt>
                <c:pt idx="123">
                  <c:v>214538</c:v>
                </c:pt>
                <c:pt idx="124">
                  <c:v>214712</c:v>
                </c:pt>
                <c:pt idx="125">
                  <c:v>214429</c:v>
                </c:pt>
                <c:pt idx="126">
                  <c:v>215007</c:v>
                </c:pt>
                <c:pt idx="127">
                  <c:v>215334</c:v>
                </c:pt>
                <c:pt idx="128">
                  <c:v>214949</c:v>
                </c:pt>
                <c:pt idx="129">
                  <c:v>216503</c:v>
                </c:pt>
                <c:pt idx="130">
                  <c:v>218069</c:v>
                </c:pt>
                <c:pt idx="131">
                  <c:v>218284</c:v>
                </c:pt>
                <c:pt idx="132">
                  <c:v>220353</c:v>
                </c:pt>
                <c:pt idx="133">
                  <c:v>219429</c:v>
                </c:pt>
                <c:pt idx="134">
                  <c:v>221858</c:v>
                </c:pt>
                <c:pt idx="135">
                  <c:v>220633</c:v>
                </c:pt>
                <c:pt idx="136">
                  <c:v>221437</c:v>
                </c:pt>
                <c:pt idx="137">
                  <c:v>223736</c:v>
                </c:pt>
                <c:pt idx="138">
                  <c:v>225986</c:v>
                </c:pt>
                <c:pt idx="139">
                  <c:v>229147</c:v>
                </c:pt>
                <c:pt idx="140">
                  <c:v>229152</c:v>
                </c:pt>
                <c:pt idx="141">
                  <c:v>229677</c:v>
                </c:pt>
                <c:pt idx="142">
                  <c:v>230537</c:v>
                </c:pt>
                <c:pt idx="143">
                  <c:v>231694</c:v>
                </c:pt>
                <c:pt idx="144">
                  <c:v>234649</c:v>
                </c:pt>
                <c:pt idx="145">
                  <c:v>234447</c:v>
                </c:pt>
                <c:pt idx="146">
                  <c:v>238680</c:v>
                </c:pt>
                <c:pt idx="147">
                  <c:v>238476</c:v>
                </c:pt>
                <c:pt idx="148">
                  <c:v>240314</c:v>
                </c:pt>
                <c:pt idx="149">
                  <c:v>240179</c:v>
                </c:pt>
                <c:pt idx="150">
                  <c:v>241785</c:v>
                </c:pt>
                <c:pt idx="151">
                  <c:v>241574</c:v>
                </c:pt>
                <c:pt idx="152">
                  <c:v>244150</c:v>
                </c:pt>
                <c:pt idx="153">
                  <c:v>247209</c:v>
                </c:pt>
                <c:pt idx="154">
                  <c:v>248720</c:v>
                </c:pt>
                <c:pt idx="155">
                  <c:v>250734</c:v>
                </c:pt>
                <c:pt idx="156">
                  <c:v>250896</c:v>
                </c:pt>
                <c:pt idx="157">
                  <c:v>253263</c:v>
                </c:pt>
                <c:pt idx="158">
                  <c:v>253552</c:v>
                </c:pt>
                <c:pt idx="159">
                  <c:v>257233</c:v>
                </c:pt>
                <c:pt idx="160">
                  <c:v>255512</c:v>
                </c:pt>
                <c:pt idx="161">
                  <c:v>258835</c:v>
                </c:pt>
                <c:pt idx="162">
                  <c:v>259399</c:v>
                </c:pt>
                <c:pt idx="163">
                  <c:v>263485</c:v>
                </c:pt>
                <c:pt idx="164">
                  <c:v>267324</c:v>
                </c:pt>
                <c:pt idx="165">
                  <c:v>270342</c:v>
                </c:pt>
                <c:pt idx="166">
                  <c:v>268072</c:v>
                </c:pt>
                <c:pt idx="167">
                  <c:v>268255</c:v>
                </c:pt>
                <c:pt idx="168">
                  <c:v>274469</c:v>
                </c:pt>
                <c:pt idx="169">
                  <c:v>274561</c:v>
                </c:pt>
                <c:pt idx="170">
                  <c:v>275211</c:v>
                </c:pt>
                <c:pt idx="171">
                  <c:v>276827</c:v>
                </c:pt>
                <c:pt idx="172">
                  <c:v>276464</c:v>
                </c:pt>
                <c:pt idx="173">
                  <c:v>276735</c:v>
                </c:pt>
                <c:pt idx="174">
                  <c:v>277199</c:v>
                </c:pt>
                <c:pt idx="175">
                  <c:v>279615</c:v>
                </c:pt>
                <c:pt idx="176">
                  <c:v>278325</c:v>
                </c:pt>
                <c:pt idx="177">
                  <c:v>276900</c:v>
                </c:pt>
                <c:pt idx="178">
                  <c:v>277479</c:v>
                </c:pt>
                <c:pt idx="179">
                  <c:v>282619</c:v>
                </c:pt>
                <c:pt idx="180">
                  <c:v>282001</c:v>
                </c:pt>
                <c:pt idx="181">
                  <c:v>282241</c:v>
                </c:pt>
                <c:pt idx="182">
                  <c:v>285660</c:v>
                </c:pt>
                <c:pt idx="183">
                  <c:v>283978</c:v>
                </c:pt>
                <c:pt idx="184">
                  <c:v>287491</c:v>
                </c:pt>
                <c:pt idx="185">
                  <c:v>287188</c:v>
                </c:pt>
                <c:pt idx="186">
                  <c:v>288091</c:v>
                </c:pt>
                <c:pt idx="187">
                  <c:v>288655</c:v>
                </c:pt>
                <c:pt idx="188">
                  <c:v>289574</c:v>
                </c:pt>
                <c:pt idx="189">
                  <c:v>291082</c:v>
                </c:pt>
                <c:pt idx="190">
                  <c:v>296595</c:v>
                </c:pt>
                <c:pt idx="191">
                  <c:v>294959</c:v>
                </c:pt>
                <c:pt idx="192">
                  <c:v>295112</c:v>
                </c:pt>
                <c:pt idx="193">
                  <c:v>293625</c:v>
                </c:pt>
                <c:pt idx="194">
                  <c:v>295087</c:v>
                </c:pt>
                <c:pt idx="195">
                  <c:v>296462</c:v>
                </c:pt>
                <c:pt idx="196">
                  <c:v>300834</c:v>
                </c:pt>
                <c:pt idx="197">
                  <c:v>303282</c:v>
                </c:pt>
                <c:pt idx="198">
                  <c:v>304291</c:v>
                </c:pt>
                <c:pt idx="199">
                  <c:v>301194</c:v>
                </c:pt>
                <c:pt idx="200">
                  <c:v>298040</c:v>
                </c:pt>
                <c:pt idx="201">
                  <c:v>290587</c:v>
                </c:pt>
                <c:pt idx="202">
                  <c:v>278953</c:v>
                </c:pt>
                <c:pt idx="203">
                  <c:v>272085</c:v>
                </c:pt>
                <c:pt idx="204">
                  <c:v>275518</c:v>
                </c:pt>
                <c:pt idx="205">
                  <c:v>275651</c:v>
                </c:pt>
                <c:pt idx="206">
                  <c:v>270920</c:v>
                </c:pt>
                <c:pt idx="207">
                  <c:v>272078</c:v>
                </c:pt>
                <c:pt idx="208">
                  <c:v>274405</c:v>
                </c:pt>
                <c:pt idx="209">
                  <c:v>277157</c:v>
                </c:pt>
                <c:pt idx="210">
                  <c:v>276959</c:v>
                </c:pt>
                <c:pt idx="211">
                  <c:v>278789</c:v>
                </c:pt>
                <c:pt idx="212">
                  <c:v>278920</c:v>
                </c:pt>
                <c:pt idx="213">
                  <c:v>279342</c:v>
                </c:pt>
                <c:pt idx="214">
                  <c:v>281406</c:v>
                </c:pt>
                <c:pt idx="215">
                  <c:v>283070</c:v>
                </c:pt>
                <c:pt idx="216">
                  <c:v>283647</c:v>
                </c:pt>
                <c:pt idx="217">
                  <c:v>285191</c:v>
                </c:pt>
                <c:pt idx="218">
                  <c:v>287536</c:v>
                </c:pt>
                <c:pt idx="219">
                  <c:v>289522</c:v>
                </c:pt>
                <c:pt idx="220">
                  <c:v>286736</c:v>
                </c:pt>
                <c:pt idx="221">
                  <c:v>286504</c:v>
                </c:pt>
                <c:pt idx="222">
                  <c:v>286354</c:v>
                </c:pt>
                <c:pt idx="223">
                  <c:v>288079</c:v>
                </c:pt>
                <c:pt idx="224">
                  <c:v>290362</c:v>
                </c:pt>
                <c:pt idx="225">
                  <c:v>292801</c:v>
                </c:pt>
                <c:pt idx="226">
                  <c:v>295658</c:v>
                </c:pt>
                <c:pt idx="227">
                  <c:v>298168</c:v>
                </c:pt>
                <c:pt idx="228">
                  <c:v>299671</c:v>
                </c:pt>
                <c:pt idx="229">
                  <c:v>301711</c:v>
                </c:pt>
                <c:pt idx="230">
                  <c:v>304658</c:v>
                </c:pt>
                <c:pt idx="231">
                  <c:v>307603</c:v>
                </c:pt>
                <c:pt idx="232">
                  <c:v>308104</c:v>
                </c:pt>
                <c:pt idx="233">
                  <c:v>310200</c:v>
                </c:pt>
                <c:pt idx="234">
                  <c:v>310314</c:v>
                </c:pt>
                <c:pt idx="235">
                  <c:v>311587</c:v>
                </c:pt>
                <c:pt idx="236">
                  <c:v>312673</c:v>
                </c:pt>
                <c:pt idx="237">
                  <c:v>313756</c:v>
                </c:pt>
                <c:pt idx="238">
                  <c:v>314672</c:v>
                </c:pt>
                <c:pt idx="239">
                  <c:v>314039</c:v>
                </c:pt>
                <c:pt idx="240">
                  <c:v>317438</c:v>
                </c:pt>
                <c:pt idx="241">
                  <c:v>321164</c:v>
                </c:pt>
                <c:pt idx="242">
                  <c:v>322583</c:v>
                </c:pt>
                <c:pt idx="243">
                  <c:v>320642</c:v>
                </c:pt>
                <c:pt idx="244">
                  <c:v>319194</c:v>
                </c:pt>
                <c:pt idx="245">
                  <c:v>316997</c:v>
                </c:pt>
                <c:pt idx="246">
                  <c:v>317985</c:v>
                </c:pt>
                <c:pt idx="247">
                  <c:v>322056</c:v>
                </c:pt>
                <c:pt idx="248">
                  <c:v>323914</c:v>
                </c:pt>
                <c:pt idx="249">
                  <c:v>324215</c:v>
                </c:pt>
                <c:pt idx="250">
                  <c:v>325300</c:v>
                </c:pt>
                <c:pt idx="251">
                  <c:v>325671</c:v>
                </c:pt>
                <c:pt idx="252">
                  <c:v>328110</c:v>
                </c:pt>
                <c:pt idx="253">
                  <c:v>331847</c:v>
                </c:pt>
                <c:pt idx="254">
                  <c:v>329715</c:v>
                </c:pt>
                <c:pt idx="255">
                  <c:v>327319</c:v>
                </c:pt>
                <c:pt idx="256">
                  <c:v>328289</c:v>
                </c:pt>
                <c:pt idx="257">
                  <c:v>327894</c:v>
                </c:pt>
                <c:pt idx="258">
                  <c:v>330068</c:v>
                </c:pt>
                <c:pt idx="259">
                  <c:v>329768</c:v>
                </c:pt>
                <c:pt idx="260">
                  <c:v>331214</c:v>
                </c:pt>
                <c:pt idx="261">
                  <c:v>331304</c:v>
                </c:pt>
                <c:pt idx="262">
                  <c:v>332174</c:v>
                </c:pt>
                <c:pt idx="263">
                  <c:v>334772</c:v>
                </c:pt>
                <c:pt idx="264">
                  <c:v>333704</c:v>
                </c:pt>
                <c:pt idx="265">
                  <c:v>336741</c:v>
                </c:pt>
                <c:pt idx="266">
                  <c:v>338208</c:v>
                </c:pt>
                <c:pt idx="267">
                  <c:v>341148</c:v>
                </c:pt>
                <c:pt idx="268">
                  <c:v>341774</c:v>
                </c:pt>
                <c:pt idx="269">
                  <c:v>342562</c:v>
                </c:pt>
                <c:pt idx="270">
                  <c:v>342903</c:v>
                </c:pt>
                <c:pt idx="271">
                  <c:v>345426</c:v>
                </c:pt>
                <c:pt idx="272">
                  <c:v>345318</c:v>
                </c:pt>
                <c:pt idx="273">
                  <c:v>346551</c:v>
                </c:pt>
                <c:pt idx="274">
                  <c:v>346656</c:v>
                </c:pt>
                <c:pt idx="275">
                  <c:v>344219</c:v>
                </c:pt>
                <c:pt idx="276">
                  <c:v>341152</c:v>
                </c:pt>
                <c:pt idx="277">
                  <c:v>341440</c:v>
                </c:pt>
                <c:pt idx="278">
                  <c:v>343998</c:v>
                </c:pt>
                <c:pt idx="279">
                  <c:v>344264</c:v>
                </c:pt>
                <c:pt idx="280">
                  <c:v>346941</c:v>
                </c:pt>
                <c:pt idx="281">
                  <c:v>347187</c:v>
                </c:pt>
                <c:pt idx="282">
                  <c:v>350764</c:v>
                </c:pt>
                <c:pt idx="283">
                  <c:v>350017</c:v>
                </c:pt>
                <c:pt idx="284">
                  <c:v>347614</c:v>
                </c:pt>
                <c:pt idx="285">
                  <c:v>347256</c:v>
                </c:pt>
                <c:pt idx="286">
                  <c:v>347778</c:v>
                </c:pt>
                <c:pt idx="287">
                  <c:v>349931</c:v>
                </c:pt>
                <c:pt idx="288">
                  <c:v>347668</c:v>
                </c:pt>
                <c:pt idx="289">
                  <c:v>349404</c:v>
                </c:pt>
                <c:pt idx="290">
                  <c:v>349791</c:v>
                </c:pt>
                <c:pt idx="291">
                  <c:v>351766</c:v>
                </c:pt>
                <c:pt idx="292">
                  <c:v>352784</c:v>
                </c:pt>
                <c:pt idx="293">
                  <c:v>356783</c:v>
                </c:pt>
                <c:pt idx="294">
                  <c:v>355106</c:v>
                </c:pt>
                <c:pt idx="295">
                  <c:v>354876</c:v>
                </c:pt>
                <c:pt idx="296">
                  <c:v>357222</c:v>
                </c:pt>
                <c:pt idx="297">
                  <c:v>358315</c:v>
                </c:pt>
                <c:pt idx="298">
                  <c:v>358672</c:v>
                </c:pt>
                <c:pt idx="299">
                  <c:v>361410</c:v>
                </c:pt>
                <c:pt idx="300">
                  <c:v>366585</c:v>
                </c:pt>
                <c:pt idx="301">
                  <c:v>367057</c:v>
                </c:pt>
                <c:pt idx="302">
                  <c:v>368272</c:v>
                </c:pt>
                <c:pt idx="303">
                  <c:v>369323</c:v>
                </c:pt>
                <c:pt idx="304">
                  <c:v>366527</c:v>
                </c:pt>
                <c:pt idx="305">
                  <c:v>367876</c:v>
                </c:pt>
                <c:pt idx="306">
                  <c:v>367728</c:v>
                </c:pt>
                <c:pt idx="307">
                  <c:v>370481</c:v>
                </c:pt>
                <c:pt idx="308">
                  <c:v>376369</c:v>
                </c:pt>
                <c:pt idx="309">
                  <c:v>376051</c:v>
                </c:pt>
                <c:pt idx="310">
                  <c:v>381716</c:v>
                </c:pt>
                <c:pt idx="311">
                  <c:v>384511</c:v>
                </c:pt>
                <c:pt idx="312">
                  <c:v>382986</c:v>
                </c:pt>
                <c:pt idx="313">
                  <c:v>385861</c:v>
                </c:pt>
                <c:pt idx="314">
                  <c:v>385772</c:v>
                </c:pt>
                <c:pt idx="315">
                  <c:v>385764</c:v>
                </c:pt>
                <c:pt idx="316">
                  <c:v>392669</c:v>
                </c:pt>
                <c:pt idx="317">
                  <c:v>391387</c:v>
                </c:pt>
                <c:pt idx="318">
                  <c:v>393827</c:v>
                </c:pt>
                <c:pt idx="319">
                  <c:v>394789</c:v>
                </c:pt>
                <c:pt idx="320">
                  <c:v>393463</c:v>
                </c:pt>
                <c:pt idx="321">
                  <c:v>397830</c:v>
                </c:pt>
                <c:pt idx="322">
                  <c:v>399145</c:v>
                </c:pt>
                <c:pt idx="323">
                  <c:v>388493</c:v>
                </c:pt>
                <c:pt idx="324">
                  <c:v>392701</c:v>
                </c:pt>
                <c:pt idx="325">
                  <c:v>392781</c:v>
                </c:pt>
                <c:pt idx="326">
                  <c:v>397587</c:v>
                </c:pt>
                <c:pt idx="327">
                  <c:v>399785</c:v>
                </c:pt>
                <c:pt idx="328">
                  <c:v>403398</c:v>
                </c:pt>
                <c:pt idx="329">
                  <c:v>403851</c:v>
                </c:pt>
                <c:pt idx="330">
                  <c:v>407200</c:v>
                </c:pt>
                <c:pt idx="331">
                  <c:v>408296</c:v>
                </c:pt>
                <c:pt idx="332">
                  <c:v>407535</c:v>
                </c:pt>
                <c:pt idx="333">
                  <c:v>408777</c:v>
                </c:pt>
                <c:pt idx="334">
                  <c:v>409726</c:v>
                </c:pt>
                <c:pt idx="335">
                  <c:v>413614</c:v>
                </c:pt>
                <c:pt idx="336">
                  <c:v>414267</c:v>
                </c:pt>
                <c:pt idx="337">
                  <c:v>413878</c:v>
                </c:pt>
                <c:pt idx="338">
                  <c:v>393751</c:v>
                </c:pt>
                <c:pt idx="339">
                  <c:v>336693</c:v>
                </c:pt>
                <c:pt idx="340">
                  <c:v>381626</c:v>
                </c:pt>
                <c:pt idx="341">
                  <c:v>412904</c:v>
                </c:pt>
                <c:pt idx="342">
                  <c:v>421417</c:v>
                </c:pt>
                <c:pt idx="343">
                  <c:v>425171</c:v>
                </c:pt>
                <c:pt idx="344">
                  <c:v>431983</c:v>
                </c:pt>
                <c:pt idx="345">
                  <c:v>430433</c:v>
                </c:pt>
                <c:pt idx="346">
                  <c:v>426447</c:v>
                </c:pt>
                <c:pt idx="347">
                  <c:v>429003</c:v>
                </c:pt>
                <c:pt idx="348">
                  <c:v>446473</c:v>
                </c:pt>
                <c:pt idx="349">
                  <c:v>436001</c:v>
                </c:pt>
                <c:pt idx="350">
                  <c:v>475805</c:v>
                </c:pt>
                <c:pt idx="351">
                  <c:v>477995</c:v>
                </c:pt>
                <c:pt idx="352">
                  <c:v>477118</c:v>
                </c:pt>
                <c:pt idx="353">
                  <c:v>486882</c:v>
                </c:pt>
                <c:pt idx="354">
                  <c:v>481516</c:v>
                </c:pt>
                <c:pt idx="355">
                  <c:v>488486</c:v>
                </c:pt>
                <c:pt idx="356">
                  <c:v>491553</c:v>
                </c:pt>
                <c:pt idx="357">
                  <c:v>498558</c:v>
                </c:pt>
                <c:pt idx="358">
                  <c:v>502877</c:v>
                </c:pt>
                <c:pt idx="359">
                  <c:v>501176</c:v>
                </c:pt>
                <c:pt idx="360">
                  <c:v>504428</c:v>
                </c:pt>
                <c:pt idx="361">
                  <c:v>510871</c:v>
                </c:pt>
                <c:pt idx="362">
                  <c:v>525362</c:v>
                </c:pt>
                <c:pt idx="363">
                  <c:v>532203</c:v>
                </c:pt>
                <c:pt idx="364">
                  <c:v>536643</c:v>
                </c:pt>
                <c:pt idx="365">
                  <c:v>541528</c:v>
                </c:pt>
                <c:pt idx="366">
                  <c:v>537880</c:v>
                </c:pt>
                <c:pt idx="367">
                  <c:v>538373</c:v>
                </c:pt>
                <c:pt idx="368">
                  <c:v>537491</c:v>
                </c:pt>
                <c:pt idx="369">
                  <c:v>541862</c:v>
                </c:pt>
                <c:pt idx="370">
                  <c:v>536108</c:v>
                </c:pt>
                <c:pt idx="371">
                  <c:v>532212</c:v>
                </c:pt>
                <c:pt idx="372">
                  <c:v>547880</c:v>
                </c:pt>
                <c:pt idx="373">
                  <c:v>543895</c:v>
                </c:pt>
                <c:pt idx="374">
                  <c:v>538675</c:v>
                </c:pt>
                <c:pt idx="375">
                  <c:v>542521</c:v>
                </c:pt>
                <c:pt idx="376">
                  <c:v>543792</c:v>
                </c:pt>
                <c:pt idx="377">
                  <c:v>544674</c:v>
                </c:pt>
                <c:pt idx="378">
                  <c:v>547943</c:v>
                </c:pt>
                <c:pt idx="379">
                  <c:v>553381</c:v>
                </c:pt>
                <c:pt idx="380">
                  <c:v>556575</c:v>
                </c:pt>
                <c:pt idx="381">
                  <c:v>555690</c:v>
                </c:pt>
                <c:pt idx="382">
                  <c:v>555244</c:v>
                </c:pt>
                <c:pt idx="383">
                  <c:v>556052</c:v>
                </c:pt>
                <c:pt idx="384">
                  <c:v>551100</c:v>
                </c:pt>
                <c:pt idx="385">
                  <c:v>553809</c:v>
                </c:pt>
                <c:pt idx="386">
                  <c:v>557426</c:v>
                </c:pt>
                <c:pt idx="387">
                  <c:v>558388</c:v>
                </c:pt>
                <c:pt idx="388">
                  <c:v>560134</c:v>
                </c:pt>
                <c:pt idx="389">
                  <c:v>563966</c:v>
                </c:pt>
                <c:pt idx="390">
                  <c:v>566007</c:v>
                </c:pt>
                <c:pt idx="391">
                  <c:v>564844</c:v>
                </c:pt>
                <c:pt idx="392">
                  <c:v>570796</c:v>
                </c:pt>
                <c:pt idx="393">
                  <c:v>572687</c:v>
                </c:pt>
                <c:pt idx="394">
                  <c:v>572288</c:v>
                </c:pt>
                <c:pt idx="395">
                  <c:v>577232</c:v>
                </c:pt>
                <c:pt idx="396">
                  <c:v>574070</c:v>
                </c:pt>
                <c:pt idx="397">
                  <c:v>577763</c:v>
                </c:pt>
                <c:pt idx="398">
                  <c:v>581017</c:v>
                </c:pt>
                <c:pt idx="399">
                  <c:v>581242</c:v>
                </c:pt>
                <c:pt idx="400">
                  <c:v>580210</c:v>
                </c:pt>
                <c:pt idx="401">
                  <c:v>586272</c:v>
                </c:pt>
                <c:pt idx="402">
                  <c:v>588742</c:v>
                </c:pt>
                <c:pt idx="403">
                  <c:v>592134</c:v>
                </c:pt>
                <c:pt idx="404">
                  <c:v>592652</c:v>
                </c:pt>
                <c:pt idx="405">
                  <c:v>593611</c:v>
                </c:pt>
                <c:pt idx="406">
                  <c:v>596008</c:v>
                </c:pt>
                <c:pt idx="407">
                  <c:v>596072</c:v>
                </c:pt>
                <c:pt idx="408">
                  <c:v>596884</c:v>
                </c:pt>
                <c:pt idx="409">
                  <c:v>602258</c:v>
                </c:pt>
                <c:pt idx="410">
                  <c:v>614158</c:v>
                </c:pt>
                <c:pt idx="411">
                  <c:v>618378</c:v>
                </c:pt>
                <c:pt idx="412">
                  <c:v>623444</c:v>
                </c:pt>
                <c:pt idx="413">
                  <c:v>625024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B16-4565-80CC-EC455817DE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36270671"/>
        <c:axId val="1246969872"/>
      </c:lineChart>
      <c:dateAx>
        <c:axId val="1336270671"/>
        <c:scaling>
          <c:orientation val="minMax"/>
        </c:scaling>
        <c:delete val="0"/>
        <c:axPos val="b"/>
        <c:numFmt formatCode="yyyy/mm/dd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595959"/>
                </a:solidFill>
                <a:latin typeface="Aptos Narrow"/>
                <a:ea typeface="Aptos Narrow"/>
                <a:cs typeface="Aptos Narrow"/>
              </a:defRPr>
            </a:pPr>
            <a:endParaRPr lang="en-US"/>
          </a:p>
        </c:txPr>
        <c:crossAx val="1246969872"/>
        <c:crosses val="autoZero"/>
        <c:auto val="0"/>
        <c:lblOffset val="100"/>
        <c:baseTimeUnit val="months"/>
      </c:dateAx>
      <c:valAx>
        <c:axId val="1246969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D9D9D9"/>
              </a:solidFill>
              <a:prstDash val="solid"/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595959"/>
                </a:solidFill>
                <a:latin typeface="Aptos Narrow"/>
                <a:ea typeface="Aptos Narrow"/>
                <a:cs typeface="Aptos Narrow"/>
              </a:defRPr>
            </a:pPr>
            <a:endParaRPr lang="en-US"/>
          </a:p>
        </c:txPr>
        <c:crossAx val="13362706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rgbClr val="D9D9D9"/>
      </a:solidFill>
      <a:prstDash val="solid"/>
      <a:round/>
    </a:ln>
    <a:effectLst/>
  </c:spPr>
  <c:txPr>
    <a:bodyPr/>
    <a:lstStyle/>
    <a:p>
      <a:pPr>
        <a:defRPr sz="900">
          <a:solidFill>
            <a:srgbClr val="595959"/>
          </a:solidFill>
          <a:latin typeface="Aptos Narrow"/>
          <a:ea typeface="Aptos Narrow"/>
          <a:cs typeface="Aptos Narrow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1F4E79"/>
                </a:solidFill>
                <a:latin typeface="Aptos Narrow"/>
                <a:ea typeface="Aptos Narrow"/>
                <a:cs typeface="Aptos Narrow"/>
              </a:defRPr>
            </a:pPr>
            <a:r>
              <a:rPr lang="en-US"/>
              <a:t>RETX — MoM % (bars) vs level (line, rhs)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1F4E79"/>
              </a:solidFill>
              <a:latin typeface="Aptos Narrow"/>
              <a:ea typeface="Aptos Narrow"/>
              <a:cs typeface="Aptos Narrow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RETX!$I$12</c:f>
              <c:strCache>
                <c:ptCount val="1"/>
                <c:pt idx="0">
                  <c:v>Frequency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RETX!$H$13:$H$24</c:f>
              <c:numCache>
                <c:formatCode>0.0000</c:formatCode>
                <c:ptCount val="12"/>
                <c:pt idx="0">
                  <c:v>-0.12171194196945713</c:v>
                </c:pt>
                <c:pt idx="1">
                  <c:v>-9.8515045612154434E-2</c:v>
                </c:pt>
                <c:pt idx="2">
                  <c:v>-7.5318149254851752E-2</c:v>
                </c:pt>
                <c:pt idx="3">
                  <c:v>-5.2121252897549056E-2</c:v>
                </c:pt>
                <c:pt idx="4">
                  <c:v>-2.892435654024636E-2</c:v>
                </c:pt>
                <c:pt idx="5">
                  <c:v>-5.7274601829436778E-3</c:v>
                </c:pt>
                <c:pt idx="6">
                  <c:v>1.7469436174359032E-2</c:v>
                </c:pt>
                <c:pt idx="7">
                  <c:v>4.0666332531661714E-2</c:v>
                </c:pt>
                <c:pt idx="8">
                  <c:v>6.3863228888964396E-2</c:v>
                </c:pt>
                <c:pt idx="9">
                  <c:v>8.7060125246267106E-2</c:v>
                </c:pt>
                <c:pt idx="10">
                  <c:v>0.11025702160356982</c:v>
                </c:pt>
                <c:pt idx="11">
                  <c:v>0.13345391796087247</c:v>
                </c:pt>
              </c:numCache>
            </c:numRef>
          </c:cat>
          <c:val>
            <c:numRef>
              <c:f>RETX!$I$13:$I$24</c:f>
              <c:numCache>
                <c:formatCode>General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36</c:v>
                </c:pt>
                <c:pt idx="6">
                  <c:v>357</c:v>
                </c:pt>
                <c:pt idx="7">
                  <c:v>13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2C-4EA1-934C-7796F6B304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36292479"/>
        <c:axId val="1246978032"/>
      </c:barChart>
      <c:catAx>
        <c:axId val="1336292479"/>
        <c:scaling>
          <c:orientation val="minMax"/>
        </c:scaling>
        <c:delete val="0"/>
        <c:axPos val="b"/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595959"/>
                </a:solidFill>
                <a:latin typeface="Aptos Narrow"/>
                <a:ea typeface="Aptos Narrow"/>
                <a:cs typeface="Aptos Narrow"/>
              </a:defRPr>
            </a:pPr>
            <a:endParaRPr lang="en-US"/>
          </a:p>
        </c:txPr>
        <c:crossAx val="1246978032"/>
        <c:crosses val="autoZero"/>
        <c:auto val="1"/>
        <c:lblAlgn val="ctr"/>
        <c:lblOffset val="100"/>
        <c:noMultiLvlLbl val="1"/>
      </c:catAx>
      <c:valAx>
        <c:axId val="1246978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D9D9D9"/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595959"/>
                </a:solidFill>
                <a:latin typeface="Aptos Narrow"/>
                <a:ea typeface="Aptos Narrow"/>
                <a:cs typeface="Aptos Narrow"/>
              </a:defRPr>
            </a:pPr>
            <a:endParaRPr lang="en-US"/>
          </a:p>
        </c:txPr>
        <c:crossAx val="1336292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595959"/>
              </a:solidFill>
              <a:latin typeface="Aptos Narrow"/>
              <a:ea typeface="Aptos Narrow"/>
              <a:cs typeface="Aptos Narrow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rgbClr val="D9D9D9"/>
      </a:solidFill>
      <a:prstDash val="solid"/>
      <a:round/>
    </a:ln>
    <a:effectLst/>
  </c:spPr>
  <c:txPr>
    <a:bodyPr/>
    <a:lstStyle/>
    <a:p>
      <a:pPr>
        <a:defRPr sz="900">
          <a:solidFill>
            <a:srgbClr val="595959"/>
          </a:solidFill>
          <a:latin typeface="Aptos Narrow"/>
          <a:ea typeface="Aptos Narrow"/>
          <a:cs typeface="Aptos Narrow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1F4E79"/>
                </a:solidFill>
                <a:latin typeface="Aptos Narrow"/>
                <a:ea typeface="Aptos Narrow"/>
                <a:cs typeface="Aptos Narrow"/>
              </a:defRPr>
            </a:pPr>
            <a:r>
              <a:rPr lang="en-US"/>
              <a:t>RETX — distribution of MoM % (histogram)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1F4E79"/>
              </a:solidFill>
              <a:latin typeface="Aptos Narrow"/>
              <a:ea typeface="Aptos Narrow"/>
              <a:cs typeface="Aptos Narrow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RETX!$V$8</c:f>
              <c:strCache>
                <c:ptCount val="1"/>
                <c:pt idx="0">
                  <c:v>Actual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RETX!$U$9:$U$11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cat>
          <c:val>
            <c:numRef>
              <c:f>RETX!$V$9:$V$11</c:f>
              <c:numCache>
                <c:formatCode>0.0%</c:formatCode>
                <c:ptCount val="3"/>
                <c:pt idx="0">
                  <c:v>0.92251815980629537</c:v>
                </c:pt>
                <c:pt idx="1">
                  <c:v>0.97578692493946728</c:v>
                </c:pt>
                <c:pt idx="2">
                  <c:v>0.98547215496368035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82-47FC-9ED0-62FF9D33C425}"/>
            </c:ext>
          </c:extLst>
        </c:ser>
        <c:ser>
          <c:idx val="1"/>
          <c:order val="1"/>
          <c:tx>
            <c:strRef>
              <c:f>RETX!$W$8</c:f>
              <c:strCache>
                <c:ptCount val="1"/>
                <c:pt idx="0">
                  <c:v>Normal %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RETX!$U$9:$U$11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cat>
          <c:val>
            <c:numRef>
              <c:f>RETX!$W$9:$W$11</c:f>
              <c:numCache>
                <c:formatCode>0.0%</c:formatCode>
                <c:ptCount val="3"/>
                <c:pt idx="0">
                  <c:v>0.68200000000000005</c:v>
                </c:pt>
                <c:pt idx="1">
                  <c:v>0.95399999999999996</c:v>
                </c:pt>
                <c:pt idx="2">
                  <c:v>0.997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DD-4C19-A0FD-FBF1420DB1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"/>
        <c:overlap val="-27"/>
        <c:axId val="1336365791"/>
        <c:axId val="1246980912"/>
      </c:barChart>
      <c:catAx>
        <c:axId val="1336365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595959"/>
                </a:solidFill>
                <a:latin typeface="Aptos Narrow"/>
                <a:ea typeface="Aptos Narrow"/>
                <a:cs typeface="Aptos Narrow"/>
              </a:defRPr>
            </a:pPr>
            <a:endParaRPr lang="en-US"/>
          </a:p>
        </c:txPr>
        <c:crossAx val="1246980912"/>
        <c:crosses val="autoZero"/>
        <c:auto val="1"/>
        <c:lblAlgn val="ctr"/>
        <c:lblOffset val="100"/>
        <c:noMultiLvlLbl val="0"/>
      </c:catAx>
      <c:valAx>
        <c:axId val="124698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D9D9D9"/>
              </a:solidFill>
              <a:prstDash val="solid"/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595959"/>
                </a:solidFill>
                <a:latin typeface="Aptos Narrow"/>
                <a:ea typeface="Aptos Narrow"/>
                <a:cs typeface="Aptos Narrow"/>
              </a:defRPr>
            </a:pPr>
            <a:endParaRPr lang="en-US"/>
          </a:p>
        </c:txPr>
        <c:crossAx val="1336365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595959"/>
              </a:solidFill>
              <a:latin typeface="Aptos Narrow"/>
              <a:ea typeface="Aptos Narrow"/>
              <a:cs typeface="Aptos Narrow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rgbClr val="D9D9D9"/>
      </a:solidFill>
      <a:prstDash val="solid"/>
      <a:round/>
    </a:ln>
    <a:effectLst/>
  </c:spPr>
  <c:txPr>
    <a:bodyPr/>
    <a:lstStyle/>
    <a:p>
      <a:pPr>
        <a:defRPr sz="900">
          <a:solidFill>
            <a:srgbClr val="595959"/>
          </a:solidFill>
          <a:latin typeface="Aptos Narrow"/>
          <a:ea typeface="Aptos Narrow"/>
          <a:cs typeface="Aptos Narrow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1.xml"/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4.xml"/><Relationship Id="rId2" Type="http://schemas.openxmlformats.org/officeDocument/2006/relationships/chart" Target="../charts/chart23.xml"/><Relationship Id="rId1" Type="http://schemas.openxmlformats.org/officeDocument/2006/relationships/chart" Target="../charts/chart22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7.xml"/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76200</xdr:colOff>
      <xdr:row>31</xdr:row>
      <xdr:rowOff>161925</xdr:rowOff>
    </xdr:from>
    <xdr:to>
      <xdr:col>15</xdr:col>
      <xdr:colOff>77787</xdr:colOff>
      <xdr:row>49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DB7A25-81FE-33B7-AD99-21E6019F50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114300</xdr:colOff>
      <xdr:row>50</xdr:row>
      <xdr:rowOff>169862</xdr:rowOff>
    </xdr:from>
    <xdr:to>
      <xdr:col>15</xdr:col>
      <xdr:colOff>115887</xdr:colOff>
      <xdr:row>68</xdr:row>
      <xdr:rowOff>150812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A14BF96-9977-7202-C3D3-FFE6E292F2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85725</xdr:colOff>
      <xdr:row>69</xdr:row>
      <xdr:rowOff>87312</xdr:rowOff>
    </xdr:from>
    <xdr:to>
      <xdr:col>15</xdr:col>
      <xdr:colOff>87312</xdr:colOff>
      <xdr:row>87</xdr:row>
      <xdr:rowOff>68262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607FD1A-5193-7028-0F7E-CA84142C3B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26</xdr:row>
      <xdr:rowOff>0</xdr:rowOff>
    </xdr:from>
    <xdr:to>
      <xdr:col>14</xdr:col>
      <xdr:colOff>525462</xdr:colOff>
      <xdr:row>43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67CC09B-2209-EAC3-2F0F-6ACFF17EAB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44</xdr:row>
      <xdr:rowOff>146050</xdr:rowOff>
    </xdr:from>
    <xdr:to>
      <xdr:col>14</xdr:col>
      <xdr:colOff>525462</xdr:colOff>
      <xdr:row>62</xdr:row>
      <xdr:rowOff>127000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0FC8F22-5BE4-875B-B7FB-0855F47ADF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0</xdr:colOff>
      <xdr:row>63</xdr:row>
      <xdr:rowOff>111125</xdr:rowOff>
    </xdr:from>
    <xdr:to>
      <xdr:col>14</xdr:col>
      <xdr:colOff>525462</xdr:colOff>
      <xdr:row>81</xdr:row>
      <xdr:rowOff>92075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7E71940-AFF6-B158-757A-C6AAFA4D88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26</xdr:row>
      <xdr:rowOff>0</xdr:rowOff>
    </xdr:from>
    <xdr:to>
      <xdr:col>14</xdr:col>
      <xdr:colOff>525462</xdr:colOff>
      <xdr:row>43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7D95E31-DD80-6BA6-1C2E-EB4CF3444D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44</xdr:row>
      <xdr:rowOff>146050</xdr:rowOff>
    </xdr:from>
    <xdr:to>
      <xdr:col>14</xdr:col>
      <xdr:colOff>525462</xdr:colOff>
      <xdr:row>62</xdr:row>
      <xdr:rowOff>127000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8714DEA-4EAA-69DC-D6C8-169D960C46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0</xdr:colOff>
      <xdr:row>63</xdr:row>
      <xdr:rowOff>111125</xdr:rowOff>
    </xdr:from>
    <xdr:to>
      <xdr:col>14</xdr:col>
      <xdr:colOff>525462</xdr:colOff>
      <xdr:row>81</xdr:row>
      <xdr:rowOff>92075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8D0EFC9-A7F0-00E6-E382-B75033A02D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26</xdr:row>
      <xdr:rowOff>0</xdr:rowOff>
    </xdr:from>
    <xdr:to>
      <xdr:col>14</xdr:col>
      <xdr:colOff>525462</xdr:colOff>
      <xdr:row>43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59C696-4659-E774-A876-5237D0ED88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44</xdr:row>
      <xdr:rowOff>146050</xdr:rowOff>
    </xdr:from>
    <xdr:to>
      <xdr:col>14</xdr:col>
      <xdr:colOff>525462</xdr:colOff>
      <xdr:row>62</xdr:row>
      <xdr:rowOff>127000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5D60203-0D71-249C-865A-DABC40CD3D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0</xdr:colOff>
      <xdr:row>63</xdr:row>
      <xdr:rowOff>111125</xdr:rowOff>
    </xdr:from>
    <xdr:to>
      <xdr:col>14</xdr:col>
      <xdr:colOff>525462</xdr:colOff>
      <xdr:row>81</xdr:row>
      <xdr:rowOff>92075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3A6D02D-F987-9493-79DE-890E196E76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26</xdr:row>
      <xdr:rowOff>0</xdr:rowOff>
    </xdr:from>
    <xdr:to>
      <xdr:col>14</xdr:col>
      <xdr:colOff>392112</xdr:colOff>
      <xdr:row>43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D85E21-0C0E-E8B4-AF5D-FE314BD9E0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44</xdr:row>
      <xdr:rowOff>150812</xdr:rowOff>
    </xdr:from>
    <xdr:to>
      <xdr:col>14</xdr:col>
      <xdr:colOff>392112</xdr:colOff>
      <xdr:row>62</xdr:row>
      <xdr:rowOff>131762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87D0B66-C834-5D83-FBA5-24F6F72610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0</xdr:colOff>
      <xdr:row>63</xdr:row>
      <xdr:rowOff>111125</xdr:rowOff>
    </xdr:from>
    <xdr:to>
      <xdr:col>14</xdr:col>
      <xdr:colOff>392112</xdr:colOff>
      <xdr:row>81</xdr:row>
      <xdr:rowOff>92075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3836517-A08F-121E-F228-79ABA93BB9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26</xdr:row>
      <xdr:rowOff>0</xdr:rowOff>
    </xdr:from>
    <xdr:to>
      <xdr:col>14</xdr:col>
      <xdr:colOff>525462</xdr:colOff>
      <xdr:row>43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660225-A98E-48DC-FAC0-0B4E18A111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44</xdr:row>
      <xdr:rowOff>146050</xdr:rowOff>
    </xdr:from>
    <xdr:to>
      <xdr:col>14</xdr:col>
      <xdr:colOff>525462</xdr:colOff>
      <xdr:row>62</xdr:row>
      <xdr:rowOff>127000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49FD515-1B8D-6200-FBE7-D2427773D9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0</xdr:colOff>
      <xdr:row>63</xdr:row>
      <xdr:rowOff>111125</xdr:rowOff>
    </xdr:from>
    <xdr:to>
      <xdr:col>14</xdr:col>
      <xdr:colOff>525462</xdr:colOff>
      <xdr:row>81</xdr:row>
      <xdr:rowOff>92075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A52D15D-D10D-9C4B-40EF-E1DE4C17E7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26</xdr:row>
      <xdr:rowOff>0</xdr:rowOff>
    </xdr:from>
    <xdr:to>
      <xdr:col>14</xdr:col>
      <xdr:colOff>525462</xdr:colOff>
      <xdr:row>43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BD7C747-D2FD-4CEA-6D82-D47653C6B8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44</xdr:row>
      <xdr:rowOff>146050</xdr:rowOff>
    </xdr:from>
    <xdr:to>
      <xdr:col>14</xdr:col>
      <xdr:colOff>525462</xdr:colOff>
      <xdr:row>62</xdr:row>
      <xdr:rowOff>127000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FA4F706-F2F9-E292-B9F1-F88DACCB00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0</xdr:colOff>
      <xdr:row>63</xdr:row>
      <xdr:rowOff>111125</xdr:rowOff>
    </xdr:from>
    <xdr:to>
      <xdr:col>14</xdr:col>
      <xdr:colOff>525462</xdr:colOff>
      <xdr:row>81</xdr:row>
      <xdr:rowOff>92075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9AC09C3-87AB-4F5E-B4EA-C94984768F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26</xdr:row>
      <xdr:rowOff>0</xdr:rowOff>
    </xdr:from>
    <xdr:to>
      <xdr:col>14</xdr:col>
      <xdr:colOff>525462</xdr:colOff>
      <xdr:row>43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E6B5B0-C04F-D921-3AD7-6372CBFE91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44</xdr:row>
      <xdr:rowOff>146050</xdr:rowOff>
    </xdr:from>
    <xdr:to>
      <xdr:col>14</xdr:col>
      <xdr:colOff>525462</xdr:colOff>
      <xdr:row>62</xdr:row>
      <xdr:rowOff>127000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BE16F5E-3E48-7E76-3202-BB4A2980EC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0</xdr:colOff>
      <xdr:row>63</xdr:row>
      <xdr:rowOff>111125</xdr:rowOff>
    </xdr:from>
    <xdr:to>
      <xdr:col>14</xdr:col>
      <xdr:colOff>525462</xdr:colOff>
      <xdr:row>81</xdr:row>
      <xdr:rowOff>92075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A49D935-B823-3C0F-9120-56C3CC55D0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26</xdr:row>
      <xdr:rowOff>0</xdr:rowOff>
    </xdr:from>
    <xdr:to>
      <xdr:col>14</xdr:col>
      <xdr:colOff>525462</xdr:colOff>
      <xdr:row>43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DAA5917-9BAE-7C75-BDC6-C5336838F9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44</xdr:row>
      <xdr:rowOff>146050</xdr:rowOff>
    </xdr:from>
    <xdr:to>
      <xdr:col>14</xdr:col>
      <xdr:colOff>525462</xdr:colOff>
      <xdr:row>62</xdr:row>
      <xdr:rowOff>127000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C4B8613-F8E2-96B6-801F-D47C7D7A40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0</xdr:colOff>
      <xdr:row>63</xdr:row>
      <xdr:rowOff>111125</xdr:rowOff>
    </xdr:from>
    <xdr:to>
      <xdr:col>14</xdr:col>
      <xdr:colOff>525462</xdr:colOff>
      <xdr:row>81</xdr:row>
      <xdr:rowOff>92075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7A0F072-D53E-F928-7C4A-03D5A3E9C8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0561C0-0BA2-45D3-A27D-643FB102016C}" name="PHILLY_Data" displayName="PHILLY_Data" ref="A4:C703" totalsRowShown="0" headerRowDxfId="7" dataDxfId="6">
  <autoFilter ref="A4:C703" xr:uid="{D00561C0-0BA2-45D3-A27D-643FB102016C}"/>
  <tableColumns count="3">
    <tableColumn id="1" xr3:uid="{7D5408FB-D084-4921-8402-C36225A2D290}" name="Date" dataDxfId="5"/>
    <tableColumn id="2" xr3:uid="{1F813500-A34E-49CA-A098-C3C43ABCD460}" name="Value" dataDxfId="4"/>
    <tableColumn id="3" xr3:uid="{70B895E3-F8A1-4914-9E85-226452F9C058}" name="Chg MoM (pts)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2DDBBF5-82C7-46E7-8E11-8FE90573E3F6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c9bb522d-dbb6-4005-93f6-151bb7fce613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F3487-4863-44B1-95B9-D0C3590EF891}">
  <dimension ref="B2:L23"/>
  <sheetViews>
    <sheetView tabSelected="1" topLeftCell="D1" workbookViewId="0">
      <selection activeCell="L19" sqref="L19"/>
    </sheetView>
  </sheetViews>
  <sheetFormatPr defaultRowHeight="14.25" x14ac:dyDescent="0.45"/>
  <cols>
    <col min="2" max="2" width="73.06640625" bestFit="1" customWidth="1"/>
    <col min="3" max="3" width="26.6640625" customWidth="1"/>
    <col min="4" max="4" width="12.46484375" customWidth="1"/>
    <col min="5" max="5" width="8.86328125" customWidth="1"/>
    <col min="6" max="6" width="19.53125" customWidth="1"/>
    <col min="7" max="7" width="11.53125" customWidth="1"/>
    <col min="8" max="8" width="13.33203125" customWidth="1"/>
    <col min="9" max="9" width="10.6640625" customWidth="1"/>
    <col min="10" max="10" width="8.86328125" customWidth="1"/>
    <col min="11" max="11" width="8" customWidth="1"/>
    <col min="12" max="12" width="40.33203125" customWidth="1"/>
  </cols>
  <sheetData>
    <row r="2" spans="2:12" ht="21" x14ac:dyDescent="0.65">
      <c r="B2" s="44" t="s">
        <v>74</v>
      </c>
    </row>
    <row r="3" spans="2:12" ht="29.25" customHeight="1" x14ac:dyDescent="0.45">
      <c r="B3" s="68" t="s">
        <v>115</v>
      </c>
      <c r="C3" s="69"/>
      <c r="D3" s="69"/>
      <c r="E3" s="69"/>
      <c r="F3" s="69"/>
      <c r="G3" s="69"/>
      <c r="H3" s="69"/>
      <c r="I3" s="69"/>
      <c r="J3" s="69"/>
      <c r="K3" s="69"/>
      <c r="L3" s="69"/>
    </row>
    <row r="4" spans="2:12" ht="14.65" thickBot="1" x14ac:dyDescent="0.5"/>
    <row r="5" spans="2:12" x14ac:dyDescent="0.45">
      <c r="B5" s="45" t="s">
        <v>75</v>
      </c>
      <c r="C5" s="46" t="s">
        <v>76</v>
      </c>
      <c r="D5" s="46" t="s">
        <v>77</v>
      </c>
      <c r="E5" s="46" t="s">
        <v>78</v>
      </c>
      <c r="F5" s="46" t="s">
        <v>79</v>
      </c>
      <c r="G5" s="46" t="s">
        <v>80</v>
      </c>
      <c r="H5" s="46" t="s">
        <v>5</v>
      </c>
      <c r="I5" s="46" t="s">
        <v>81</v>
      </c>
      <c r="J5" s="46" t="s">
        <v>82</v>
      </c>
      <c r="K5" s="46" t="s">
        <v>83</v>
      </c>
      <c r="L5" s="47" t="s">
        <v>11</v>
      </c>
    </row>
    <row r="6" spans="2:12" x14ac:dyDescent="0.45">
      <c r="B6" s="48">
        <v>1</v>
      </c>
      <c r="C6" s="49" t="s">
        <v>84</v>
      </c>
      <c r="D6" s="49">
        <v>2.92</v>
      </c>
      <c r="E6" s="49" t="s">
        <v>85</v>
      </c>
      <c r="F6" s="49" t="str">
        <f>TEXT(MIN(PHILLY!$A$5:$A$703),"yyyy")&amp;"–"&amp;TEXT(MAX(PHILLY!$A$5:$A$703),"yyyy-mm")&amp;" ("&amp;COUNT(PHILLY!$B$5:$B$703)&amp;")"</f>
        <v>1968–2026-07 (699)</v>
      </c>
      <c r="G6" s="50">
        <f>MAX(PHILLY!$A$5:$A$703)</f>
        <v>46204</v>
      </c>
      <c r="H6" s="64">
        <f>PHILLY!$B$703</f>
        <v>41.4</v>
      </c>
      <c r="I6" s="49" t="s">
        <v>86</v>
      </c>
      <c r="J6" s="65">
        <f>PHILLY!$G$6</f>
        <v>1.7450718239405192</v>
      </c>
      <c r="K6" s="51">
        <f>PHILLY!$G$7</f>
        <v>0.97499999999999998</v>
      </c>
      <c r="L6" s="52" t="str">
        <f>PHILLY!$G$9</f>
        <v>STRONG vs history</v>
      </c>
    </row>
    <row r="7" spans="2:12" x14ac:dyDescent="0.45">
      <c r="B7" s="53">
        <v>2</v>
      </c>
      <c r="C7" s="54" t="s">
        <v>87</v>
      </c>
      <c r="D7" s="54">
        <v>2.77</v>
      </c>
      <c r="E7" s="54" t="s">
        <v>88</v>
      </c>
      <c r="F7" s="54" t="str">
        <f>TEXT(MIN(CLAIMS!$A$5:$A$3113),"yyyy")&amp;"–"&amp;TEXT(MAX(CLAIMS!$A$5:$A$3113),"yyyy-mm")&amp;" ("&amp;COUNT(CLAIMS!$B$5:$B$3113)&amp;")"</f>
        <v>1967–2026-08 (3109)</v>
      </c>
      <c r="G7" s="55">
        <f>MAX(CLAIMS!$A$5:$A$3113)</f>
        <v>46235</v>
      </c>
      <c r="H7" s="66">
        <f>CLAIMS!$B$3113</f>
        <v>199000</v>
      </c>
      <c r="I7" s="54" t="s">
        <v>86</v>
      </c>
      <c r="J7" s="67">
        <f>CLAIMS!$G$6</f>
        <v>-0.67270243816423458</v>
      </c>
      <c r="K7" s="56">
        <f>CLAIMS!$G$7</f>
        <v>2.5000000000000001E-2</v>
      </c>
      <c r="L7" s="57" t="str">
        <f>CLAIMS!$G$9</f>
        <v>NEUTRAL vs history (inverted: high = weakness)</v>
      </c>
    </row>
    <row r="8" spans="2:12" x14ac:dyDescent="0.45">
      <c r="B8" s="48">
        <v>3</v>
      </c>
      <c r="C8" s="49" t="s">
        <v>89</v>
      </c>
      <c r="D8" s="49">
        <v>2.06</v>
      </c>
      <c r="E8" s="49" t="s">
        <v>90</v>
      </c>
      <c r="F8" s="49" t="str">
        <f>TEXT(MIN(UMCSI!$A$5:$A$679),"yyyy")&amp;"–"&amp;TEXT(MAX(UMCSI!$A$5:$A$679),"yyyy-mm")&amp;" ("&amp;COUNT(UMCSI!$B$5:$B$679)&amp;")"</f>
        <v>1952–2026-07 (675)</v>
      </c>
      <c r="G8" s="50">
        <f>MAX(UMCSI!$A$5:$A$679)</f>
        <v>46204</v>
      </c>
      <c r="H8" s="64">
        <f>UMCSI!$B$679</f>
        <v>55.2</v>
      </c>
      <c r="I8" s="49" t="s">
        <v>86</v>
      </c>
      <c r="J8" s="65">
        <f>UMCSI!$G$6</f>
        <v>-2.1318490072670349</v>
      </c>
      <c r="K8" s="51">
        <f>UMCSI!$G$7</f>
        <v>0.02</v>
      </c>
      <c r="L8" s="52" t="str">
        <f>UMCSI!$G$9</f>
        <v>WEAK vs history</v>
      </c>
    </row>
    <row r="9" spans="2:12" x14ac:dyDescent="0.45">
      <c r="B9" s="53">
        <v>4</v>
      </c>
      <c r="C9" s="54" t="s">
        <v>91</v>
      </c>
      <c r="D9" s="54">
        <v>1.53</v>
      </c>
      <c r="E9" s="54" t="s">
        <v>92</v>
      </c>
      <c r="F9" s="54" t="str">
        <f>TEXT(MIN(CHIPMI!$A$5:$A$716),"yyyy")&amp;"–"&amp;TEXT(MAX(CHIPMI!$A$5:$A$716),"yyyy-mm")&amp;" ("&amp;COUNT(CHIPMI!$B$5:$B$716)&amp;")"</f>
        <v>1967–2026-06 (712)</v>
      </c>
      <c r="G9" s="55">
        <f>MAX(CHIPMI!$A$5:$A$716)</f>
        <v>46174</v>
      </c>
      <c r="H9" s="67">
        <f>CHIPMI!$B$716</f>
        <v>-0.02</v>
      </c>
      <c r="I9" s="54" t="s">
        <v>86</v>
      </c>
      <c r="J9" s="67">
        <f>CHIPMI!$G$6</f>
        <v>-1.9659416618991597E-2</v>
      </c>
      <c r="K9" s="56">
        <f>CHIPMI!$G$7</f>
        <v>0.42599999999999999</v>
      </c>
      <c r="L9" s="57" t="str">
        <f>CHIPMI!$G$9</f>
        <v>NEUTRAL vs history</v>
      </c>
    </row>
    <row r="10" spans="2:12" x14ac:dyDescent="0.45">
      <c r="B10" s="48">
        <v>5</v>
      </c>
      <c r="C10" s="49" t="s">
        <v>93</v>
      </c>
      <c r="D10" s="49">
        <v>1.19</v>
      </c>
      <c r="E10" s="49" t="s">
        <v>94</v>
      </c>
      <c r="F10" s="49" t="str">
        <f>TEXT(MIN(NFP!$A$5:$A$1055),"yyyy")&amp;"–"&amp;TEXT(MAX(NFP!$A$5:$A$1055),"yyyy-mm")&amp;" ("&amp;COUNT(NFP!$B$5:$B$1055)&amp;")"</f>
        <v>1939–2026-07 (1051)</v>
      </c>
      <c r="G10" s="50">
        <f>MAX(NFP!$A$5:$A$1055)</f>
        <v>46204</v>
      </c>
      <c r="H10" s="70">
        <f>NFP!$B$1055</f>
        <v>158858</v>
      </c>
      <c r="I10" s="49" t="s">
        <v>95</v>
      </c>
      <c r="J10" s="65">
        <f>NFP!$G$6</f>
        <v>-0.20873632421572652</v>
      </c>
      <c r="K10" s="51">
        <f>NFP!$G$7</f>
        <v>0.193</v>
      </c>
      <c r="L10" s="52" t="str">
        <f>NFP!$G$9</f>
        <v>NEUTRAL vs history</v>
      </c>
    </row>
    <row r="11" spans="2:12" x14ac:dyDescent="0.45">
      <c r="B11" s="53">
        <v>6</v>
      </c>
      <c r="C11" s="54" t="s">
        <v>96</v>
      </c>
      <c r="D11" s="54">
        <v>1.1499999999999999</v>
      </c>
      <c r="E11" s="54" t="s">
        <v>97</v>
      </c>
      <c r="F11" s="54" t="str">
        <f>TEXT(MIN(UNEMP!$A$5:$A$946),"yyyy")&amp;"–"&amp;TEXT(MAX(UNEMP!$A$5:$A$946),"yyyy-mm")&amp;" ("&amp;COUNT(UNEMP!$B$5:$B$946)&amp;")"</f>
        <v>1948–2026-07 (942)</v>
      </c>
      <c r="G11" s="55">
        <f>MAX(UNEMP!$A$5:$A$946)</f>
        <v>46204</v>
      </c>
      <c r="H11" s="54">
        <f>UNEMP!$B$946</f>
        <v>4.0999999999999996</v>
      </c>
      <c r="I11" s="54" t="s">
        <v>86</v>
      </c>
      <c r="J11" s="67">
        <f>UNEMP!$G$6</f>
        <v>-0.91327507322708157</v>
      </c>
      <c r="K11" s="56">
        <f>UNEMP!$G$7</f>
        <v>0.183</v>
      </c>
      <c r="L11" s="57" t="str">
        <f>UNEMP!$G$9</f>
        <v>NEUTRAL vs history (inverted: high = weakness)</v>
      </c>
    </row>
    <row r="12" spans="2:12" x14ac:dyDescent="0.45">
      <c r="B12" s="48">
        <v>7</v>
      </c>
      <c r="C12" s="49" t="s">
        <v>98</v>
      </c>
      <c r="D12" s="49">
        <v>1</v>
      </c>
      <c r="E12" s="49" t="s">
        <v>99</v>
      </c>
      <c r="F12" s="49" t="str">
        <f>TEXT(MIN(CAPU!$A$5:$A$718),"yyyy")&amp;"–"&amp;TEXT(MAX(CAPU!$A$5:$A$718),"yyyy-mm")&amp;" ("&amp;COUNT(CAPU!$B$5:$B$718)&amp;")"</f>
        <v>1967–2026-06 (714)</v>
      </c>
      <c r="G12" s="50">
        <f>MAX(CAPU!$A$5:$A$718)</f>
        <v>46174</v>
      </c>
      <c r="H12" s="64">
        <f>CAPU!$B$718</f>
        <v>76.099999999999994</v>
      </c>
      <c r="I12" s="49" t="s">
        <v>86</v>
      </c>
      <c r="J12" s="65">
        <f>CAPU!$G$6</f>
        <v>-0.88093046859934832</v>
      </c>
      <c r="K12" s="51">
        <f>CAPU!$G$7</f>
        <v>0.17899999999999999</v>
      </c>
      <c r="L12" s="52" t="str">
        <f>CAPU!$G$9</f>
        <v>NEUTRAL vs history</v>
      </c>
    </row>
    <row r="13" spans="2:12" x14ac:dyDescent="0.45">
      <c r="B13" s="53">
        <v>8</v>
      </c>
      <c r="C13" s="54" t="s">
        <v>100</v>
      </c>
      <c r="D13" s="54">
        <v>0.99</v>
      </c>
      <c r="E13" s="54" t="s">
        <v>101</v>
      </c>
      <c r="F13" s="54" t="str">
        <f>TEXT(MIN(ISM!$A$5:$A$947),"yyyy")&amp;"–"&amp;TEXT(MAX(ISM!$A$5:$A$947),"yyyy-mm")&amp;" ("&amp;COUNT(ISM!$B$5:$B$947)&amp;")"</f>
        <v>1948–2026-07 (943)</v>
      </c>
      <c r="G13" s="55">
        <f>MAX(ISM!$A$5:$A$947)</f>
        <v>46204</v>
      </c>
      <c r="H13" s="67">
        <f>ISM!$B$947</f>
        <v>55.6</v>
      </c>
      <c r="I13" s="54" t="s">
        <v>86</v>
      </c>
      <c r="J13" s="67">
        <f>ISM!$G$6</f>
        <v>0.38886832952778472</v>
      </c>
      <c r="K13" s="56">
        <f>ISM!$G$7</f>
        <v>0.65800000000000003</v>
      </c>
      <c r="L13" s="57" t="str">
        <f>ISM!$G$9</f>
        <v>NEUTRAL vs history</v>
      </c>
    </row>
    <row r="14" spans="2:12" x14ac:dyDescent="0.45">
      <c r="B14" s="48">
        <v>9</v>
      </c>
      <c r="C14" s="49" t="s">
        <v>102</v>
      </c>
      <c r="D14" s="49">
        <v>0.87</v>
      </c>
      <c r="E14" s="49" t="s">
        <v>90</v>
      </c>
      <c r="F14" s="49" t="str">
        <f>TEXT(MIN(UMCSI!$A$5:$A$679),"yyyy")&amp;"–"&amp;TEXT(MAX(UMCSI!$A$5:$A$679),"yyyy-mm")&amp;" ("&amp;COUNT(UMCSI!$B$5:$B$679)&amp;")"</f>
        <v>1952–2026-07 (675)</v>
      </c>
      <c r="G14" s="50">
        <f>MAX(UMCSI!$A$5:$A$679)</f>
        <v>46204</v>
      </c>
      <c r="H14" s="64">
        <f>UMCSI!$B$679</f>
        <v>55.2</v>
      </c>
      <c r="I14" s="49" t="s">
        <v>86</v>
      </c>
      <c r="J14" s="65">
        <f>UMCSI!$G$6</f>
        <v>-2.1318490072670349</v>
      </c>
      <c r="K14" s="51">
        <f>UMCSI!$G$7</f>
        <v>0.02</v>
      </c>
      <c r="L14" s="52" t="str">
        <f>UMCSI!$G$9</f>
        <v>WEAK vs history</v>
      </c>
    </row>
    <row r="15" spans="2:12" ht="14.65" thickBot="1" x14ac:dyDescent="0.5">
      <c r="B15" s="58">
        <v>10</v>
      </c>
      <c r="C15" s="59" t="s">
        <v>103</v>
      </c>
      <c r="D15" s="59">
        <v>0.69</v>
      </c>
      <c r="E15" s="59" t="s">
        <v>104</v>
      </c>
      <c r="F15" s="59" t="str">
        <f>TEXT(MIN(RETX!$A$5:$A$418),"yyyy")&amp;"–"&amp;TEXT(MAX(RETX!$A$5:$A$418),"yyyy-mm")&amp;" ("&amp;COUNT(RETX!$B$5:$B$418)&amp;")"</f>
        <v>1992–2026-06 (414)</v>
      </c>
      <c r="G15" s="60">
        <f>MAX(RETX!$A$5:$A$418)</f>
        <v>46174</v>
      </c>
      <c r="H15" s="73">
        <f>RETX!$B$418</f>
        <v>625024</v>
      </c>
      <c r="I15" s="59" t="s">
        <v>105</v>
      </c>
      <c r="J15" s="74">
        <f>RETX!$G$6</f>
        <v>0.42287305507038964</v>
      </c>
      <c r="K15" s="61">
        <f>RETX!$G$7</f>
        <v>0.77500000000000002</v>
      </c>
      <c r="L15" s="62" t="str">
        <f>RETX!$G$9</f>
        <v>NEUTRAL vs history</v>
      </c>
    </row>
    <row r="17" spans="2:12" ht="14.65" thickBot="1" x14ac:dyDescent="0.5">
      <c r="B17" s="63" t="s">
        <v>106</v>
      </c>
    </row>
    <row r="18" spans="2:12" ht="28.5" x14ac:dyDescent="0.45">
      <c r="B18" s="69" t="s">
        <v>107</v>
      </c>
      <c r="C18" s="69"/>
      <c r="D18" s="69"/>
      <c r="E18" s="69"/>
      <c r="F18" s="69"/>
      <c r="G18" s="69"/>
      <c r="H18" s="69"/>
      <c r="I18" s="69"/>
      <c r="J18" s="69"/>
      <c r="K18" s="69"/>
      <c r="L18" s="69"/>
    </row>
    <row r="19" spans="2:12" ht="42.75" x14ac:dyDescent="0.45">
      <c r="B19" s="69" t="s">
        <v>116</v>
      </c>
      <c r="C19" s="69"/>
      <c r="D19" s="69"/>
      <c r="E19" s="69"/>
      <c r="F19" s="69"/>
      <c r="G19" s="69"/>
      <c r="H19" s="69"/>
      <c r="I19" s="69"/>
      <c r="J19" s="69"/>
      <c r="K19" s="69"/>
      <c r="L19" s="69"/>
    </row>
    <row r="20" spans="2:12" ht="28.5" x14ac:dyDescent="0.45">
      <c r="B20" s="69" t="s">
        <v>108</v>
      </c>
      <c r="C20" s="69"/>
      <c r="D20" s="69"/>
      <c r="E20" s="69"/>
      <c r="F20" s="69"/>
      <c r="G20" s="69"/>
      <c r="H20" s="69"/>
      <c r="I20" s="69"/>
      <c r="J20" s="69"/>
      <c r="K20" s="69"/>
      <c r="L20" s="69"/>
    </row>
    <row r="21" spans="2:12" ht="28.5" x14ac:dyDescent="0.45">
      <c r="B21" s="69" t="s">
        <v>109</v>
      </c>
      <c r="C21" s="69"/>
      <c r="D21" s="69"/>
      <c r="E21" s="69"/>
      <c r="F21" s="69"/>
      <c r="G21" s="69"/>
      <c r="H21" s="69"/>
      <c r="I21" s="69"/>
      <c r="J21" s="69"/>
      <c r="K21" s="69"/>
      <c r="L21" s="69"/>
    </row>
    <row r="22" spans="2:12" ht="28.5" x14ac:dyDescent="0.45">
      <c r="B22" s="69" t="s">
        <v>110</v>
      </c>
      <c r="C22" s="69"/>
      <c r="D22" s="69"/>
      <c r="E22" s="69"/>
      <c r="F22" s="69"/>
      <c r="G22" s="69"/>
      <c r="H22" s="69"/>
      <c r="I22" s="69"/>
      <c r="J22" s="69"/>
      <c r="K22" s="69"/>
      <c r="L22" s="69"/>
    </row>
    <row r="23" spans="2:12" ht="28.5" x14ac:dyDescent="0.45">
      <c r="B23" s="69" t="s">
        <v>111</v>
      </c>
      <c r="C23" s="69"/>
      <c r="D23" s="69"/>
      <c r="E23" s="69"/>
      <c r="F23" s="69"/>
      <c r="G23" s="69"/>
      <c r="H23" s="69"/>
      <c r="I23" s="69"/>
      <c r="J23" s="69"/>
      <c r="K23" s="69"/>
      <c r="L23" s="69"/>
    </row>
  </sheetData>
  <conditionalFormatting sqref="L6:L15">
    <cfRule type="containsText" dxfId="2" priority="1" operator="containsText" text="WEAK">
      <formula>NOT(ISERROR(SEARCH("WEAK",L6)))</formula>
    </cfRule>
    <cfRule type="containsText" dxfId="1" priority="2" operator="containsText" text="NEUTRAL">
      <formula>NOT(ISERROR(SEARCH("NEUTRAL",L6)))</formula>
    </cfRule>
    <cfRule type="containsText" dxfId="0" priority="3" operator="containsText" text="STRONG">
      <formula>NOT(ISERROR(SEARCH("STRONG",L6)))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81461-593A-4044-BA49-75644FAC7F31}">
  <dimension ref="A1:X703"/>
  <sheetViews>
    <sheetView workbookViewId="0">
      <pane ySplit="4" topLeftCell="A686" activePane="bottomLeft" state="frozen"/>
      <selection pane="bottomLeft" activeCell="F18" sqref="F18"/>
    </sheetView>
  </sheetViews>
  <sheetFormatPr defaultRowHeight="14.25" x14ac:dyDescent="0.45"/>
  <cols>
    <col min="1" max="1" width="9.3984375" bestFit="1" customWidth="1"/>
    <col min="2" max="2" width="9.86328125" bestFit="1" customWidth="1"/>
    <col min="3" max="3" width="16.73046875" bestFit="1" customWidth="1"/>
    <col min="4" max="5" width="2.46484375" customWidth="1"/>
    <col min="6" max="6" width="34.06640625" bestFit="1" customWidth="1"/>
    <col min="7" max="7" width="15.19921875" bestFit="1" customWidth="1"/>
    <col min="8" max="8" width="23.46484375" bestFit="1" customWidth="1"/>
    <col min="9" max="9" width="9.3984375" bestFit="1" customWidth="1"/>
    <col min="10" max="10" width="12.796875" bestFit="1" customWidth="1"/>
    <col min="11" max="11" width="9.59765625" bestFit="1" customWidth="1"/>
    <col min="12" max="12" width="10.265625" bestFit="1" customWidth="1"/>
    <col min="13" max="16" width="1.796875" customWidth="1"/>
    <col min="17" max="17" width="26" bestFit="1" customWidth="1"/>
    <col min="18" max="18" width="6.86328125" bestFit="1" customWidth="1"/>
    <col min="19" max="19" width="35" bestFit="1" customWidth="1"/>
    <col min="20" max="20" width="1.796875" customWidth="1"/>
    <col min="21" max="21" width="24.86328125" bestFit="1" customWidth="1"/>
    <col min="22" max="22" width="8" bestFit="1" customWidth="1"/>
    <col min="23" max="23" width="8.73046875" bestFit="1" customWidth="1"/>
    <col min="24" max="24" width="7.53125" bestFit="1" customWidth="1"/>
  </cols>
  <sheetData>
    <row r="1" spans="1:24" ht="57.75" customHeight="1" x14ac:dyDescent="0.45">
      <c r="A1" s="71" t="s">
        <v>0</v>
      </c>
      <c r="B1" s="71"/>
      <c r="C1" s="71"/>
      <c r="D1" s="71"/>
      <c r="E1" s="71"/>
      <c r="F1" s="71"/>
      <c r="G1" s="71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 spans="1:24" ht="39" customHeight="1" x14ac:dyDescent="0.45">
      <c r="A2" s="72" t="s">
        <v>112</v>
      </c>
      <c r="B2" s="72"/>
      <c r="C2" s="72"/>
      <c r="D2" s="11"/>
      <c r="E2" s="11"/>
      <c r="F2" s="15" t="s">
        <v>4</v>
      </c>
      <c r="G2" s="15"/>
      <c r="H2" s="11"/>
      <c r="I2" s="11"/>
      <c r="J2" s="11"/>
      <c r="K2" s="11"/>
      <c r="L2" s="11"/>
      <c r="M2" s="11"/>
      <c r="N2" s="11"/>
      <c r="O2" s="11"/>
      <c r="P2" s="11"/>
      <c r="Q2" s="15" t="s">
        <v>18</v>
      </c>
      <c r="R2" s="15"/>
      <c r="S2" s="15"/>
      <c r="T2" s="11"/>
      <c r="U2" s="15" t="s">
        <v>32</v>
      </c>
      <c r="V2" s="15"/>
      <c r="W2" s="15"/>
      <c r="X2" s="15"/>
    </row>
    <row r="3" spans="1:24" x14ac:dyDescent="0.45">
      <c r="A3" s="9"/>
      <c r="B3" s="9"/>
      <c r="C3" s="9"/>
      <c r="D3" s="9"/>
      <c r="E3" s="9"/>
      <c r="F3" s="27" t="s">
        <v>5</v>
      </c>
      <c r="G3" s="19">
        <f>B$703</f>
        <v>41.4</v>
      </c>
      <c r="H3" s="9"/>
      <c r="I3" s="9"/>
      <c r="J3" s="9"/>
      <c r="K3" s="9"/>
      <c r="L3" s="9"/>
      <c r="M3" s="9"/>
      <c r="N3" s="9"/>
      <c r="O3" s="9"/>
      <c r="P3" s="9"/>
      <c r="Q3" s="27" t="s">
        <v>19</v>
      </c>
      <c r="R3" s="21">
        <f>AVERAGE($C$6:$C$703)</f>
        <v>1.3180515759312299E-2</v>
      </c>
      <c r="S3" s="9"/>
      <c r="T3" s="9"/>
      <c r="U3" s="30" t="s">
        <v>33</v>
      </c>
      <c r="V3" s="31">
        <v>1</v>
      </c>
      <c r="W3" s="31">
        <v>2</v>
      </c>
      <c r="X3" s="31">
        <v>3</v>
      </c>
    </row>
    <row r="4" spans="1:24" x14ac:dyDescent="0.45">
      <c r="A4" s="13" t="s">
        <v>1</v>
      </c>
      <c r="B4" s="13" t="s">
        <v>2</v>
      </c>
      <c r="C4" s="13" t="s">
        <v>3</v>
      </c>
      <c r="D4" s="9"/>
      <c r="E4" s="9"/>
      <c r="F4" s="28" t="s">
        <v>6</v>
      </c>
      <c r="G4" s="20">
        <f>AVERAGE($B$5:$B$703)</f>
        <v>8.8344778254649476</v>
      </c>
      <c r="H4" s="9"/>
      <c r="I4" s="9"/>
      <c r="J4" s="9"/>
      <c r="K4" s="9"/>
      <c r="L4" s="9"/>
      <c r="M4" s="9"/>
      <c r="N4" s="9"/>
      <c r="O4" s="9"/>
      <c r="P4" s="9"/>
      <c r="Q4" s="28" t="s">
        <v>20</v>
      </c>
      <c r="R4" s="22">
        <f>_xlfn.STDEV.S($C$6:$C$703)/SQRT(COUNT($C$6:$C$703))</f>
        <v>0.42160490175781845</v>
      </c>
      <c r="S4" s="9"/>
      <c r="T4" s="9"/>
      <c r="U4" s="32" t="s">
        <v>34</v>
      </c>
      <c r="V4" s="33">
        <f>$R$3+V$3*$R$7</f>
        <v>11.151851165526338</v>
      </c>
      <c r="W4" s="33">
        <f>$R$3+W$3*$R$7</f>
        <v>22.290521815293364</v>
      </c>
      <c r="X4" s="33">
        <f>$R$3+X$3*$R$7</f>
        <v>33.429192465060389</v>
      </c>
    </row>
    <row r="5" spans="1:24" x14ac:dyDescent="0.45">
      <c r="A5" s="12">
        <v>24959</v>
      </c>
      <c r="B5" s="14">
        <v>32.200000000000003</v>
      </c>
      <c r="C5" s="14"/>
      <c r="D5" s="9"/>
      <c r="E5" s="9"/>
      <c r="F5" s="28" t="s">
        <v>7</v>
      </c>
      <c r="G5" s="20">
        <f>_xlfn.STDEV.S($B$5:$B$703)</f>
        <v>18.661422256534607</v>
      </c>
      <c r="H5" s="9"/>
      <c r="I5" s="9"/>
      <c r="J5" s="9"/>
      <c r="K5" s="9"/>
      <c r="L5" s="9"/>
      <c r="M5" s="9"/>
      <c r="N5" s="9"/>
      <c r="O5" s="9"/>
      <c r="P5" s="9"/>
      <c r="Q5" s="28" t="s">
        <v>21</v>
      </c>
      <c r="R5" s="20">
        <f>MEDIAN($C$6:$C$703)</f>
        <v>-0.10000000000000073</v>
      </c>
      <c r="S5" s="9"/>
      <c r="T5" s="9"/>
      <c r="U5" s="34" t="s">
        <v>35</v>
      </c>
      <c r="V5" s="35">
        <f>$R$3-V$3*$R$7</f>
        <v>-11.125490134007713</v>
      </c>
      <c r="W5" s="35">
        <f>$R$3-W$3*$R$7</f>
        <v>-22.264160783774738</v>
      </c>
      <c r="X5" s="35">
        <f>$R$3-X$3*$R$7</f>
        <v>-33.40283143354177</v>
      </c>
    </row>
    <row r="6" spans="1:24" x14ac:dyDescent="0.45">
      <c r="A6" s="12">
        <v>24990</v>
      </c>
      <c r="B6" s="14">
        <v>18.399999999999999</v>
      </c>
      <c r="C6" s="14">
        <v>-13.800000000000004</v>
      </c>
      <c r="D6" s="9"/>
      <c r="E6" s="9"/>
      <c r="F6" s="28" t="s">
        <v>8</v>
      </c>
      <c r="G6" s="20">
        <f>(G3-G4)/G5</f>
        <v>1.7450718239405192</v>
      </c>
      <c r="H6" s="9"/>
      <c r="I6" s="9"/>
      <c r="J6" s="9"/>
      <c r="K6" s="9"/>
      <c r="L6" s="9"/>
      <c r="M6" s="9"/>
      <c r="N6" s="9"/>
      <c r="O6" s="9"/>
      <c r="P6" s="9"/>
      <c r="Q6" s="28" t="s">
        <v>22</v>
      </c>
      <c r="R6" s="20">
        <f>_xlfn.MODE.SNGL($C$6:$C$703)</f>
        <v>-1.5</v>
      </c>
      <c r="S6" s="9"/>
      <c r="T6" s="9"/>
      <c r="U6" s="36"/>
      <c r="V6" s="36"/>
      <c r="W6" s="36"/>
      <c r="X6" s="36"/>
    </row>
    <row r="7" spans="1:24" x14ac:dyDescent="0.45">
      <c r="A7" s="12">
        <v>25020</v>
      </c>
      <c r="B7" s="14">
        <v>33.299999999999997</v>
      </c>
      <c r="C7" s="14">
        <v>14.899999999999999</v>
      </c>
      <c r="D7" s="9"/>
      <c r="E7" s="9"/>
      <c r="F7" s="28" t="s">
        <v>9</v>
      </c>
      <c r="G7" s="16">
        <f>_xlfn.PERCENTRANK.INC($B$5:$B$703,G3)</f>
        <v>0.97499999999999998</v>
      </c>
      <c r="H7" s="9"/>
      <c r="I7" s="9"/>
      <c r="J7" s="9"/>
      <c r="K7" s="9"/>
      <c r="L7" s="9"/>
      <c r="M7" s="9"/>
      <c r="N7" s="9"/>
      <c r="O7" s="9"/>
      <c r="P7" s="9"/>
      <c r="Q7" s="28" t="s">
        <v>23</v>
      </c>
      <c r="R7" s="20">
        <f>_xlfn.STDEV.S($C$6:$C$703)</f>
        <v>11.138670649767025</v>
      </c>
      <c r="S7" s="9"/>
      <c r="T7" s="9"/>
      <c r="U7" s="13" t="s">
        <v>36</v>
      </c>
      <c r="V7" s="13"/>
      <c r="W7" s="13"/>
      <c r="X7" s="13"/>
    </row>
    <row r="8" spans="1:24" x14ac:dyDescent="0.45">
      <c r="A8" s="12">
        <v>25051</v>
      </c>
      <c r="B8" s="14">
        <v>-3.9</v>
      </c>
      <c r="C8" s="14">
        <v>-37.199999999999996</v>
      </c>
      <c r="D8" s="9"/>
      <c r="E8" s="9"/>
      <c r="F8" s="28" t="s">
        <v>10</v>
      </c>
      <c r="G8" s="42" t="str">
        <f>IF(G6&gt;=2,"EXTREME HIGH",IF(G6&gt;=1,"HIGH (+1 to +2σ)",IF(G6&lt;=-2,"EXTREME LOW",IF(G6&lt;=-1,"LOW (-1 to -2σ)","NORMAL (±1σ)"))))</f>
        <v>HIGH (+1 to +2σ)</v>
      </c>
      <c r="H8" s="9"/>
      <c r="I8" s="9"/>
      <c r="J8" s="9"/>
      <c r="K8" s="9"/>
      <c r="L8" s="9"/>
      <c r="M8" s="9"/>
      <c r="N8" s="9"/>
      <c r="O8" s="9"/>
      <c r="P8" s="9"/>
      <c r="Q8" s="28" t="s">
        <v>24</v>
      </c>
      <c r="R8" s="22">
        <f>_xlfn.VAR.S($C$6:$C$703)</f>
        <v>124.06998384398136</v>
      </c>
      <c r="S8" s="9"/>
      <c r="T8" s="9"/>
      <c r="U8" s="30" t="s">
        <v>37</v>
      </c>
      <c r="V8" s="30" t="s">
        <v>38</v>
      </c>
      <c r="W8" s="30" t="s">
        <v>39</v>
      </c>
      <c r="X8" s="30" t="s">
        <v>40</v>
      </c>
    </row>
    <row r="9" spans="1:24" ht="26.25" x14ac:dyDescent="0.45">
      <c r="A9" s="12">
        <v>25082</v>
      </c>
      <c r="B9" s="14">
        <v>9.5</v>
      </c>
      <c r="C9" s="14">
        <v>13.4</v>
      </c>
      <c r="D9" s="9"/>
      <c r="E9" s="9"/>
      <c r="F9" s="29" t="s">
        <v>11</v>
      </c>
      <c r="G9" s="43" t="str">
        <f>IF(G6&gt;=1,"STRONG vs history",IF(G6&lt;=-1,"WEAK vs history","NEUTRAL vs history"))</f>
        <v>STRONG vs history</v>
      </c>
      <c r="H9" s="9"/>
      <c r="I9" s="9"/>
      <c r="J9" s="9"/>
      <c r="K9" s="9"/>
      <c r="L9" s="9"/>
      <c r="M9" s="9"/>
      <c r="N9" s="9"/>
      <c r="O9" s="9"/>
      <c r="P9" s="9"/>
      <c r="Q9" s="28" t="s">
        <v>25</v>
      </c>
      <c r="R9" s="22">
        <f>KURT($C$6:$C$703)</f>
        <v>3.7652745940775376</v>
      </c>
      <c r="S9" s="41" t="str">
        <f>IF(R9&gt;0,"More peaked than normal — fat tails (excess kurtosis &gt; 0)",IF(R9&lt;0,"Flatter than normal — thin tails (excess kurtosis &lt; 0)","Approximately normal kurtosis"))</f>
        <v>More peaked than normal — fat tails (excess kurtosis &gt; 0)</v>
      </c>
      <c r="T9" s="9"/>
      <c r="U9" s="37">
        <v>1</v>
      </c>
      <c r="V9" s="38">
        <f>COUNTIFS($C$6:$C$703,"&gt;="&amp;($R$3-$R$7*$U9),$C$6:$C$703,"&lt;="&amp;($R$3+$R$7*$U9))/$R$15</f>
        <v>0.75358166189111753</v>
      </c>
      <c r="W9" s="38">
        <v>0.68200000000000005</v>
      </c>
      <c r="X9" s="37" t="str">
        <f>IF(V9&gt;W9+0.02,"fat tails",IF(V9&lt;W9-0.02,"thin tails","≈ normal"))</f>
        <v>fat tails</v>
      </c>
    </row>
    <row r="10" spans="1:24" x14ac:dyDescent="0.45">
      <c r="A10" s="12">
        <v>25112</v>
      </c>
      <c r="B10" s="14">
        <v>6.8</v>
      </c>
      <c r="C10" s="14">
        <v>-2.7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28" t="s">
        <v>26</v>
      </c>
      <c r="R10" s="22">
        <f>SKEW($C$6:$C$703)</f>
        <v>6.631236218904682E-2</v>
      </c>
      <c r="S10" s="41" t="str">
        <f>IF(R10&gt;0,"Positive skew — bigger fat tail on the upside",IF(R10&lt;0,"Negative skew — bigger fat tail on the downside","Approximately symmetric"))</f>
        <v>Positive skew — bigger fat tail on the upside</v>
      </c>
      <c r="T10" s="9"/>
      <c r="U10" s="37">
        <v>2</v>
      </c>
      <c r="V10" s="38">
        <f>COUNTIFS($C$6:$C$703,"&gt;="&amp;($R$3-$R$7*$U10),$C$6:$C$703,"&lt;="&amp;($R$3+$R$7*$U10))/$R$15</f>
        <v>0.94699140401146131</v>
      </c>
      <c r="W10" s="38">
        <v>0.95399999999999996</v>
      </c>
      <c r="X10" s="37" t="str">
        <f>IF(V10&gt;W10+0.02,"fat tails",IF(V10&lt;W10-0.02,"thin tails","≈ normal"))</f>
        <v>≈ normal</v>
      </c>
    </row>
    <row r="11" spans="1:24" x14ac:dyDescent="0.45">
      <c r="A11" s="12">
        <v>25143</v>
      </c>
      <c r="B11" s="14">
        <v>13.2</v>
      </c>
      <c r="C11" s="14">
        <v>6.3999999999999995</v>
      </c>
      <c r="D11" s="9"/>
      <c r="E11" s="9"/>
      <c r="F11" s="9"/>
      <c r="G11" s="9"/>
      <c r="H11" s="13" t="s">
        <v>12</v>
      </c>
      <c r="I11" s="13"/>
      <c r="J11" s="13"/>
      <c r="K11" s="13"/>
      <c r="L11" s="13"/>
      <c r="M11" s="9"/>
      <c r="N11" s="9"/>
      <c r="O11" s="9"/>
      <c r="P11" s="9"/>
      <c r="Q11" s="28" t="s">
        <v>15</v>
      </c>
      <c r="R11" s="22">
        <f>MAX($C$6:$C$703)-MIN($C$6:$C$703)</f>
        <v>127</v>
      </c>
      <c r="S11" s="41"/>
      <c r="T11" s="9"/>
      <c r="U11" s="39">
        <v>3</v>
      </c>
      <c r="V11" s="40">
        <f>COUNTIFS($C$6:$C$703,"&gt;="&amp;($R$3-$R$7*$U11),$C$6:$C$703,"&lt;="&amp;($R$3+$R$7*$U11))/$R$15</f>
        <v>0.9871060171919771</v>
      </c>
      <c r="W11" s="40">
        <v>0.997</v>
      </c>
      <c r="X11" s="39" t="str">
        <f>IF(V11&gt;W11+0.02,"fat tails",IF(V11&lt;W11-0.02,"thin tails","≈ normal"))</f>
        <v>≈ normal</v>
      </c>
    </row>
    <row r="12" spans="1:24" x14ac:dyDescent="0.45">
      <c r="A12" s="12">
        <v>25173</v>
      </c>
      <c r="B12" s="14">
        <v>23.5</v>
      </c>
      <c r="C12" s="14">
        <v>10.3</v>
      </c>
      <c r="D12" s="9"/>
      <c r="E12" s="9"/>
      <c r="F12" s="9"/>
      <c r="G12" s="9"/>
      <c r="H12" s="18" t="s">
        <v>13</v>
      </c>
      <c r="I12" s="18" t="s">
        <v>14</v>
      </c>
      <c r="J12" s="18" t="s">
        <v>15</v>
      </c>
      <c r="K12" s="18" t="s">
        <v>16</v>
      </c>
      <c r="L12" s="18" t="s">
        <v>17</v>
      </c>
      <c r="M12" s="9"/>
      <c r="N12" s="9"/>
      <c r="O12" s="9"/>
      <c r="P12" s="9"/>
      <c r="Q12" s="28" t="s">
        <v>27</v>
      </c>
      <c r="R12" s="20">
        <f>MIN($C$6:$C$703)</f>
        <v>-55.8</v>
      </c>
      <c r="S12" s="41"/>
      <c r="T12" s="9"/>
      <c r="U12" s="9"/>
      <c r="V12" s="9"/>
      <c r="W12" s="9"/>
      <c r="X12" s="9"/>
    </row>
    <row r="13" spans="1:24" x14ac:dyDescent="0.45">
      <c r="A13" s="12">
        <v>25204</v>
      </c>
      <c r="B13" s="14">
        <v>-11.3</v>
      </c>
      <c r="C13" s="14">
        <v>-34.799999999999997</v>
      </c>
      <c r="D13" s="9"/>
      <c r="E13" s="9"/>
      <c r="F13" s="9"/>
      <c r="G13" s="9"/>
      <c r="H13" s="24">
        <f>$R$12+($R$11/12)*(ROW()-12)</f>
        <v>-45.216666666666661</v>
      </c>
      <c r="I13" s="26">
        <f>COUNTIFS($C$6:$C$703,"&gt;="&amp;$R$12,$C$6:$C$703,"&lt;="&amp;H13)</f>
        <v>1</v>
      </c>
      <c r="J13" s="42" t="str">
        <f>TEXT($R$12,"0.00")&amp;" to "&amp;TEXT(H13,"0.00")</f>
        <v>-55.80 to -45.22</v>
      </c>
      <c r="K13" s="16">
        <f>I13/$R$15</f>
        <v>1.4326647564469914E-3</v>
      </c>
      <c r="L13" s="16">
        <f>SUM($K$13:K13)</f>
        <v>1.4326647564469914E-3</v>
      </c>
      <c r="M13" s="9"/>
      <c r="N13" s="9"/>
      <c r="O13" s="9"/>
      <c r="P13" s="9"/>
      <c r="Q13" s="28" t="s">
        <v>28</v>
      </c>
      <c r="R13" s="20">
        <f>MAX($C$6:$C$703)</f>
        <v>71.2</v>
      </c>
      <c r="S13" s="41"/>
      <c r="T13" s="9"/>
      <c r="U13" s="9"/>
      <c r="V13" s="9"/>
      <c r="W13" s="9"/>
      <c r="X13" s="9"/>
    </row>
    <row r="14" spans="1:24" x14ac:dyDescent="0.45">
      <c r="A14" s="12">
        <v>25235</v>
      </c>
      <c r="B14" s="14">
        <v>16.8</v>
      </c>
      <c r="C14" s="14">
        <v>28.1</v>
      </c>
      <c r="D14" s="9"/>
      <c r="E14" s="9"/>
      <c r="F14" s="9"/>
      <c r="G14" s="9"/>
      <c r="H14" s="24">
        <f>$R$12+($R$11/12)*(ROW()-12)</f>
        <v>-34.633333333333326</v>
      </c>
      <c r="I14" s="26">
        <f>COUNTIFS($C$6:$C$703,"&gt;"&amp;H13,$C$6:$C$703,"&lt;="&amp;H14)</f>
        <v>4</v>
      </c>
      <c r="J14" s="42" t="str">
        <f>TEXT(H13,"0.00")&amp;" to "&amp;TEXT(H14,"0.00")</f>
        <v>-45.22 to -34.63</v>
      </c>
      <c r="K14" s="16">
        <f>I14/$R$15</f>
        <v>5.7306590257879654E-3</v>
      </c>
      <c r="L14" s="16">
        <f>SUM($K$13:K14)</f>
        <v>7.1633237822349566E-3</v>
      </c>
      <c r="M14" s="9"/>
      <c r="N14" s="9"/>
      <c r="O14" s="9"/>
      <c r="P14" s="9"/>
      <c r="Q14" s="28" t="s">
        <v>29</v>
      </c>
      <c r="R14" s="20">
        <f>SUM($C$6:$C$703)</f>
        <v>9.1999999999999851</v>
      </c>
      <c r="S14" s="41"/>
      <c r="T14" s="9"/>
      <c r="U14" s="9"/>
      <c r="V14" s="9"/>
      <c r="W14" s="9"/>
      <c r="X14" s="9"/>
    </row>
    <row r="15" spans="1:24" x14ac:dyDescent="0.45">
      <c r="A15" s="12">
        <v>25263</v>
      </c>
      <c r="B15" s="14">
        <v>27.8</v>
      </c>
      <c r="C15" s="14">
        <v>11</v>
      </c>
      <c r="D15" s="9"/>
      <c r="E15" s="9"/>
      <c r="F15" s="9"/>
      <c r="G15" s="9"/>
      <c r="H15" s="24">
        <f>$R$12+($R$11/12)*(ROW()-12)</f>
        <v>-24.049999999999997</v>
      </c>
      <c r="I15" s="26">
        <f>COUNTIFS($C$6:$C$703,"&gt;"&amp;H14,$C$6:$C$703,"&lt;="&amp;H15)</f>
        <v>13</v>
      </c>
      <c r="J15" s="42" t="str">
        <f>TEXT(H14,"0.00")&amp;" to "&amp;TEXT(H15,"0.00")</f>
        <v>-34.63 to -24.05</v>
      </c>
      <c r="K15" s="16">
        <f>I15/$R$15</f>
        <v>1.8624641833810889E-2</v>
      </c>
      <c r="L15" s="16">
        <f>SUM($K$13:K15)</f>
        <v>2.5787965616045846E-2</v>
      </c>
      <c r="M15" s="9"/>
      <c r="N15" s="9"/>
      <c r="O15" s="9"/>
      <c r="P15" s="9"/>
      <c r="Q15" s="29" t="s">
        <v>30</v>
      </c>
      <c r="R15" s="23">
        <f>COUNT($C$6:$C$703)</f>
        <v>698</v>
      </c>
      <c r="S15" s="41" t="s">
        <v>31</v>
      </c>
      <c r="T15" s="9"/>
      <c r="U15" s="9"/>
      <c r="V15" s="9"/>
      <c r="W15" s="9"/>
      <c r="X15" s="9"/>
    </row>
    <row r="16" spans="1:24" x14ac:dyDescent="0.45">
      <c r="A16" s="12">
        <v>25294</v>
      </c>
      <c r="B16" s="14">
        <v>18.100000000000001</v>
      </c>
      <c r="C16" s="14">
        <v>-9.6999999999999993</v>
      </c>
      <c r="D16" s="9"/>
      <c r="E16" s="9"/>
      <c r="F16" s="9"/>
      <c r="G16" s="9"/>
      <c r="H16" s="24">
        <f>$R$12+($R$11/12)*(ROW()-12)</f>
        <v>-13.466666666666661</v>
      </c>
      <c r="I16" s="26">
        <f>COUNTIFS($C$6:$C$703,"&gt;"&amp;H15,$C$6:$C$703,"&lt;="&amp;H16)</f>
        <v>40</v>
      </c>
      <c r="J16" s="42" t="str">
        <f>TEXT(H15,"0.00")&amp;" to "&amp;TEXT(H16,"0.00")</f>
        <v>-24.05 to -13.47</v>
      </c>
      <c r="K16" s="16">
        <f>I16/$R$15</f>
        <v>5.730659025787966E-2</v>
      </c>
      <c r="L16" s="16">
        <f>SUM($K$13:K16)</f>
        <v>8.3094555873925502E-2</v>
      </c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</row>
    <row r="17" spans="1:24" x14ac:dyDescent="0.45">
      <c r="A17" s="12">
        <v>25324</v>
      </c>
      <c r="B17" s="14">
        <v>12.7</v>
      </c>
      <c r="C17" s="14">
        <v>-5.4000000000000021</v>
      </c>
      <c r="D17" s="9"/>
      <c r="E17" s="9"/>
      <c r="F17" s="9"/>
      <c r="G17" s="9"/>
      <c r="H17" s="24">
        <f>$R$12+($R$11/12)*(ROW()-12)</f>
        <v>-2.8833333333333258</v>
      </c>
      <c r="I17" s="26">
        <f>COUNTIFS($C$6:$C$703,"&gt;"&amp;H16,$C$6:$C$703,"&lt;="&amp;H17)</f>
        <v>207</v>
      </c>
      <c r="J17" s="42" t="str">
        <f>TEXT(H16,"0.00")&amp;" to "&amp;TEXT(H17,"0.00")</f>
        <v>-13.47 to -2.88</v>
      </c>
      <c r="K17" s="16">
        <f>I17/$R$15</f>
        <v>0.29656160458452724</v>
      </c>
      <c r="L17" s="16">
        <f>SUM($K$13:K17)</f>
        <v>0.37965616045845274</v>
      </c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</row>
    <row r="18" spans="1:24" x14ac:dyDescent="0.45">
      <c r="A18" s="12">
        <v>25355</v>
      </c>
      <c r="B18" s="14">
        <v>18.5</v>
      </c>
      <c r="C18" s="14">
        <v>5.8000000000000007</v>
      </c>
      <c r="D18" s="9"/>
      <c r="E18" s="9"/>
      <c r="F18" s="9"/>
      <c r="G18" s="9"/>
      <c r="H18" s="24">
        <f>$R$12+($R$11/12)*(ROW()-12)</f>
        <v>7.7000000000000028</v>
      </c>
      <c r="I18" s="26">
        <f>COUNTIFS($C$6:$C$703,"&gt;"&amp;H17,$C$6:$C$703,"&lt;="&amp;H18)</f>
        <v>281</v>
      </c>
      <c r="J18" s="42" t="str">
        <f>TEXT(H17,"0.00")&amp;" to "&amp;TEXT(H18,"0.00")</f>
        <v>-2.88 to 7.70</v>
      </c>
      <c r="K18" s="16">
        <f>I18/$R$15</f>
        <v>0.40257879656160456</v>
      </c>
      <c r="L18" s="16">
        <f>SUM($K$13:K18)</f>
        <v>0.7822349570200573</v>
      </c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</row>
    <row r="19" spans="1:24" x14ac:dyDescent="0.45">
      <c r="A19" s="12">
        <v>25385</v>
      </c>
      <c r="B19" s="14">
        <v>-1.1000000000000001</v>
      </c>
      <c r="C19" s="14">
        <v>-19.600000000000001</v>
      </c>
      <c r="D19" s="9"/>
      <c r="E19" s="9"/>
      <c r="F19" s="9"/>
      <c r="G19" s="9"/>
      <c r="H19" s="24">
        <f>$R$12+($R$11/12)*(ROW()-12)</f>
        <v>18.283333333333346</v>
      </c>
      <c r="I19" s="26">
        <f>COUNTIFS($C$6:$C$703,"&gt;"&amp;H18,$C$6:$C$703,"&lt;="&amp;H19)</f>
        <v>123</v>
      </c>
      <c r="J19" s="42" t="str">
        <f>TEXT(H18,"0.00")&amp;" to "&amp;TEXT(H19,"0.00")</f>
        <v>7.70 to 18.28</v>
      </c>
      <c r="K19" s="16">
        <f>I19/$R$15</f>
        <v>0.17621776504297995</v>
      </c>
      <c r="L19" s="16">
        <f>SUM($K$13:K19)</f>
        <v>0.95845272206303722</v>
      </c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</row>
    <row r="20" spans="1:24" x14ac:dyDescent="0.45">
      <c r="A20" s="12">
        <v>25416</v>
      </c>
      <c r="B20" s="14">
        <v>8</v>
      </c>
      <c r="C20" s="14">
        <v>9.1</v>
      </c>
      <c r="D20" s="9"/>
      <c r="E20" s="9"/>
      <c r="F20" s="9"/>
      <c r="G20" s="9"/>
      <c r="H20" s="24">
        <f>$R$12+($R$11/12)*(ROW()-12)</f>
        <v>28.866666666666674</v>
      </c>
      <c r="I20" s="26">
        <f>COUNTIFS($C$6:$C$703,"&gt;"&amp;H19,$C$6:$C$703,"&lt;="&amp;H20)</f>
        <v>24</v>
      </c>
      <c r="J20" s="42" t="str">
        <f>TEXT(H19,"0.00")&amp;" to "&amp;TEXT(H20,"0.00")</f>
        <v>18.28 to 28.87</v>
      </c>
      <c r="K20" s="16">
        <f>I20/$R$15</f>
        <v>3.4383954154727794E-2</v>
      </c>
      <c r="L20" s="16">
        <f>SUM($K$13:K20)</f>
        <v>0.99283667621776506</v>
      </c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</row>
    <row r="21" spans="1:24" x14ac:dyDescent="0.45">
      <c r="A21" s="12">
        <v>25447</v>
      </c>
      <c r="B21" s="14">
        <v>-1.6</v>
      </c>
      <c r="C21" s="14">
        <v>-9.6</v>
      </c>
      <c r="D21" s="9"/>
      <c r="E21" s="9"/>
      <c r="F21" s="9"/>
      <c r="G21" s="9"/>
      <c r="H21" s="24">
        <f>$R$12+($R$11/12)*(ROW()-12)</f>
        <v>39.450000000000003</v>
      </c>
      <c r="I21" s="26">
        <f>COUNTIFS($C$6:$C$703,"&gt;"&amp;H20,$C$6:$C$703,"&lt;="&amp;H21)</f>
        <v>3</v>
      </c>
      <c r="J21" s="42" t="str">
        <f>TEXT(H20,"0.00")&amp;" to "&amp;TEXT(H21,"0.00")</f>
        <v>28.87 to 39.45</v>
      </c>
      <c r="K21" s="16">
        <f>I21/$R$15</f>
        <v>4.2979942693409743E-3</v>
      </c>
      <c r="L21" s="16">
        <f>SUM($K$13:K21)</f>
        <v>0.99713467048710602</v>
      </c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</row>
    <row r="22" spans="1:24" x14ac:dyDescent="0.45">
      <c r="A22" s="12">
        <v>25477</v>
      </c>
      <c r="B22" s="14">
        <v>12.1</v>
      </c>
      <c r="C22" s="14">
        <v>13.7</v>
      </c>
      <c r="D22" s="9"/>
      <c r="E22" s="9"/>
      <c r="F22" s="9"/>
      <c r="G22" s="9"/>
      <c r="H22" s="24">
        <f>$R$12+($R$11/12)*(ROW()-12)</f>
        <v>50.033333333333346</v>
      </c>
      <c r="I22" s="26">
        <f>COUNTIFS($C$6:$C$703,"&gt;"&amp;H21,$C$6:$C$703,"&lt;="&amp;H22)</f>
        <v>1</v>
      </c>
      <c r="J22" s="42" t="str">
        <f>TEXT(H21,"0.00")&amp;" to "&amp;TEXT(H22,"0.00")</f>
        <v>39.45 to 50.03</v>
      </c>
      <c r="K22" s="16">
        <f>I22/$R$15</f>
        <v>1.4326647564469914E-3</v>
      </c>
      <c r="L22" s="16">
        <f>SUM($K$13:K22)</f>
        <v>0.99856733524355301</v>
      </c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</row>
    <row r="23" spans="1:24" x14ac:dyDescent="0.45">
      <c r="A23" s="12">
        <v>25508</v>
      </c>
      <c r="B23" s="14">
        <v>-3.4</v>
      </c>
      <c r="C23" s="14">
        <v>-15.5</v>
      </c>
      <c r="D23" s="9"/>
      <c r="E23" s="9"/>
      <c r="F23" s="9"/>
      <c r="G23" s="9"/>
      <c r="H23" s="24">
        <f>$R$12+($R$11/12)*(ROW()-12)</f>
        <v>60.616666666666674</v>
      </c>
      <c r="I23" s="26">
        <f>COUNTIFS($C$6:$C$703,"&gt;"&amp;H22,$C$6:$C$703,"&lt;="&amp;H23)</f>
        <v>0</v>
      </c>
      <c r="J23" s="42" t="str">
        <f>TEXT(H22,"0.00")&amp;" to "&amp;TEXT(H23,"0.00")</f>
        <v>50.03 to 60.62</v>
      </c>
      <c r="K23" s="16">
        <f>I23/$R$15</f>
        <v>0</v>
      </c>
      <c r="L23" s="16">
        <f>SUM($K$13:K23)</f>
        <v>0.99856733524355301</v>
      </c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</row>
    <row r="24" spans="1:24" x14ac:dyDescent="0.45">
      <c r="A24" s="12">
        <v>25538</v>
      </c>
      <c r="B24" s="14">
        <v>-7.9</v>
      </c>
      <c r="C24" s="14">
        <v>-4.5</v>
      </c>
      <c r="D24" s="9"/>
      <c r="E24" s="9"/>
      <c r="F24" s="9"/>
      <c r="G24" s="9"/>
      <c r="H24" s="25">
        <f>$R$12+($R$11/12)*(ROW()-12)</f>
        <v>71.2</v>
      </c>
      <c r="I24" s="23">
        <f>COUNTIFS($C$6:$C$703,"&gt;"&amp;H23,$C$6:$C$703,"&lt;="&amp;H24)</f>
        <v>1</v>
      </c>
      <c r="J24" s="43" t="str">
        <f>TEXT(H23,"0.00")&amp;" to "&amp;TEXT(H24,"0.00")</f>
        <v>60.62 to 71.20</v>
      </c>
      <c r="K24" s="17">
        <f>I24/$R$15</f>
        <v>1.4326647564469914E-3</v>
      </c>
      <c r="L24" s="17">
        <f>SUM($K$13:K24)</f>
        <v>1</v>
      </c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</row>
    <row r="25" spans="1:24" x14ac:dyDescent="0.45">
      <c r="A25" s="12">
        <v>25569</v>
      </c>
      <c r="B25" s="14">
        <v>-13.1</v>
      </c>
      <c r="C25" s="14">
        <v>-5.1999999999999993</v>
      </c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</row>
    <row r="26" spans="1:24" x14ac:dyDescent="0.45">
      <c r="A26" s="12">
        <v>25600</v>
      </c>
      <c r="B26" s="14">
        <v>-18.100000000000001</v>
      </c>
      <c r="C26" s="14">
        <v>-5.0000000000000018</v>
      </c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</row>
    <row r="27" spans="1:24" x14ac:dyDescent="0.45">
      <c r="A27" s="12">
        <v>25628</v>
      </c>
      <c r="B27" s="14">
        <v>-31.2</v>
      </c>
      <c r="C27" s="14">
        <v>-13.099999999999998</v>
      </c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</row>
    <row r="28" spans="1:24" x14ac:dyDescent="0.45">
      <c r="A28" s="12">
        <v>25659</v>
      </c>
      <c r="B28" s="14">
        <v>-16.899999999999999</v>
      </c>
      <c r="C28" s="14">
        <v>14.3</v>
      </c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</row>
    <row r="29" spans="1:24" x14ac:dyDescent="0.45">
      <c r="A29" s="12">
        <v>25689</v>
      </c>
      <c r="B29" s="14">
        <v>-21.5</v>
      </c>
      <c r="C29" s="14">
        <v>-4.6000000000000014</v>
      </c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</row>
    <row r="30" spans="1:24" x14ac:dyDescent="0.45">
      <c r="A30" s="12">
        <v>25720</v>
      </c>
      <c r="B30" s="14">
        <v>-8.4</v>
      </c>
      <c r="C30" s="14">
        <v>13.1</v>
      </c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</row>
    <row r="31" spans="1:24" x14ac:dyDescent="0.45">
      <c r="A31" s="12">
        <v>25750</v>
      </c>
      <c r="B31" s="14">
        <v>7</v>
      </c>
      <c r="C31" s="14">
        <v>15.4</v>
      </c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</row>
    <row r="32" spans="1:24" x14ac:dyDescent="0.45">
      <c r="A32" s="12">
        <v>25781</v>
      </c>
      <c r="B32" s="14">
        <v>6.9</v>
      </c>
      <c r="C32" s="14">
        <v>-9.9999999999999645E-2</v>
      </c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</row>
    <row r="33" spans="1:24" x14ac:dyDescent="0.45">
      <c r="A33" s="12">
        <v>25812</v>
      </c>
      <c r="B33" s="14">
        <v>14</v>
      </c>
      <c r="C33" s="14">
        <v>7.1</v>
      </c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</row>
    <row r="34" spans="1:24" x14ac:dyDescent="0.45">
      <c r="A34" s="12">
        <v>25842</v>
      </c>
      <c r="B34" s="14">
        <v>3.7</v>
      </c>
      <c r="C34" s="14">
        <v>-10.3</v>
      </c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</row>
    <row r="35" spans="1:24" x14ac:dyDescent="0.45">
      <c r="A35" s="12">
        <v>25873</v>
      </c>
      <c r="B35" s="14">
        <v>6.4</v>
      </c>
      <c r="C35" s="14">
        <v>2.7</v>
      </c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</row>
    <row r="36" spans="1:24" x14ac:dyDescent="0.45">
      <c r="A36" s="12">
        <v>25903</v>
      </c>
      <c r="B36" s="14">
        <v>10.199999999999999</v>
      </c>
      <c r="C36" s="14">
        <v>3.7999999999999989</v>
      </c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</row>
    <row r="37" spans="1:24" x14ac:dyDescent="0.45">
      <c r="A37" s="12">
        <v>25934</v>
      </c>
      <c r="B37" s="14">
        <v>28.9</v>
      </c>
      <c r="C37" s="14">
        <v>18.7</v>
      </c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</row>
    <row r="38" spans="1:24" x14ac:dyDescent="0.45">
      <c r="A38" s="12">
        <v>25965</v>
      </c>
      <c r="B38" s="14">
        <v>39</v>
      </c>
      <c r="C38" s="14">
        <v>10.100000000000001</v>
      </c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</row>
    <row r="39" spans="1:24" x14ac:dyDescent="0.45">
      <c r="A39" s="12">
        <v>25993</v>
      </c>
      <c r="B39" s="14">
        <v>33.299999999999997</v>
      </c>
      <c r="C39" s="14">
        <v>-5.7000000000000028</v>
      </c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</row>
    <row r="40" spans="1:24" x14ac:dyDescent="0.45">
      <c r="A40" s="12">
        <v>26024</v>
      </c>
      <c r="B40" s="14">
        <v>37.4</v>
      </c>
      <c r="C40" s="14">
        <v>4.1000000000000014</v>
      </c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</row>
    <row r="41" spans="1:24" x14ac:dyDescent="0.45">
      <c r="A41" s="12">
        <v>26054</v>
      </c>
      <c r="B41" s="14">
        <v>39.200000000000003</v>
      </c>
      <c r="C41" s="14">
        <v>1.8000000000000043</v>
      </c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</row>
    <row r="42" spans="1:24" x14ac:dyDescent="0.45">
      <c r="A42" s="12">
        <v>26085</v>
      </c>
      <c r="B42" s="14">
        <v>31.3</v>
      </c>
      <c r="C42" s="14">
        <v>-7.9000000000000021</v>
      </c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</row>
    <row r="43" spans="1:24" x14ac:dyDescent="0.45">
      <c r="A43" s="12">
        <v>26115</v>
      </c>
      <c r="B43" s="14">
        <v>25.5</v>
      </c>
      <c r="C43" s="14">
        <v>-5.8000000000000007</v>
      </c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</row>
    <row r="44" spans="1:24" x14ac:dyDescent="0.45">
      <c r="A44" s="12">
        <v>26146</v>
      </c>
      <c r="B44" s="14">
        <v>22.8</v>
      </c>
      <c r="C44" s="14">
        <v>-2.6999999999999993</v>
      </c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</row>
    <row r="45" spans="1:24" x14ac:dyDescent="0.45">
      <c r="A45" s="12">
        <v>26177</v>
      </c>
      <c r="B45" s="14">
        <v>35.9</v>
      </c>
      <c r="C45" s="14">
        <v>13.099999999999998</v>
      </c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</row>
    <row r="46" spans="1:24" x14ac:dyDescent="0.45">
      <c r="A46" s="12">
        <v>26207</v>
      </c>
      <c r="B46" s="14">
        <v>39.299999999999997</v>
      </c>
      <c r="C46" s="14">
        <v>3.3999999999999986</v>
      </c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</row>
    <row r="47" spans="1:24" x14ac:dyDescent="0.45">
      <c r="A47" s="12">
        <v>26238</v>
      </c>
      <c r="B47" s="14">
        <v>32.1</v>
      </c>
      <c r="C47" s="14">
        <v>-7.1999999999999957</v>
      </c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</row>
    <row r="48" spans="1:24" x14ac:dyDescent="0.45">
      <c r="A48" s="12">
        <v>26268</v>
      </c>
      <c r="B48" s="14">
        <v>30.4</v>
      </c>
      <c r="C48" s="14">
        <v>-1.7000000000000028</v>
      </c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</row>
    <row r="49" spans="1:24" x14ac:dyDescent="0.45">
      <c r="A49" s="12">
        <v>26299</v>
      </c>
      <c r="B49" s="14">
        <v>34.200000000000003</v>
      </c>
      <c r="C49" s="14">
        <v>3.8000000000000043</v>
      </c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</row>
    <row r="50" spans="1:24" x14ac:dyDescent="0.45">
      <c r="A50" s="12">
        <v>26330</v>
      </c>
      <c r="B50" s="14">
        <v>30.9</v>
      </c>
      <c r="C50" s="14">
        <v>-3.3000000000000043</v>
      </c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</row>
    <row r="51" spans="1:24" x14ac:dyDescent="0.45">
      <c r="A51" s="12">
        <v>26359</v>
      </c>
      <c r="B51" s="14">
        <v>39.5</v>
      </c>
      <c r="C51" s="14">
        <v>8.6000000000000014</v>
      </c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</row>
    <row r="52" spans="1:24" x14ac:dyDescent="0.45">
      <c r="A52" s="12">
        <v>26390</v>
      </c>
      <c r="B52" s="14">
        <v>28.2</v>
      </c>
      <c r="C52" s="14">
        <v>-11.3</v>
      </c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</row>
    <row r="53" spans="1:24" x14ac:dyDescent="0.45">
      <c r="A53" s="12">
        <v>26420</v>
      </c>
      <c r="B53" s="14">
        <v>35.799999999999997</v>
      </c>
      <c r="C53" s="14">
        <v>7.5999999999999979</v>
      </c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</row>
    <row r="54" spans="1:24" x14ac:dyDescent="0.45">
      <c r="A54" s="12">
        <v>26451</v>
      </c>
      <c r="B54" s="14">
        <v>34.1</v>
      </c>
      <c r="C54" s="14">
        <v>-1.6999999999999957</v>
      </c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</row>
    <row r="55" spans="1:24" x14ac:dyDescent="0.45">
      <c r="A55" s="12">
        <v>26481</v>
      </c>
      <c r="B55" s="14">
        <v>33.1</v>
      </c>
      <c r="C55" s="14">
        <v>-1</v>
      </c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</row>
    <row r="56" spans="1:24" x14ac:dyDescent="0.45">
      <c r="A56" s="12">
        <v>26512</v>
      </c>
      <c r="B56" s="14">
        <v>35.200000000000003</v>
      </c>
      <c r="C56" s="14">
        <v>2.1000000000000014</v>
      </c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</row>
    <row r="57" spans="1:24" x14ac:dyDescent="0.45">
      <c r="A57" s="12">
        <v>26543</v>
      </c>
      <c r="B57" s="14">
        <v>32.9</v>
      </c>
      <c r="C57" s="14">
        <v>-2.3000000000000043</v>
      </c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</row>
    <row r="58" spans="1:24" x14ac:dyDescent="0.45">
      <c r="A58" s="12">
        <v>26573</v>
      </c>
      <c r="B58" s="14">
        <v>39.200000000000003</v>
      </c>
      <c r="C58" s="14">
        <v>6.3000000000000043</v>
      </c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</row>
    <row r="59" spans="1:24" x14ac:dyDescent="0.45">
      <c r="A59" s="12">
        <v>26604</v>
      </c>
      <c r="B59" s="14">
        <v>47.2</v>
      </c>
      <c r="C59" s="14">
        <v>8</v>
      </c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</row>
    <row r="60" spans="1:24" x14ac:dyDescent="0.45">
      <c r="A60" s="12">
        <v>26634</v>
      </c>
      <c r="B60" s="14">
        <v>49.1</v>
      </c>
      <c r="C60" s="14">
        <v>1.8999999999999986</v>
      </c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</row>
    <row r="61" spans="1:24" x14ac:dyDescent="0.45">
      <c r="A61" s="12">
        <v>26665</v>
      </c>
      <c r="B61" s="14">
        <v>47.8</v>
      </c>
      <c r="C61" s="14">
        <v>-1.3000000000000043</v>
      </c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</row>
    <row r="62" spans="1:24" x14ac:dyDescent="0.45">
      <c r="A62" s="12">
        <v>26696</v>
      </c>
      <c r="B62" s="14">
        <v>40.5</v>
      </c>
      <c r="C62" s="14">
        <v>-7.2999999999999972</v>
      </c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</row>
    <row r="63" spans="1:24" x14ac:dyDescent="0.45">
      <c r="A63" s="12">
        <v>26724</v>
      </c>
      <c r="B63" s="14">
        <v>58.5</v>
      </c>
      <c r="C63" s="14">
        <v>18</v>
      </c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</row>
    <row r="64" spans="1:24" x14ac:dyDescent="0.45">
      <c r="A64" s="12">
        <v>26755</v>
      </c>
      <c r="B64" s="14">
        <v>53.6</v>
      </c>
      <c r="C64" s="14">
        <v>-4.8999999999999986</v>
      </c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</row>
    <row r="65" spans="1:24" x14ac:dyDescent="0.45">
      <c r="A65" s="12">
        <v>26785</v>
      </c>
      <c r="B65" s="14">
        <v>36.6</v>
      </c>
      <c r="C65" s="14">
        <v>-17</v>
      </c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</row>
    <row r="66" spans="1:24" x14ac:dyDescent="0.45">
      <c r="A66" s="12">
        <v>26816</v>
      </c>
      <c r="B66" s="14">
        <v>30.4</v>
      </c>
      <c r="C66" s="14">
        <v>-6.2000000000000028</v>
      </c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</row>
    <row r="67" spans="1:24" x14ac:dyDescent="0.45">
      <c r="A67" s="12">
        <v>26846</v>
      </c>
      <c r="B67" s="14">
        <v>24.8</v>
      </c>
      <c r="C67" s="14">
        <v>-5.5999999999999979</v>
      </c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</row>
    <row r="68" spans="1:24" x14ac:dyDescent="0.45">
      <c r="A68" s="12">
        <v>26877</v>
      </c>
      <c r="B68" s="14">
        <v>18.5</v>
      </c>
      <c r="C68" s="14">
        <v>-6.3000000000000007</v>
      </c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</row>
    <row r="69" spans="1:24" x14ac:dyDescent="0.45">
      <c r="A69" s="12">
        <v>26908</v>
      </c>
      <c r="B69" s="14">
        <v>-0.3</v>
      </c>
      <c r="C69" s="14">
        <v>-18.8</v>
      </c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</row>
    <row r="70" spans="1:24" x14ac:dyDescent="0.45">
      <c r="A70" s="12">
        <v>26938</v>
      </c>
      <c r="B70" s="14">
        <v>9.8000000000000007</v>
      </c>
      <c r="C70" s="14">
        <v>10.100000000000001</v>
      </c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</row>
    <row r="71" spans="1:24" x14ac:dyDescent="0.45">
      <c r="A71" s="12">
        <v>26969</v>
      </c>
      <c r="B71" s="14">
        <v>15.4</v>
      </c>
      <c r="C71" s="14">
        <v>5.6</v>
      </c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</row>
    <row r="72" spans="1:24" x14ac:dyDescent="0.45">
      <c r="A72" s="12">
        <v>26999</v>
      </c>
      <c r="B72" s="14">
        <v>8</v>
      </c>
      <c r="C72" s="14">
        <v>-7.4</v>
      </c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</row>
    <row r="73" spans="1:24" x14ac:dyDescent="0.45">
      <c r="A73" s="12">
        <v>27030</v>
      </c>
      <c r="B73" s="14">
        <v>-12.9</v>
      </c>
      <c r="C73" s="14">
        <v>-20.9</v>
      </c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</row>
    <row r="74" spans="1:24" x14ac:dyDescent="0.45">
      <c r="A74" s="12">
        <v>27061</v>
      </c>
      <c r="B74" s="14">
        <v>-13.2</v>
      </c>
      <c r="C74" s="14">
        <v>-0.29999999999999893</v>
      </c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</row>
    <row r="75" spans="1:24" x14ac:dyDescent="0.45">
      <c r="A75" s="12">
        <v>27089</v>
      </c>
      <c r="B75" s="14">
        <v>-12.5</v>
      </c>
      <c r="C75" s="14">
        <v>0.69999999999999929</v>
      </c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</row>
    <row r="76" spans="1:24" x14ac:dyDescent="0.45">
      <c r="A76" s="12">
        <v>27120</v>
      </c>
      <c r="B76" s="14">
        <v>-11.9</v>
      </c>
      <c r="C76" s="14">
        <v>0.59999999999999964</v>
      </c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</row>
    <row r="77" spans="1:24" x14ac:dyDescent="0.45">
      <c r="A77" s="12">
        <v>27150</v>
      </c>
      <c r="B77" s="14">
        <v>-9.1999999999999993</v>
      </c>
      <c r="C77" s="14">
        <v>2.7000000000000011</v>
      </c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</row>
    <row r="78" spans="1:24" x14ac:dyDescent="0.45">
      <c r="A78" s="12">
        <v>27181</v>
      </c>
      <c r="B78" s="14">
        <v>-8.6999999999999993</v>
      </c>
      <c r="C78" s="14">
        <v>0.5</v>
      </c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</row>
    <row r="79" spans="1:24" x14ac:dyDescent="0.45">
      <c r="A79" s="12">
        <v>27211</v>
      </c>
      <c r="B79" s="14">
        <v>-8.4</v>
      </c>
      <c r="C79" s="14">
        <v>0.29999999999999893</v>
      </c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</row>
    <row r="80" spans="1:24" x14ac:dyDescent="0.45">
      <c r="A80" s="12">
        <v>27242</v>
      </c>
      <c r="B80" s="14">
        <v>-16.899999999999999</v>
      </c>
      <c r="C80" s="14">
        <v>-8.4999999999999982</v>
      </c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</row>
    <row r="81" spans="1:24" x14ac:dyDescent="0.45">
      <c r="A81" s="12">
        <v>27273</v>
      </c>
      <c r="B81" s="14">
        <v>-7.4</v>
      </c>
      <c r="C81" s="14">
        <v>9.4999999999999982</v>
      </c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</row>
    <row r="82" spans="1:24" x14ac:dyDescent="0.45">
      <c r="A82" s="12">
        <v>27303</v>
      </c>
      <c r="B82" s="14">
        <v>-26.1</v>
      </c>
      <c r="C82" s="14">
        <v>-18.700000000000003</v>
      </c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</row>
    <row r="83" spans="1:24" x14ac:dyDescent="0.45">
      <c r="A83" s="12">
        <v>27334</v>
      </c>
      <c r="B83" s="14">
        <v>-31.8</v>
      </c>
      <c r="C83" s="14">
        <v>-5.6999999999999993</v>
      </c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</row>
    <row r="84" spans="1:24" x14ac:dyDescent="0.45">
      <c r="A84" s="12">
        <v>27364</v>
      </c>
      <c r="B84" s="14">
        <v>-57.9</v>
      </c>
      <c r="C84" s="14">
        <v>-26.099999999999998</v>
      </c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</row>
    <row r="85" spans="1:24" x14ac:dyDescent="0.45">
      <c r="A85" s="12">
        <v>27395</v>
      </c>
      <c r="B85" s="14">
        <v>-44.7</v>
      </c>
      <c r="C85" s="14">
        <v>13.199999999999996</v>
      </c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</row>
    <row r="86" spans="1:24" x14ac:dyDescent="0.45">
      <c r="A86" s="12">
        <v>27426</v>
      </c>
      <c r="B86" s="14">
        <v>-25.5</v>
      </c>
      <c r="C86" s="14">
        <v>19.200000000000003</v>
      </c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</row>
    <row r="87" spans="1:24" x14ac:dyDescent="0.45">
      <c r="A87" s="12">
        <v>27454</v>
      </c>
      <c r="B87" s="14">
        <v>-28.4</v>
      </c>
      <c r="C87" s="14">
        <v>-2.8999999999999986</v>
      </c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</row>
    <row r="88" spans="1:24" x14ac:dyDescent="0.45">
      <c r="A88" s="12">
        <v>27485</v>
      </c>
      <c r="B88" s="14">
        <v>-28.1</v>
      </c>
      <c r="C88" s="14">
        <v>0.29999999999999716</v>
      </c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</row>
    <row r="89" spans="1:24" x14ac:dyDescent="0.45">
      <c r="A89" s="12">
        <v>27515</v>
      </c>
      <c r="B89" s="14">
        <v>-18.3</v>
      </c>
      <c r="C89" s="14">
        <v>9.8000000000000007</v>
      </c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</row>
    <row r="90" spans="1:24" x14ac:dyDescent="0.45">
      <c r="A90" s="12">
        <v>27546</v>
      </c>
      <c r="B90" s="14">
        <v>-6.4</v>
      </c>
      <c r="C90" s="14">
        <v>11.9</v>
      </c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</row>
    <row r="91" spans="1:24" x14ac:dyDescent="0.45">
      <c r="A91" s="12">
        <v>27576</v>
      </c>
      <c r="B91" s="14">
        <v>13.7</v>
      </c>
      <c r="C91" s="14">
        <v>20.100000000000001</v>
      </c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</row>
    <row r="92" spans="1:24" x14ac:dyDescent="0.45">
      <c r="A92" s="12">
        <v>27607</v>
      </c>
      <c r="B92" s="14">
        <v>28</v>
      </c>
      <c r="C92" s="14">
        <v>14.3</v>
      </c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</row>
    <row r="93" spans="1:24" x14ac:dyDescent="0.45">
      <c r="A93" s="12">
        <v>27638</v>
      </c>
      <c r="B93" s="14">
        <v>32.6</v>
      </c>
      <c r="C93" s="14">
        <v>4.6000000000000014</v>
      </c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</row>
    <row r="94" spans="1:24" x14ac:dyDescent="0.45">
      <c r="A94" s="12">
        <v>27668</v>
      </c>
      <c r="B94" s="14">
        <v>35.299999999999997</v>
      </c>
      <c r="C94" s="14">
        <v>2.6999999999999957</v>
      </c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</row>
    <row r="95" spans="1:24" x14ac:dyDescent="0.45">
      <c r="A95" s="12">
        <v>27699</v>
      </c>
      <c r="B95" s="14">
        <v>44.2</v>
      </c>
      <c r="C95" s="14">
        <v>8.9000000000000057</v>
      </c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</row>
    <row r="96" spans="1:24" x14ac:dyDescent="0.45">
      <c r="A96" s="12">
        <v>27729</v>
      </c>
      <c r="B96" s="14">
        <v>33.1</v>
      </c>
      <c r="C96" s="14">
        <v>-11.100000000000001</v>
      </c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</row>
    <row r="97" spans="1:24" x14ac:dyDescent="0.45">
      <c r="A97" s="12">
        <v>27760</v>
      </c>
      <c r="B97" s="14">
        <v>10.8</v>
      </c>
      <c r="C97" s="14">
        <v>-22.3</v>
      </c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</row>
    <row r="98" spans="1:24" x14ac:dyDescent="0.45">
      <c r="A98" s="12">
        <v>27791</v>
      </c>
      <c r="B98" s="14">
        <v>20.7</v>
      </c>
      <c r="C98" s="14">
        <v>9.8999999999999986</v>
      </c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</row>
    <row r="99" spans="1:24" x14ac:dyDescent="0.45">
      <c r="A99" s="12">
        <v>27820</v>
      </c>
      <c r="B99" s="14">
        <v>36.200000000000003</v>
      </c>
      <c r="C99" s="14">
        <v>15.500000000000004</v>
      </c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</row>
    <row r="100" spans="1:24" x14ac:dyDescent="0.45">
      <c r="A100" s="12">
        <v>27851</v>
      </c>
      <c r="B100" s="14">
        <v>43.2</v>
      </c>
      <c r="C100" s="14">
        <v>7</v>
      </c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</row>
    <row r="101" spans="1:24" x14ac:dyDescent="0.45">
      <c r="A101" s="12">
        <v>27881</v>
      </c>
      <c r="B101" s="14">
        <v>37.700000000000003</v>
      </c>
      <c r="C101" s="14">
        <v>-5.5</v>
      </c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</row>
    <row r="102" spans="1:24" x14ac:dyDescent="0.45">
      <c r="A102" s="12">
        <v>27912</v>
      </c>
      <c r="B102" s="14">
        <v>32.700000000000003</v>
      </c>
      <c r="C102" s="14">
        <v>-5</v>
      </c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</row>
    <row r="103" spans="1:24" x14ac:dyDescent="0.45">
      <c r="A103" s="12">
        <v>27942</v>
      </c>
      <c r="B103" s="14">
        <v>28</v>
      </c>
      <c r="C103" s="14">
        <v>-4.7000000000000028</v>
      </c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</row>
    <row r="104" spans="1:24" x14ac:dyDescent="0.45">
      <c r="A104" s="12">
        <v>27973</v>
      </c>
      <c r="B104" s="14">
        <v>19.600000000000001</v>
      </c>
      <c r="C104" s="14">
        <v>-8.3999999999999986</v>
      </c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</row>
    <row r="105" spans="1:24" x14ac:dyDescent="0.45">
      <c r="A105" s="12">
        <v>28004</v>
      </c>
      <c r="B105" s="14">
        <v>22.1</v>
      </c>
      <c r="C105" s="14">
        <v>2.5</v>
      </c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</row>
    <row r="106" spans="1:24" x14ac:dyDescent="0.45">
      <c r="A106" s="12">
        <v>28034</v>
      </c>
      <c r="B106" s="14">
        <v>22.2</v>
      </c>
      <c r="C106" s="14">
        <v>9.9999999999997868E-2</v>
      </c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</row>
    <row r="107" spans="1:24" x14ac:dyDescent="0.45">
      <c r="A107" s="12">
        <v>28065</v>
      </c>
      <c r="B107" s="14">
        <v>13.8</v>
      </c>
      <c r="C107" s="14">
        <v>-8.3999999999999986</v>
      </c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</row>
    <row r="108" spans="1:24" x14ac:dyDescent="0.45">
      <c r="A108" s="12">
        <v>28095</v>
      </c>
      <c r="B108" s="14">
        <v>13.6</v>
      </c>
      <c r="C108" s="14">
        <v>-0.20000000000000107</v>
      </c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</row>
    <row r="109" spans="1:24" x14ac:dyDescent="0.45">
      <c r="A109" s="12">
        <v>28126</v>
      </c>
      <c r="B109" s="14">
        <v>31.5</v>
      </c>
      <c r="C109" s="14">
        <v>17.899999999999999</v>
      </c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</row>
    <row r="110" spans="1:24" x14ac:dyDescent="0.45">
      <c r="A110" s="12">
        <v>28157</v>
      </c>
      <c r="B110" s="14">
        <v>34.9</v>
      </c>
      <c r="C110" s="14">
        <v>3.3999999999999986</v>
      </c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</row>
    <row r="111" spans="1:24" x14ac:dyDescent="0.45">
      <c r="A111" s="12">
        <v>28185</v>
      </c>
      <c r="B111" s="14">
        <v>33.200000000000003</v>
      </c>
      <c r="C111" s="14">
        <v>-1.6999999999999957</v>
      </c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</row>
    <row r="112" spans="1:24" x14ac:dyDescent="0.45">
      <c r="A112" s="12">
        <v>28216</v>
      </c>
      <c r="B112" s="14">
        <v>44.4</v>
      </c>
      <c r="C112" s="14">
        <v>11.199999999999996</v>
      </c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</row>
    <row r="113" spans="1:24" x14ac:dyDescent="0.45">
      <c r="A113" s="12">
        <v>28246</v>
      </c>
      <c r="B113" s="14">
        <v>30.3</v>
      </c>
      <c r="C113" s="14">
        <v>-14.099999999999998</v>
      </c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</row>
    <row r="114" spans="1:24" x14ac:dyDescent="0.45">
      <c r="A114" s="12">
        <v>28277</v>
      </c>
      <c r="B114" s="14">
        <v>27.6</v>
      </c>
      <c r="C114" s="14">
        <v>-2.6999999999999993</v>
      </c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</row>
    <row r="115" spans="1:24" x14ac:dyDescent="0.45">
      <c r="A115" s="12">
        <v>28307</v>
      </c>
      <c r="B115" s="14">
        <v>21.5</v>
      </c>
      <c r="C115" s="14">
        <v>-6.1000000000000014</v>
      </c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</row>
    <row r="116" spans="1:24" x14ac:dyDescent="0.45">
      <c r="A116" s="12">
        <v>28338</v>
      </c>
      <c r="B116" s="14">
        <v>20.100000000000001</v>
      </c>
      <c r="C116" s="14">
        <v>-1.3999999999999986</v>
      </c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</row>
    <row r="117" spans="1:24" x14ac:dyDescent="0.45">
      <c r="A117" s="12">
        <v>28369</v>
      </c>
      <c r="B117" s="14">
        <v>11.2</v>
      </c>
      <c r="C117" s="14">
        <v>-8.9000000000000021</v>
      </c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</row>
    <row r="118" spans="1:24" x14ac:dyDescent="0.45">
      <c r="A118" s="12">
        <v>28399</v>
      </c>
      <c r="B118" s="14">
        <v>15.9</v>
      </c>
      <c r="C118" s="14">
        <v>4.7000000000000011</v>
      </c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</row>
    <row r="119" spans="1:24" x14ac:dyDescent="0.45">
      <c r="A119" s="12">
        <v>28430</v>
      </c>
      <c r="B119" s="14">
        <v>18.2</v>
      </c>
      <c r="C119" s="14">
        <v>2.2999999999999989</v>
      </c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</row>
    <row r="120" spans="1:24" x14ac:dyDescent="0.45">
      <c r="A120" s="12">
        <v>28460</v>
      </c>
      <c r="B120" s="14">
        <v>30.6</v>
      </c>
      <c r="C120" s="14">
        <v>12.400000000000002</v>
      </c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</row>
    <row r="121" spans="1:24" x14ac:dyDescent="0.45">
      <c r="A121" s="12">
        <v>28491</v>
      </c>
      <c r="B121" s="14">
        <v>20.6</v>
      </c>
      <c r="C121" s="14">
        <v>-10</v>
      </c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</row>
    <row r="122" spans="1:24" x14ac:dyDescent="0.45">
      <c r="A122" s="12">
        <v>28522</v>
      </c>
      <c r="B122" s="14">
        <v>11.3</v>
      </c>
      <c r="C122" s="14">
        <v>-9.3000000000000007</v>
      </c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</row>
    <row r="123" spans="1:24" x14ac:dyDescent="0.45">
      <c r="A123" s="12">
        <v>28550</v>
      </c>
      <c r="B123" s="14">
        <v>8.9</v>
      </c>
      <c r="C123" s="14">
        <v>-2.4000000000000004</v>
      </c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</row>
    <row r="124" spans="1:24" x14ac:dyDescent="0.45">
      <c r="A124" s="12">
        <v>28581</v>
      </c>
      <c r="B124" s="14">
        <v>18.399999999999999</v>
      </c>
      <c r="C124" s="14">
        <v>9.4999999999999982</v>
      </c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</row>
    <row r="125" spans="1:24" x14ac:dyDescent="0.45">
      <c r="A125" s="12">
        <v>28611</v>
      </c>
      <c r="B125" s="14">
        <v>27.6</v>
      </c>
      <c r="C125" s="14">
        <v>9.2000000000000028</v>
      </c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</row>
    <row r="126" spans="1:24" x14ac:dyDescent="0.45">
      <c r="A126" s="12">
        <v>28642</v>
      </c>
      <c r="B126" s="14">
        <v>23.2</v>
      </c>
      <c r="C126" s="14">
        <v>-4.4000000000000021</v>
      </c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</row>
    <row r="127" spans="1:24" x14ac:dyDescent="0.45">
      <c r="A127" s="12">
        <v>28672</v>
      </c>
      <c r="B127" s="14">
        <v>17.899999999999999</v>
      </c>
      <c r="C127" s="14">
        <v>-5.3000000000000007</v>
      </c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</row>
    <row r="128" spans="1:24" x14ac:dyDescent="0.45">
      <c r="A128" s="12">
        <v>28703</v>
      </c>
      <c r="B128" s="14">
        <v>27.7</v>
      </c>
      <c r="C128" s="14">
        <v>9.8000000000000007</v>
      </c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</row>
    <row r="129" spans="1:24" x14ac:dyDescent="0.45">
      <c r="A129" s="12">
        <v>28734</v>
      </c>
      <c r="B129" s="14">
        <v>17.899999999999999</v>
      </c>
      <c r="C129" s="14">
        <v>-9.8000000000000007</v>
      </c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</row>
    <row r="130" spans="1:24" x14ac:dyDescent="0.45">
      <c r="A130" s="12">
        <v>28764</v>
      </c>
      <c r="B130" s="14">
        <v>21</v>
      </c>
      <c r="C130" s="14">
        <v>3.1000000000000014</v>
      </c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</row>
    <row r="131" spans="1:24" x14ac:dyDescent="0.45">
      <c r="A131" s="12">
        <v>28795</v>
      </c>
      <c r="B131" s="14">
        <v>14.4</v>
      </c>
      <c r="C131" s="14">
        <v>-6.6</v>
      </c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</row>
    <row r="132" spans="1:24" x14ac:dyDescent="0.45">
      <c r="A132" s="12">
        <v>28825</v>
      </c>
      <c r="B132" s="14">
        <v>8.5</v>
      </c>
      <c r="C132" s="14">
        <v>-5.9</v>
      </c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</row>
    <row r="133" spans="1:24" x14ac:dyDescent="0.45">
      <c r="A133" s="12">
        <v>28856</v>
      </c>
      <c r="B133" s="14">
        <v>4.0999999999999996</v>
      </c>
      <c r="C133" s="14">
        <v>-4.4000000000000004</v>
      </c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</row>
    <row r="134" spans="1:24" x14ac:dyDescent="0.45">
      <c r="A134" s="12">
        <v>28887</v>
      </c>
      <c r="B134" s="14">
        <v>-1.5</v>
      </c>
      <c r="C134" s="14">
        <v>-5.6</v>
      </c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</row>
    <row r="135" spans="1:24" x14ac:dyDescent="0.45">
      <c r="A135" s="12">
        <v>28915</v>
      </c>
      <c r="B135" s="14">
        <v>5.8</v>
      </c>
      <c r="C135" s="14">
        <v>7.3</v>
      </c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</row>
    <row r="136" spans="1:24" x14ac:dyDescent="0.45">
      <c r="A136" s="12">
        <v>28946</v>
      </c>
      <c r="B136" s="14">
        <v>-3.4</v>
      </c>
      <c r="C136" s="14">
        <v>-9.1999999999999993</v>
      </c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</row>
    <row r="137" spans="1:24" x14ac:dyDescent="0.45">
      <c r="A137" s="12">
        <v>28976</v>
      </c>
      <c r="B137" s="14">
        <v>-1.6</v>
      </c>
      <c r="C137" s="14">
        <v>1.7999999999999998</v>
      </c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</row>
    <row r="138" spans="1:24" x14ac:dyDescent="0.45">
      <c r="A138" s="12">
        <v>29007</v>
      </c>
      <c r="B138" s="14">
        <v>-4.2</v>
      </c>
      <c r="C138" s="14">
        <v>-2.6</v>
      </c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</row>
    <row r="139" spans="1:24" x14ac:dyDescent="0.45">
      <c r="A139" s="12">
        <v>29037</v>
      </c>
      <c r="B139" s="14">
        <v>-13.2</v>
      </c>
      <c r="C139" s="14">
        <v>-9</v>
      </c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</row>
    <row r="140" spans="1:24" x14ac:dyDescent="0.45">
      <c r="A140" s="12">
        <v>29068</v>
      </c>
      <c r="B140" s="14">
        <v>-17.8</v>
      </c>
      <c r="C140" s="14">
        <v>-4.6000000000000014</v>
      </c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</row>
    <row r="141" spans="1:24" x14ac:dyDescent="0.45">
      <c r="A141" s="12">
        <v>29099</v>
      </c>
      <c r="B141" s="14">
        <v>-24.4</v>
      </c>
      <c r="C141" s="14">
        <v>-6.5999999999999979</v>
      </c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</row>
    <row r="142" spans="1:24" x14ac:dyDescent="0.45">
      <c r="A142" s="12">
        <v>29129</v>
      </c>
      <c r="B142" s="14">
        <v>-28.6</v>
      </c>
      <c r="C142" s="14">
        <v>-4.2000000000000028</v>
      </c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</row>
    <row r="143" spans="1:24" x14ac:dyDescent="0.45">
      <c r="A143" s="12">
        <v>29160</v>
      </c>
      <c r="B143" s="14">
        <v>-20.100000000000001</v>
      </c>
      <c r="C143" s="14">
        <v>8.5</v>
      </c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</row>
    <row r="144" spans="1:24" x14ac:dyDescent="0.45">
      <c r="A144" s="12">
        <v>29190</v>
      </c>
      <c r="B144" s="14">
        <v>-15.6</v>
      </c>
      <c r="C144" s="14">
        <v>4.5000000000000018</v>
      </c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</row>
    <row r="145" spans="1:24" x14ac:dyDescent="0.45">
      <c r="A145" s="12">
        <v>29221</v>
      </c>
      <c r="B145" s="14">
        <v>-18.399999999999999</v>
      </c>
      <c r="C145" s="14">
        <v>-2.7999999999999989</v>
      </c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</row>
    <row r="146" spans="1:24" x14ac:dyDescent="0.45">
      <c r="A146" s="12">
        <v>29252</v>
      </c>
      <c r="B146" s="14">
        <v>-20.9</v>
      </c>
      <c r="C146" s="14">
        <v>-2.5</v>
      </c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</row>
    <row r="147" spans="1:24" x14ac:dyDescent="0.45">
      <c r="A147" s="12">
        <v>29281</v>
      </c>
      <c r="B147" s="14">
        <v>-19.5</v>
      </c>
      <c r="C147" s="14">
        <v>1.3999999999999986</v>
      </c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</row>
    <row r="148" spans="1:24" x14ac:dyDescent="0.45">
      <c r="A148" s="12">
        <v>29312</v>
      </c>
      <c r="B148" s="14">
        <v>-37.1</v>
      </c>
      <c r="C148" s="14">
        <v>-17.600000000000001</v>
      </c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</row>
    <row r="149" spans="1:24" x14ac:dyDescent="0.45">
      <c r="A149" s="12">
        <v>29342</v>
      </c>
      <c r="B149" s="14">
        <v>-53.4</v>
      </c>
      <c r="C149" s="14">
        <v>-16.299999999999997</v>
      </c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</row>
    <row r="150" spans="1:24" x14ac:dyDescent="0.45">
      <c r="A150" s="12">
        <v>29373</v>
      </c>
      <c r="B150" s="14">
        <v>-54.3</v>
      </c>
      <c r="C150" s="14">
        <v>-0.89999999999999858</v>
      </c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</row>
    <row r="151" spans="1:24" x14ac:dyDescent="0.45">
      <c r="A151" s="12">
        <v>29403</v>
      </c>
      <c r="B151" s="14">
        <v>-57.1</v>
      </c>
      <c r="C151" s="14">
        <v>-2.8000000000000043</v>
      </c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</row>
    <row r="152" spans="1:24" x14ac:dyDescent="0.45">
      <c r="A152" s="12">
        <v>29434</v>
      </c>
      <c r="B152" s="14">
        <v>-39.4</v>
      </c>
      <c r="C152" s="14">
        <v>17.700000000000003</v>
      </c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</row>
    <row r="153" spans="1:24" x14ac:dyDescent="0.45">
      <c r="A153" s="12">
        <v>29465</v>
      </c>
      <c r="B153" s="14">
        <v>-10.3</v>
      </c>
      <c r="C153" s="14">
        <v>29.099999999999998</v>
      </c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</row>
    <row r="154" spans="1:24" x14ac:dyDescent="0.45">
      <c r="A154" s="12">
        <v>29495</v>
      </c>
      <c r="B154" s="14">
        <v>24.7</v>
      </c>
      <c r="C154" s="14">
        <v>35</v>
      </c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</row>
    <row r="155" spans="1:24" x14ac:dyDescent="0.45">
      <c r="A155" s="12">
        <v>29526</v>
      </c>
      <c r="B155" s="14">
        <v>9</v>
      </c>
      <c r="C155" s="14">
        <v>-15.7</v>
      </c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</row>
    <row r="156" spans="1:24" x14ac:dyDescent="0.45">
      <c r="A156" s="12">
        <v>29556</v>
      </c>
      <c r="B156" s="14">
        <v>7.4</v>
      </c>
      <c r="C156" s="14">
        <v>-1.5999999999999996</v>
      </c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</row>
    <row r="157" spans="1:24" x14ac:dyDescent="0.45">
      <c r="A157" s="12">
        <v>29587</v>
      </c>
      <c r="B157" s="14">
        <v>2.1</v>
      </c>
      <c r="C157" s="14">
        <v>-5.3000000000000007</v>
      </c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</row>
    <row r="158" spans="1:24" x14ac:dyDescent="0.45">
      <c r="A158" s="12">
        <v>29618</v>
      </c>
      <c r="B158" s="14">
        <v>5.2</v>
      </c>
      <c r="C158" s="14">
        <v>3.1</v>
      </c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</row>
    <row r="159" spans="1:24" x14ac:dyDescent="0.45">
      <c r="A159" s="12">
        <v>29646</v>
      </c>
      <c r="B159" s="14">
        <v>8</v>
      </c>
      <c r="C159" s="14">
        <v>2.8</v>
      </c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</row>
    <row r="160" spans="1:24" x14ac:dyDescent="0.45">
      <c r="A160" s="12">
        <v>29677</v>
      </c>
      <c r="B160" s="14">
        <v>-1.2</v>
      </c>
      <c r="C160" s="14">
        <v>-9.1999999999999993</v>
      </c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</row>
    <row r="161" spans="1:24" x14ac:dyDescent="0.45">
      <c r="A161" s="12">
        <v>29707</v>
      </c>
      <c r="B161" s="14">
        <v>9.1</v>
      </c>
      <c r="C161" s="14">
        <v>10.299999999999999</v>
      </c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</row>
    <row r="162" spans="1:24" x14ac:dyDescent="0.45">
      <c r="A162" s="12">
        <v>29738</v>
      </c>
      <c r="B162" s="14">
        <v>-2.1</v>
      </c>
      <c r="C162" s="14">
        <v>-11.2</v>
      </c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</row>
    <row r="163" spans="1:24" x14ac:dyDescent="0.45">
      <c r="A163" s="12">
        <v>29768</v>
      </c>
      <c r="B163" s="14">
        <v>5.5</v>
      </c>
      <c r="C163" s="14">
        <v>7.6</v>
      </c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</row>
    <row r="164" spans="1:24" x14ac:dyDescent="0.45">
      <c r="A164" s="12">
        <v>29799</v>
      </c>
      <c r="B164" s="14">
        <v>16.8</v>
      </c>
      <c r="C164" s="14">
        <v>11.3</v>
      </c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</row>
    <row r="165" spans="1:24" x14ac:dyDescent="0.45">
      <c r="A165" s="12">
        <v>29830</v>
      </c>
      <c r="B165" s="14">
        <v>7.5</v>
      </c>
      <c r="C165" s="14">
        <v>-9.3000000000000007</v>
      </c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</row>
    <row r="166" spans="1:24" x14ac:dyDescent="0.45">
      <c r="A166" s="12">
        <v>29860</v>
      </c>
      <c r="B166" s="14">
        <v>-13.2</v>
      </c>
      <c r="C166" s="14">
        <v>-20.7</v>
      </c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</row>
    <row r="167" spans="1:24" x14ac:dyDescent="0.45">
      <c r="A167" s="12">
        <v>29891</v>
      </c>
      <c r="B167" s="14">
        <v>-25.7</v>
      </c>
      <c r="C167" s="14">
        <v>-12.5</v>
      </c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</row>
    <row r="168" spans="1:24" x14ac:dyDescent="0.45">
      <c r="A168" s="12">
        <v>29921</v>
      </c>
      <c r="B168" s="14">
        <v>-34.5</v>
      </c>
      <c r="C168" s="14">
        <v>-8.8000000000000007</v>
      </c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</row>
    <row r="169" spans="1:24" x14ac:dyDescent="0.45">
      <c r="A169" s="12">
        <v>29952</v>
      </c>
      <c r="B169" s="14">
        <v>-19.899999999999999</v>
      </c>
      <c r="C169" s="14">
        <v>14.600000000000001</v>
      </c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</row>
    <row r="170" spans="1:24" x14ac:dyDescent="0.45">
      <c r="A170" s="12">
        <v>29983</v>
      </c>
      <c r="B170" s="14">
        <v>-15.4</v>
      </c>
      <c r="C170" s="14">
        <v>4.4999999999999982</v>
      </c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</row>
    <row r="171" spans="1:24" x14ac:dyDescent="0.45">
      <c r="A171" s="12">
        <v>30011</v>
      </c>
      <c r="B171" s="14">
        <v>-15.7</v>
      </c>
      <c r="C171" s="14">
        <v>-0.29999999999999893</v>
      </c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</row>
    <row r="172" spans="1:24" x14ac:dyDescent="0.45">
      <c r="A172" s="12">
        <v>30042</v>
      </c>
      <c r="B172" s="14">
        <v>-3.2</v>
      </c>
      <c r="C172" s="14">
        <v>12.5</v>
      </c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</row>
    <row r="173" spans="1:24" x14ac:dyDescent="0.45">
      <c r="A173" s="12">
        <v>30072</v>
      </c>
      <c r="B173" s="14">
        <v>-4.5999999999999996</v>
      </c>
      <c r="C173" s="14">
        <v>-1.3999999999999995</v>
      </c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</row>
    <row r="174" spans="1:24" x14ac:dyDescent="0.45">
      <c r="A174" s="12">
        <v>30103</v>
      </c>
      <c r="B174" s="14">
        <v>2.2000000000000002</v>
      </c>
      <c r="C174" s="14">
        <v>6.8</v>
      </c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</row>
    <row r="175" spans="1:24" x14ac:dyDescent="0.45">
      <c r="A175" s="12">
        <v>30133</v>
      </c>
      <c r="B175" s="14">
        <v>2.8</v>
      </c>
      <c r="C175" s="14">
        <v>0.59999999999999964</v>
      </c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</row>
    <row r="176" spans="1:24" x14ac:dyDescent="0.45">
      <c r="A176" s="12">
        <v>30164</v>
      </c>
      <c r="B176" s="14">
        <v>-3.2</v>
      </c>
      <c r="C176" s="14">
        <v>-6</v>
      </c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</row>
    <row r="177" spans="1:24" x14ac:dyDescent="0.45">
      <c r="A177" s="12">
        <v>30195</v>
      </c>
      <c r="B177" s="14">
        <v>-13.6</v>
      </c>
      <c r="C177" s="14">
        <v>-10.399999999999999</v>
      </c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</row>
    <row r="178" spans="1:24" x14ac:dyDescent="0.45">
      <c r="A178" s="12">
        <v>30225</v>
      </c>
      <c r="B178" s="14">
        <v>10.9</v>
      </c>
      <c r="C178" s="14">
        <v>24.5</v>
      </c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</row>
    <row r="179" spans="1:24" x14ac:dyDescent="0.45">
      <c r="A179" s="12">
        <v>30256</v>
      </c>
      <c r="B179" s="14">
        <v>2.2999999999999998</v>
      </c>
      <c r="C179" s="14">
        <v>-8.6000000000000014</v>
      </c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</row>
    <row r="180" spans="1:24" x14ac:dyDescent="0.45">
      <c r="A180" s="12">
        <v>30286</v>
      </c>
      <c r="B180" s="14">
        <v>14.7</v>
      </c>
      <c r="C180" s="14">
        <v>12.399999999999999</v>
      </c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</row>
    <row r="181" spans="1:24" x14ac:dyDescent="0.45">
      <c r="A181" s="12">
        <v>30317</v>
      </c>
      <c r="B181" s="14">
        <v>12.5</v>
      </c>
      <c r="C181" s="14">
        <v>-2.1999999999999993</v>
      </c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</row>
    <row r="182" spans="1:24" x14ac:dyDescent="0.45">
      <c r="A182" s="12">
        <v>30348</v>
      </c>
      <c r="B182" s="14">
        <v>20.2</v>
      </c>
      <c r="C182" s="14">
        <v>7.6999999999999993</v>
      </c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</row>
    <row r="183" spans="1:24" x14ac:dyDescent="0.45">
      <c r="A183" s="12">
        <v>30376</v>
      </c>
      <c r="B183" s="14">
        <v>32.6</v>
      </c>
      <c r="C183" s="14">
        <v>12.400000000000002</v>
      </c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</row>
    <row r="184" spans="1:24" x14ac:dyDescent="0.45">
      <c r="A184" s="12">
        <v>30407</v>
      </c>
      <c r="B184" s="14">
        <v>37.200000000000003</v>
      </c>
      <c r="C184" s="14">
        <v>4.6000000000000014</v>
      </c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</row>
    <row r="185" spans="1:24" x14ac:dyDescent="0.45">
      <c r="A185" s="12">
        <v>30437</v>
      </c>
      <c r="B185" s="14">
        <v>37.6</v>
      </c>
      <c r="C185" s="14">
        <v>0.39999999999999858</v>
      </c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</row>
    <row r="186" spans="1:24" x14ac:dyDescent="0.45">
      <c r="A186" s="12">
        <v>30468</v>
      </c>
      <c r="B186" s="14">
        <v>42.3</v>
      </c>
      <c r="C186" s="14">
        <v>4.6999999999999957</v>
      </c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</row>
    <row r="187" spans="1:24" x14ac:dyDescent="0.45">
      <c r="A187" s="12">
        <v>30498</v>
      </c>
      <c r="B187" s="14">
        <v>49.5</v>
      </c>
      <c r="C187" s="14">
        <v>7.2000000000000028</v>
      </c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</row>
    <row r="188" spans="1:24" x14ac:dyDescent="0.45">
      <c r="A188" s="12">
        <v>30529</v>
      </c>
      <c r="B188" s="14">
        <v>41.5</v>
      </c>
      <c r="C188" s="14">
        <v>-8</v>
      </c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</row>
    <row r="189" spans="1:24" x14ac:dyDescent="0.45">
      <c r="A189" s="12">
        <v>30560</v>
      </c>
      <c r="B189" s="14">
        <v>40.700000000000003</v>
      </c>
      <c r="C189" s="14">
        <v>-0.79999999999999716</v>
      </c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</row>
    <row r="190" spans="1:24" x14ac:dyDescent="0.45">
      <c r="A190" s="12">
        <v>30590</v>
      </c>
      <c r="B190" s="14">
        <v>35.4</v>
      </c>
      <c r="C190" s="14">
        <v>-5.3000000000000043</v>
      </c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</row>
    <row r="191" spans="1:24" x14ac:dyDescent="0.45">
      <c r="A191" s="12">
        <v>30621</v>
      </c>
      <c r="B191" s="14">
        <v>45.1</v>
      </c>
      <c r="C191" s="14">
        <v>9.7000000000000028</v>
      </c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</row>
    <row r="192" spans="1:24" x14ac:dyDescent="0.45">
      <c r="A192" s="12">
        <v>30651</v>
      </c>
      <c r="B192" s="14">
        <v>41</v>
      </c>
      <c r="C192" s="14">
        <v>-4.1000000000000014</v>
      </c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</row>
    <row r="193" spans="1:24" x14ac:dyDescent="0.45">
      <c r="A193" s="12">
        <v>30682</v>
      </c>
      <c r="B193" s="14">
        <v>47</v>
      </c>
      <c r="C193" s="14">
        <v>6</v>
      </c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</row>
    <row r="194" spans="1:24" x14ac:dyDescent="0.45">
      <c r="A194" s="12">
        <v>30713</v>
      </c>
      <c r="B194" s="14">
        <v>25.8</v>
      </c>
      <c r="C194" s="14">
        <v>-21.2</v>
      </c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</row>
    <row r="195" spans="1:24" x14ac:dyDescent="0.45">
      <c r="A195" s="12">
        <v>30742</v>
      </c>
      <c r="B195" s="14">
        <v>35</v>
      </c>
      <c r="C195" s="14">
        <v>9.1999999999999993</v>
      </c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</row>
    <row r="196" spans="1:24" x14ac:dyDescent="0.45">
      <c r="A196" s="12">
        <v>30773</v>
      </c>
      <c r="B196" s="14">
        <v>36.9</v>
      </c>
      <c r="C196" s="14">
        <v>1.8999999999999986</v>
      </c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</row>
    <row r="197" spans="1:24" x14ac:dyDescent="0.45">
      <c r="A197" s="12">
        <v>30803</v>
      </c>
      <c r="B197" s="14">
        <v>31.7</v>
      </c>
      <c r="C197" s="14">
        <v>-5.1999999999999993</v>
      </c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</row>
    <row r="198" spans="1:24" x14ac:dyDescent="0.45">
      <c r="A198" s="12">
        <v>30834</v>
      </c>
      <c r="B198" s="14">
        <v>27.7</v>
      </c>
      <c r="C198" s="14">
        <v>-4</v>
      </c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</row>
    <row r="199" spans="1:24" x14ac:dyDescent="0.45">
      <c r="A199" s="12">
        <v>30864</v>
      </c>
      <c r="B199" s="14">
        <v>1.4</v>
      </c>
      <c r="C199" s="14">
        <v>-26.3</v>
      </c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</row>
    <row r="200" spans="1:24" x14ac:dyDescent="0.45">
      <c r="A200" s="12">
        <v>30895</v>
      </c>
      <c r="B200" s="14">
        <v>23.7</v>
      </c>
      <c r="C200" s="14">
        <v>22.3</v>
      </c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</row>
    <row r="201" spans="1:24" x14ac:dyDescent="0.45">
      <c r="A201" s="12">
        <v>30926</v>
      </c>
      <c r="B201" s="14">
        <v>22.3</v>
      </c>
      <c r="C201" s="14">
        <v>-1.3999999999999986</v>
      </c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</row>
    <row r="202" spans="1:24" x14ac:dyDescent="0.45">
      <c r="A202" s="12">
        <v>30956</v>
      </c>
      <c r="B202" s="14">
        <v>15.4</v>
      </c>
      <c r="C202" s="14">
        <v>-6.9</v>
      </c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</row>
    <row r="203" spans="1:24" x14ac:dyDescent="0.45">
      <c r="A203" s="12">
        <v>30987</v>
      </c>
      <c r="B203" s="14">
        <v>2.7</v>
      </c>
      <c r="C203" s="14">
        <v>-12.7</v>
      </c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</row>
    <row r="204" spans="1:24" x14ac:dyDescent="0.45">
      <c r="A204" s="12">
        <v>31017</v>
      </c>
      <c r="B204" s="14">
        <v>2.1</v>
      </c>
      <c r="C204" s="14">
        <v>-0.60000000000000009</v>
      </c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</row>
    <row r="205" spans="1:24" x14ac:dyDescent="0.45">
      <c r="A205" s="12">
        <v>31048</v>
      </c>
      <c r="B205" s="14">
        <v>5.5</v>
      </c>
      <c r="C205" s="14">
        <v>3.4</v>
      </c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</row>
    <row r="206" spans="1:24" x14ac:dyDescent="0.45">
      <c r="A206" s="12">
        <v>31079</v>
      </c>
      <c r="B206" s="14">
        <v>10.9</v>
      </c>
      <c r="C206" s="14">
        <v>5.4</v>
      </c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</row>
    <row r="207" spans="1:24" x14ac:dyDescent="0.45">
      <c r="A207" s="12">
        <v>31107</v>
      </c>
      <c r="B207" s="14">
        <v>30.9</v>
      </c>
      <c r="C207" s="14">
        <v>20</v>
      </c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</row>
    <row r="208" spans="1:24" x14ac:dyDescent="0.45">
      <c r="A208" s="12">
        <v>31138</v>
      </c>
      <c r="B208" s="14">
        <v>10</v>
      </c>
      <c r="C208" s="14">
        <v>-20.9</v>
      </c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</row>
    <row r="209" spans="1:24" x14ac:dyDescent="0.45">
      <c r="A209" s="12">
        <v>31168</v>
      </c>
      <c r="B209" s="14">
        <v>8</v>
      </c>
      <c r="C209" s="14">
        <v>-2</v>
      </c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</row>
    <row r="210" spans="1:24" x14ac:dyDescent="0.45">
      <c r="A210" s="12">
        <v>31199</v>
      </c>
      <c r="B210" s="14">
        <v>-2.4</v>
      </c>
      <c r="C210" s="14">
        <v>-10.4</v>
      </c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</row>
    <row r="211" spans="1:24" x14ac:dyDescent="0.45">
      <c r="A211" s="12">
        <v>31229</v>
      </c>
      <c r="B211" s="14">
        <v>11.5</v>
      </c>
      <c r="C211" s="14">
        <v>13.9</v>
      </c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</row>
    <row r="212" spans="1:24" x14ac:dyDescent="0.45">
      <c r="A212" s="12">
        <v>31260</v>
      </c>
      <c r="B212" s="14">
        <v>6.9</v>
      </c>
      <c r="C212" s="14">
        <v>-4.5999999999999996</v>
      </c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</row>
    <row r="213" spans="1:24" x14ac:dyDescent="0.45">
      <c r="A213" s="12">
        <v>31291</v>
      </c>
      <c r="B213" s="14">
        <v>2.2999999999999998</v>
      </c>
      <c r="C213" s="14">
        <v>-4.6000000000000005</v>
      </c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</row>
    <row r="214" spans="1:24" x14ac:dyDescent="0.45">
      <c r="A214" s="12">
        <v>31321</v>
      </c>
      <c r="B214" s="14">
        <v>6.3</v>
      </c>
      <c r="C214" s="14">
        <v>4</v>
      </c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</row>
    <row r="215" spans="1:24" x14ac:dyDescent="0.45">
      <c r="A215" s="12">
        <v>31352</v>
      </c>
      <c r="B215" s="14">
        <v>19.7</v>
      </c>
      <c r="C215" s="14">
        <v>13.399999999999999</v>
      </c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</row>
    <row r="216" spans="1:24" x14ac:dyDescent="0.45">
      <c r="A216" s="12">
        <v>31382</v>
      </c>
      <c r="B216" s="14">
        <v>13.4</v>
      </c>
      <c r="C216" s="14">
        <v>-6.2999999999999989</v>
      </c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</row>
    <row r="217" spans="1:24" x14ac:dyDescent="0.45">
      <c r="A217" s="12">
        <v>31413</v>
      </c>
      <c r="B217" s="14">
        <v>22.4</v>
      </c>
      <c r="C217" s="14">
        <v>8.9999999999999982</v>
      </c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</row>
    <row r="218" spans="1:24" x14ac:dyDescent="0.45">
      <c r="A218" s="12">
        <v>31444</v>
      </c>
      <c r="B218" s="14">
        <v>19.8</v>
      </c>
      <c r="C218" s="14">
        <v>-2.5999999999999979</v>
      </c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</row>
    <row r="219" spans="1:24" x14ac:dyDescent="0.45">
      <c r="A219" s="12">
        <v>31472</v>
      </c>
      <c r="B219" s="14">
        <v>14</v>
      </c>
      <c r="C219" s="14">
        <v>-5.8000000000000007</v>
      </c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</row>
    <row r="220" spans="1:24" x14ac:dyDescent="0.45">
      <c r="A220" s="12">
        <v>31503</v>
      </c>
      <c r="B220" s="14">
        <v>3.2</v>
      </c>
      <c r="C220" s="14">
        <v>-10.8</v>
      </c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</row>
    <row r="221" spans="1:24" x14ac:dyDescent="0.45">
      <c r="A221" s="12">
        <v>31533</v>
      </c>
      <c r="B221" s="14">
        <v>1.9</v>
      </c>
      <c r="C221" s="14">
        <v>-1.3000000000000003</v>
      </c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</row>
    <row r="222" spans="1:24" x14ac:dyDescent="0.45">
      <c r="A222" s="12">
        <v>31564</v>
      </c>
      <c r="B222" s="14">
        <v>2.8</v>
      </c>
      <c r="C222" s="14">
        <v>0.89999999999999991</v>
      </c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</row>
    <row r="223" spans="1:24" x14ac:dyDescent="0.45">
      <c r="A223" s="12">
        <v>31594</v>
      </c>
      <c r="B223" s="14">
        <v>11.8</v>
      </c>
      <c r="C223" s="14">
        <v>9</v>
      </c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</row>
    <row r="224" spans="1:24" x14ac:dyDescent="0.45">
      <c r="A224" s="12">
        <v>31625</v>
      </c>
      <c r="B224" s="14">
        <v>6.8</v>
      </c>
      <c r="C224" s="14">
        <v>-5.0000000000000009</v>
      </c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</row>
    <row r="225" spans="1:24" x14ac:dyDescent="0.45">
      <c r="A225" s="12">
        <v>31656</v>
      </c>
      <c r="B225" s="14">
        <v>10.6</v>
      </c>
      <c r="C225" s="14">
        <v>3.8</v>
      </c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</row>
    <row r="226" spans="1:24" x14ac:dyDescent="0.45">
      <c r="A226" s="12">
        <v>31686</v>
      </c>
      <c r="B226" s="14">
        <v>9.1</v>
      </c>
      <c r="C226" s="14">
        <v>-1.5</v>
      </c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</row>
    <row r="227" spans="1:24" x14ac:dyDescent="0.45">
      <c r="A227" s="12">
        <v>31717</v>
      </c>
      <c r="B227" s="14">
        <v>16.399999999999999</v>
      </c>
      <c r="C227" s="14">
        <v>7.2999999999999989</v>
      </c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</row>
    <row r="228" spans="1:24" x14ac:dyDescent="0.45">
      <c r="A228" s="12">
        <v>31747</v>
      </c>
      <c r="B228" s="14">
        <v>22.8</v>
      </c>
      <c r="C228" s="14">
        <v>6.4000000000000021</v>
      </c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</row>
    <row r="229" spans="1:24" x14ac:dyDescent="0.45">
      <c r="A229" s="12">
        <v>31778</v>
      </c>
      <c r="B229" s="14">
        <v>5.8</v>
      </c>
      <c r="C229" s="14">
        <v>-17</v>
      </c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</row>
    <row r="230" spans="1:24" x14ac:dyDescent="0.45">
      <c r="A230" s="12">
        <v>31809</v>
      </c>
      <c r="B230" s="14">
        <v>9.3000000000000007</v>
      </c>
      <c r="C230" s="14">
        <v>3.5000000000000009</v>
      </c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</row>
    <row r="231" spans="1:24" x14ac:dyDescent="0.45">
      <c r="A231" s="12">
        <v>31837</v>
      </c>
      <c r="B231" s="14">
        <v>5.6</v>
      </c>
      <c r="C231" s="14">
        <v>-3.7000000000000011</v>
      </c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</row>
    <row r="232" spans="1:24" x14ac:dyDescent="0.45">
      <c r="A232" s="12">
        <v>31868</v>
      </c>
      <c r="B232" s="14">
        <v>14.3</v>
      </c>
      <c r="C232" s="14">
        <v>8.7000000000000011</v>
      </c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</row>
    <row r="233" spans="1:24" x14ac:dyDescent="0.45">
      <c r="A233" s="12">
        <v>31898</v>
      </c>
      <c r="B233" s="14">
        <v>19.7</v>
      </c>
      <c r="C233" s="14">
        <v>5.3999999999999986</v>
      </c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</row>
    <row r="234" spans="1:24" x14ac:dyDescent="0.45">
      <c r="A234" s="12">
        <v>31929</v>
      </c>
      <c r="B234" s="14">
        <v>13</v>
      </c>
      <c r="C234" s="14">
        <v>-6.6999999999999993</v>
      </c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</row>
    <row r="235" spans="1:24" x14ac:dyDescent="0.45">
      <c r="A235" s="12">
        <v>31959</v>
      </c>
      <c r="B235" s="14">
        <v>15.5</v>
      </c>
      <c r="C235" s="14">
        <v>2.5</v>
      </c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</row>
    <row r="236" spans="1:24" x14ac:dyDescent="0.45">
      <c r="A236" s="12">
        <v>31990</v>
      </c>
      <c r="B236" s="14">
        <v>30.1</v>
      </c>
      <c r="C236" s="14">
        <v>14.600000000000001</v>
      </c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</row>
    <row r="237" spans="1:24" x14ac:dyDescent="0.45">
      <c r="A237" s="12">
        <v>32021</v>
      </c>
      <c r="B237" s="14">
        <v>26.3</v>
      </c>
      <c r="C237" s="14">
        <v>-3.8000000000000007</v>
      </c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</row>
    <row r="238" spans="1:24" x14ac:dyDescent="0.45">
      <c r="A238" s="12">
        <v>32051</v>
      </c>
      <c r="B238" s="14">
        <v>27.2</v>
      </c>
      <c r="C238" s="14">
        <v>0.89999999999999858</v>
      </c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</row>
    <row r="239" spans="1:24" x14ac:dyDescent="0.45">
      <c r="A239" s="12">
        <v>32082</v>
      </c>
      <c r="B239" s="14">
        <v>11.8</v>
      </c>
      <c r="C239" s="14">
        <v>-15.399999999999999</v>
      </c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</row>
    <row r="240" spans="1:24" x14ac:dyDescent="0.45">
      <c r="A240" s="12">
        <v>32112</v>
      </c>
      <c r="B240" s="14">
        <v>29.8</v>
      </c>
      <c r="C240" s="14">
        <v>18</v>
      </c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</row>
    <row r="241" spans="1:24" x14ac:dyDescent="0.45">
      <c r="A241" s="12">
        <v>32143</v>
      </c>
      <c r="B241" s="14">
        <v>3.5</v>
      </c>
      <c r="C241" s="14">
        <v>-26.3</v>
      </c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</row>
    <row r="242" spans="1:24" x14ac:dyDescent="0.45">
      <c r="A242" s="12">
        <v>32174</v>
      </c>
      <c r="B242" s="14">
        <v>18.3</v>
      </c>
      <c r="C242" s="14">
        <v>14.8</v>
      </c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</row>
    <row r="243" spans="1:24" x14ac:dyDescent="0.45">
      <c r="A243" s="12">
        <v>32203</v>
      </c>
      <c r="B243" s="14">
        <v>12.8</v>
      </c>
      <c r="C243" s="14">
        <v>-5.5</v>
      </c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</row>
    <row r="244" spans="1:24" x14ac:dyDescent="0.45">
      <c r="A244" s="12">
        <v>32234</v>
      </c>
      <c r="B244" s="14">
        <v>26.8</v>
      </c>
      <c r="C244" s="14">
        <v>14</v>
      </c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</row>
    <row r="245" spans="1:24" x14ac:dyDescent="0.45">
      <c r="A245" s="12">
        <v>32264</v>
      </c>
      <c r="B245" s="14">
        <v>17.8</v>
      </c>
      <c r="C245" s="14">
        <v>-9</v>
      </c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</row>
    <row r="246" spans="1:24" x14ac:dyDescent="0.45">
      <c r="A246" s="12">
        <v>32295</v>
      </c>
      <c r="B246" s="14">
        <v>17.399999999999999</v>
      </c>
      <c r="C246" s="14">
        <v>-0.40000000000000213</v>
      </c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</row>
    <row r="247" spans="1:24" x14ac:dyDescent="0.45">
      <c r="A247" s="12">
        <v>32325</v>
      </c>
      <c r="B247" s="14">
        <v>23.7</v>
      </c>
      <c r="C247" s="14">
        <v>6.3000000000000007</v>
      </c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</row>
    <row r="248" spans="1:24" x14ac:dyDescent="0.45">
      <c r="A248" s="12">
        <v>32356</v>
      </c>
      <c r="B248" s="14">
        <v>15.2</v>
      </c>
      <c r="C248" s="14">
        <v>-8.5</v>
      </c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</row>
    <row r="249" spans="1:24" x14ac:dyDescent="0.45">
      <c r="A249" s="12">
        <v>32387</v>
      </c>
      <c r="B249" s="14">
        <v>25.6</v>
      </c>
      <c r="C249" s="14">
        <v>10.400000000000002</v>
      </c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</row>
    <row r="250" spans="1:24" x14ac:dyDescent="0.45">
      <c r="A250" s="12">
        <v>32417</v>
      </c>
      <c r="B250" s="14">
        <v>27.2</v>
      </c>
      <c r="C250" s="14">
        <v>1.5999999999999979</v>
      </c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</row>
    <row r="251" spans="1:24" x14ac:dyDescent="0.45">
      <c r="A251" s="12">
        <v>32448</v>
      </c>
      <c r="B251" s="14">
        <v>27.2</v>
      </c>
      <c r="C251" s="14">
        <v>0</v>
      </c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</row>
    <row r="252" spans="1:24" x14ac:dyDescent="0.45">
      <c r="A252" s="12">
        <v>32478</v>
      </c>
      <c r="B252" s="14">
        <v>22.7</v>
      </c>
      <c r="C252" s="14">
        <v>-4.5</v>
      </c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</row>
    <row r="253" spans="1:24" x14ac:dyDescent="0.45">
      <c r="A253" s="12">
        <v>32509</v>
      </c>
      <c r="B253" s="14">
        <v>28.2</v>
      </c>
      <c r="C253" s="14">
        <v>5.5</v>
      </c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</row>
    <row r="254" spans="1:24" x14ac:dyDescent="0.45">
      <c r="A254" s="12">
        <v>32540</v>
      </c>
      <c r="B254" s="14">
        <v>20.100000000000001</v>
      </c>
      <c r="C254" s="14">
        <v>-8.0999999999999979</v>
      </c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</row>
    <row r="255" spans="1:24" x14ac:dyDescent="0.45">
      <c r="A255" s="12">
        <v>32568</v>
      </c>
      <c r="B255" s="14">
        <v>18</v>
      </c>
      <c r="C255" s="14">
        <v>-2.1000000000000014</v>
      </c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</row>
    <row r="256" spans="1:24" x14ac:dyDescent="0.45">
      <c r="A256" s="12">
        <v>32599</v>
      </c>
      <c r="B256" s="14">
        <v>4.0999999999999996</v>
      </c>
      <c r="C256" s="14">
        <v>-13.9</v>
      </c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</row>
    <row r="257" spans="1:24" x14ac:dyDescent="0.45">
      <c r="A257" s="12">
        <v>32629</v>
      </c>
      <c r="B257" s="14">
        <v>-10.199999999999999</v>
      </c>
      <c r="C257" s="14">
        <v>-14.299999999999999</v>
      </c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</row>
    <row r="258" spans="1:24" x14ac:dyDescent="0.45">
      <c r="A258" s="12">
        <v>32660</v>
      </c>
      <c r="B258" s="14">
        <v>-7.6</v>
      </c>
      <c r="C258" s="14">
        <v>2.5999999999999996</v>
      </c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</row>
    <row r="259" spans="1:24" x14ac:dyDescent="0.45">
      <c r="A259" s="12">
        <v>32690</v>
      </c>
      <c r="B259" s="14">
        <v>-16.899999999999999</v>
      </c>
      <c r="C259" s="14">
        <v>-9.2999999999999989</v>
      </c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</row>
    <row r="260" spans="1:24" x14ac:dyDescent="0.45">
      <c r="A260" s="12">
        <v>32721</v>
      </c>
      <c r="B260" s="14">
        <v>-9.5</v>
      </c>
      <c r="C260" s="14">
        <v>7.3999999999999986</v>
      </c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</row>
    <row r="261" spans="1:24" x14ac:dyDescent="0.45">
      <c r="A261" s="12">
        <v>32752</v>
      </c>
      <c r="B261" s="14">
        <v>-5.4</v>
      </c>
      <c r="C261" s="14">
        <v>4.0999999999999996</v>
      </c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</row>
    <row r="262" spans="1:24" x14ac:dyDescent="0.45">
      <c r="A262" s="12">
        <v>32782</v>
      </c>
      <c r="B262" s="14">
        <v>-7</v>
      </c>
      <c r="C262" s="14">
        <v>-1.5999999999999996</v>
      </c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</row>
    <row r="263" spans="1:24" x14ac:dyDescent="0.45">
      <c r="A263" s="12">
        <v>32813</v>
      </c>
      <c r="B263" s="14">
        <v>-4.2</v>
      </c>
      <c r="C263" s="14">
        <v>2.8</v>
      </c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</row>
    <row r="264" spans="1:24" x14ac:dyDescent="0.45">
      <c r="A264" s="12">
        <v>32843</v>
      </c>
      <c r="B264" s="14">
        <v>-2.1</v>
      </c>
      <c r="C264" s="14">
        <v>2.1</v>
      </c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</row>
    <row r="265" spans="1:24" x14ac:dyDescent="0.45">
      <c r="A265" s="12">
        <v>32874</v>
      </c>
      <c r="B265" s="14">
        <v>-7.5</v>
      </c>
      <c r="C265" s="14">
        <v>-5.4</v>
      </c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</row>
    <row r="266" spans="1:24" x14ac:dyDescent="0.45">
      <c r="A266" s="12">
        <v>32905</v>
      </c>
      <c r="B266" s="14">
        <v>-22.1</v>
      </c>
      <c r="C266" s="14">
        <v>-14.600000000000001</v>
      </c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</row>
    <row r="267" spans="1:24" x14ac:dyDescent="0.45">
      <c r="A267" s="12">
        <v>32933</v>
      </c>
      <c r="B267" s="14">
        <v>-21.8</v>
      </c>
      <c r="C267" s="14">
        <v>0.30000000000000071</v>
      </c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</row>
    <row r="268" spans="1:24" x14ac:dyDescent="0.45">
      <c r="A268" s="12">
        <v>32964</v>
      </c>
      <c r="B268" s="14">
        <v>-9</v>
      </c>
      <c r="C268" s="14">
        <v>12.8</v>
      </c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</row>
    <row r="269" spans="1:24" x14ac:dyDescent="0.45">
      <c r="A269" s="12">
        <v>32994</v>
      </c>
      <c r="B269" s="14">
        <v>-16.5</v>
      </c>
      <c r="C269" s="14">
        <v>-7.5</v>
      </c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</row>
    <row r="270" spans="1:24" x14ac:dyDescent="0.45">
      <c r="A270" s="12">
        <v>33025</v>
      </c>
      <c r="B270" s="14">
        <v>-8.6</v>
      </c>
      <c r="C270" s="14">
        <v>7.9</v>
      </c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</row>
    <row r="271" spans="1:24" x14ac:dyDescent="0.45">
      <c r="A271" s="12">
        <v>33055</v>
      </c>
      <c r="B271" s="14">
        <v>-18.100000000000001</v>
      </c>
      <c r="C271" s="14">
        <v>-9.5000000000000018</v>
      </c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</row>
    <row r="272" spans="1:24" x14ac:dyDescent="0.45">
      <c r="A272" s="12">
        <v>33086</v>
      </c>
      <c r="B272" s="14">
        <v>-18.2</v>
      </c>
      <c r="C272" s="14">
        <v>-9.9999999999997868E-2</v>
      </c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</row>
    <row r="273" spans="1:24" x14ac:dyDescent="0.45">
      <c r="A273" s="12">
        <v>33117</v>
      </c>
      <c r="B273" s="14">
        <v>-43.4</v>
      </c>
      <c r="C273" s="14">
        <v>-25.2</v>
      </c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</row>
    <row r="274" spans="1:24" x14ac:dyDescent="0.45">
      <c r="A274" s="12">
        <v>33147</v>
      </c>
      <c r="B274" s="14">
        <v>-48.2</v>
      </c>
      <c r="C274" s="14">
        <v>-4.8000000000000043</v>
      </c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</row>
    <row r="275" spans="1:24" x14ac:dyDescent="0.45">
      <c r="A275" s="12">
        <v>33178</v>
      </c>
      <c r="B275" s="14">
        <v>-27.1</v>
      </c>
      <c r="C275" s="14">
        <v>21.1</v>
      </c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</row>
    <row r="276" spans="1:24" x14ac:dyDescent="0.45">
      <c r="A276" s="12">
        <v>33208</v>
      </c>
      <c r="B276" s="14">
        <v>-37.1</v>
      </c>
      <c r="C276" s="14">
        <v>-10</v>
      </c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</row>
    <row r="277" spans="1:24" x14ac:dyDescent="0.45">
      <c r="A277" s="12">
        <v>33239</v>
      </c>
      <c r="B277" s="14">
        <v>-32</v>
      </c>
      <c r="C277" s="14">
        <v>5.1000000000000014</v>
      </c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</row>
    <row r="278" spans="1:24" x14ac:dyDescent="0.45">
      <c r="A278" s="12">
        <v>33270</v>
      </c>
      <c r="B278" s="14">
        <v>-22.1</v>
      </c>
      <c r="C278" s="14">
        <v>9.8999999999999986</v>
      </c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</row>
    <row r="279" spans="1:24" x14ac:dyDescent="0.45">
      <c r="A279" s="12">
        <v>33298</v>
      </c>
      <c r="B279" s="14">
        <v>-11.6</v>
      </c>
      <c r="C279" s="14">
        <v>10.500000000000002</v>
      </c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</row>
    <row r="280" spans="1:24" x14ac:dyDescent="0.45">
      <c r="A280" s="12">
        <v>33329</v>
      </c>
      <c r="B280" s="14">
        <v>-6.5</v>
      </c>
      <c r="C280" s="14">
        <v>5.0999999999999996</v>
      </c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</row>
    <row r="281" spans="1:24" x14ac:dyDescent="0.45">
      <c r="A281" s="12">
        <v>33359</v>
      </c>
      <c r="B281" s="14">
        <v>3.9</v>
      </c>
      <c r="C281" s="14">
        <v>10.4</v>
      </c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</row>
    <row r="282" spans="1:24" x14ac:dyDescent="0.45">
      <c r="A282" s="12">
        <v>33390</v>
      </c>
      <c r="B282" s="14">
        <v>13</v>
      </c>
      <c r="C282" s="14">
        <v>9.1</v>
      </c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</row>
    <row r="283" spans="1:24" x14ac:dyDescent="0.45">
      <c r="A283" s="12">
        <v>33420</v>
      </c>
      <c r="B283" s="14">
        <v>19.899999999999999</v>
      </c>
      <c r="C283" s="14">
        <v>6.8999999999999986</v>
      </c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</row>
    <row r="284" spans="1:24" x14ac:dyDescent="0.45">
      <c r="A284" s="12">
        <v>33451</v>
      </c>
      <c r="B284" s="14">
        <v>27</v>
      </c>
      <c r="C284" s="14">
        <v>7.1000000000000014</v>
      </c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</row>
    <row r="285" spans="1:24" x14ac:dyDescent="0.45">
      <c r="A285" s="12">
        <v>33482</v>
      </c>
      <c r="B285" s="14">
        <v>20</v>
      </c>
      <c r="C285" s="14">
        <v>-7</v>
      </c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</row>
    <row r="286" spans="1:24" x14ac:dyDescent="0.45">
      <c r="A286" s="12">
        <v>33512</v>
      </c>
      <c r="B286" s="14">
        <v>9.5</v>
      </c>
      <c r="C286" s="14">
        <v>-10.5</v>
      </c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</row>
    <row r="287" spans="1:24" x14ac:dyDescent="0.45">
      <c r="A287" s="12">
        <v>33543</v>
      </c>
      <c r="B287" s="14">
        <v>1.3</v>
      </c>
      <c r="C287" s="14">
        <v>-8.1999999999999993</v>
      </c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</row>
    <row r="288" spans="1:24" x14ac:dyDescent="0.45">
      <c r="A288" s="12">
        <v>33573</v>
      </c>
      <c r="B288" s="14">
        <v>-18.8</v>
      </c>
      <c r="C288" s="14">
        <v>-20.100000000000001</v>
      </c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</row>
    <row r="289" spans="1:24" x14ac:dyDescent="0.45">
      <c r="A289" s="12">
        <v>33604</v>
      </c>
      <c r="B289" s="14">
        <v>-2.2000000000000002</v>
      </c>
      <c r="C289" s="14">
        <v>16.600000000000001</v>
      </c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</row>
    <row r="290" spans="1:24" x14ac:dyDescent="0.45">
      <c r="A290" s="12">
        <v>33635</v>
      </c>
      <c r="B290" s="14">
        <v>0.6</v>
      </c>
      <c r="C290" s="14">
        <v>2.8000000000000003</v>
      </c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</row>
    <row r="291" spans="1:24" x14ac:dyDescent="0.45">
      <c r="A291" s="12">
        <v>33664</v>
      </c>
      <c r="B291" s="14">
        <v>15</v>
      </c>
      <c r="C291" s="14">
        <v>14.4</v>
      </c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</row>
    <row r="292" spans="1:24" x14ac:dyDescent="0.45">
      <c r="A292" s="12">
        <v>33695</v>
      </c>
      <c r="B292" s="14">
        <v>20</v>
      </c>
      <c r="C292" s="14">
        <v>5</v>
      </c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</row>
    <row r="293" spans="1:24" x14ac:dyDescent="0.45">
      <c r="A293" s="12">
        <v>33725</v>
      </c>
      <c r="B293" s="14">
        <v>17</v>
      </c>
      <c r="C293" s="14">
        <v>-3</v>
      </c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</row>
    <row r="294" spans="1:24" x14ac:dyDescent="0.45">
      <c r="A294" s="12">
        <v>33756</v>
      </c>
      <c r="B294" s="14">
        <v>15</v>
      </c>
      <c r="C294" s="14">
        <v>-2</v>
      </c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</row>
    <row r="295" spans="1:24" x14ac:dyDescent="0.45">
      <c r="A295" s="12">
        <v>33786</v>
      </c>
      <c r="B295" s="14">
        <v>27.6</v>
      </c>
      <c r="C295" s="14">
        <v>12.600000000000001</v>
      </c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</row>
    <row r="296" spans="1:24" x14ac:dyDescent="0.45">
      <c r="A296" s="12">
        <v>33817</v>
      </c>
      <c r="B296" s="14">
        <v>16.7</v>
      </c>
      <c r="C296" s="14">
        <v>-10.900000000000002</v>
      </c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</row>
    <row r="297" spans="1:24" x14ac:dyDescent="0.45">
      <c r="A297" s="12">
        <v>33848</v>
      </c>
      <c r="B297" s="14">
        <v>21</v>
      </c>
      <c r="C297" s="14">
        <v>4.3000000000000007</v>
      </c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</row>
    <row r="298" spans="1:24" x14ac:dyDescent="0.45">
      <c r="A298" s="12">
        <v>33878</v>
      </c>
      <c r="B298" s="14">
        <v>-4.8</v>
      </c>
      <c r="C298" s="14">
        <v>-25.8</v>
      </c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</row>
    <row r="299" spans="1:24" x14ac:dyDescent="0.45">
      <c r="A299" s="12">
        <v>33909</v>
      </c>
      <c r="B299" s="14">
        <v>18.2</v>
      </c>
      <c r="C299" s="14">
        <v>23</v>
      </c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</row>
    <row r="300" spans="1:24" x14ac:dyDescent="0.45">
      <c r="A300" s="12">
        <v>33939</v>
      </c>
      <c r="B300" s="14">
        <v>25.4</v>
      </c>
      <c r="C300" s="14">
        <v>7.1999999999999993</v>
      </c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</row>
    <row r="301" spans="1:24" x14ac:dyDescent="0.45">
      <c r="A301" s="12">
        <v>33970</v>
      </c>
      <c r="B301" s="14">
        <v>31.1</v>
      </c>
      <c r="C301" s="14">
        <v>5.7000000000000028</v>
      </c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</row>
    <row r="302" spans="1:24" x14ac:dyDescent="0.45">
      <c r="A302" s="12">
        <v>34001</v>
      </c>
      <c r="B302" s="14">
        <v>34.299999999999997</v>
      </c>
      <c r="C302" s="14">
        <v>3.1999999999999957</v>
      </c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</row>
    <row r="303" spans="1:24" x14ac:dyDescent="0.45">
      <c r="A303" s="12">
        <v>34029</v>
      </c>
      <c r="B303" s="14">
        <v>16.2</v>
      </c>
      <c r="C303" s="14">
        <v>-18.099999999999998</v>
      </c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</row>
    <row r="304" spans="1:24" x14ac:dyDescent="0.45">
      <c r="A304" s="12">
        <v>34060</v>
      </c>
      <c r="B304" s="14">
        <v>23.3</v>
      </c>
      <c r="C304" s="14">
        <v>7.1000000000000014</v>
      </c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</row>
    <row r="305" spans="1:24" x14ac:dyDescent="0.45">
      <c r="A305" s="12">
        <v>34090</v>
      </c>
      <c r="B305" s="14">
        <v>14.8</v>
      </c>
      <c r="C305" s="14">
        <v>-8.5</v>
      </c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</row>
    <row r="306" spans="1:24" x14ac:dyDescent="0.45">
      <c r="A306" s="12">
        <v>34121</v>
      </c>
      <c r="B306" s="14">
        <v>3.5</v>
      </c>
      <c r="C306" s="14">
        <v>-11.3</v>
      </c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</row>
    <row r="307" spans="1:24" x14ac:dyDescent="0.45">
      <c r="A307" s="12">
        <v>34151</v>
      </c>
      <c r="B307" s="14">
        <v>-3.2</v>
      </c>
      <c r="C307" s="14">
        <v>-6.7</v>
      </c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</row>
    <row r="308" spans="1:24" x14ac:dyDescent="0.45">
      <c r="A308" s="12">
        <v>34182</v>
      </c>
      <c r="B308" s="14">
        <v>-0.3</v>
      </c>
      <c r="C308" s="14">
        <v>2.9000000000000004</v>
      </c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</row>
    <row r="309" spans="1:24" x14ac:dyDescent="0.45">
      <c r="A309" s="12">
        <v>34213</v>
      </c>
      <c r="B309" s="14">
        <v>7.3</v>
      </c>
      <c r="C309" s="14">
        <v>7.6</v>
      </c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</row>
    <row r="310" spans="1:24" x14ac:dyDescent="0.45">
      <c r="A310" s="12">
        <v>34243</v>
      </c>
      <c r="B310" s="14">
        <v>8.9</v>
      </c>
      <c r="C310" s="14">
        <v>1.6000000000000005</v>
      </c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</row>
    <row r="311" spans="1:24" x14ac:dyDescent="0.45">
      <c r="A311" s="12">
        <v>34274</v>
      </c>
      <c r="B311" s="14">
        <v>18.899999999999999</v>
      </c>
      <c r="C311" s="14">
        <v>9.9999999999999982</v>
      </c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</row>
    <row r="312" spans="1:24" x14ac:dyDescent="0.45">
      <c r="A312" s="12">
        <v>34304</v>
      </c>
      <c r="B312" s="14">
        <v>41.4</v>
      </c>
      <c r="C312" s="14">
        <v>22.5</v>
      </c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</row>
    <row r="313" spans="1:24" x14ac:dyDescent="0.45">
      <c r="A313" s="12">
        <v>34335</v>
      </c>
      <c r="B313" s="14">
        <v>27.2</v>
      </c>
      <c r="C313" s="14">
        <v>-14.2</v>
      </c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</row>
    <row r="314" spans="1:24" x14ac:dyDescent="0.45">
      <c r="A314" s="12">
        <v>34366</v>
      </c>
      <c r="B314" s="14">
        <v>21.2</v>
      </c>
      <c r="C314" s="14">
        <v>-6</v>
      </c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</row>
    <row r="315" spans="1:24" x14ac:dyDescent="0.45">
      <c r="A315" s="12">
        <v>34394</v>
      </c>
      <c r="B315" s="14">
        <v>19.8</v>
      </c>
      <c r="C315" s="14">
        <v>-1.3999999999999986</v>
      </c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</row>
    <row r="316" spans="1:24" x14ac:dyDescent="0.45">
      <c r="A316" s="12">
        <v>34425</v>
      </c>
      <c r="B316" s="14">
        <v>16.8</v>
      </c>
      <c r="C316" s="14">
        <v>-3</v>
      </c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</row>
    <row r="317" spans="1:24" x14ac:dyDescent="0.45">
      <c r="A317" s="12">
        <v>34455</v>
      </c>
      <c r="B317" s="14">
        <v>22.1</v>
      </c>
      <c r="C317" s="14">
        <v>5.3000000000000007</v>
      </c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</row>
    <row r="318" spans="1:24" x14ac:dyDescent="0.45">
      <c r="A318" s="12">
        <v>34486</v>
      </c>
      <c r="B318" s="14">
        <v>25</v>
      </c>
      <c r="C318" s="14">
        <v>2.8999999999999986</v>
      </c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</row>
    <row r="319" spans="1:24" x14ac:dyDescent="0.45">
      <c r="A319" s="12">
        <v>34516</v>
      </c>
      <c r="B319" s="14">
        <v>17.8</v>
      </c>
      <c r="C319" s="14">
        <v>-7.1999999999999993</v>
      </c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</row>
    <row r="320" spans="1:24" x14ac:dyDescent="0.45">
      <c r="A320" s="12">
        <v>34547</v>
      </c>
      <c r="B320" s="14">
        <v>18.5</v>
      </c>
      <c r="C320" s="14">
        <v>0.69999999999999929</v>
      </c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</row>
    <row r="321" spans="1:24" x14ac:dyDescent="0.45">
      <c r="A321" s="12">
        <v>34578</v>
      </c>
      <c r="B321" s="14">
        <v>18.399999999999999</v>
      </c>
      <c r="C321" s="14">
        <v>-0.10000000000000142</v>
      </c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</row>
    <row r="322" spans="1:24" x14ac:dyDescent="0.45">
      <c r="A322" s="12">
        <v>34608</v>
      </c>
      <c r="B322" s="14">
        <v>26.1</v>
      </c>
      <c r="C322" s="14">
        <v>7.7000000000000028</v>
      </c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</row>
    <row r="323" spans="1:24" x14ac:dyDescent="0.45">
      <c r="A323" s="12">
        <v>34639</v>
      </c>
      <c r="B323" s="14">
        <v>24.7</v>
      </c>
      <c r="C323" s="14">
        <v>-1.4000000000000021</v>
      </c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</row>
    <row r="324" spans="1:24" x14ac:dyDescent="0.45">
      <c r="A324" s="12">
        <v>34669</v>
      </c>
      <c r="B324" s="14">
        <v>23.3</v>
      </c>
      <c r="C324" s="14">
        <v>-1.3999999999999986</v>
      </c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</row>
    <row r="325" spans="1:24" x14ac:dyDescent="0.45">
      <c r="A325" s="12">
        <v>34700</v>
      </c>
      <c r="B325" s="14">
        <v>8.8000000000000007</v>
      </c>
      <c r="C325" s="14">
        <v>-14.5</v>
      </c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</row>
    <row r="326" spans="1:24" x14ac:dyDescent="0.45">
      <c r="A326" s="12">
        <v>34731</v>
      </c>
      <c r="B326" s="14">
        <v>9.1999999999999993</v>
      </c>
      <c r="C326" s="14">
        <v>0.39999999999999858</v>
      </c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</row>
    <row r="327" spans="1:24" x14ac:dyDescent="0.45">
      <c r="A327" s="12">
        <v>34759</v>
      </c>
      <c r="B327" s="14">
        <v>2</v>
      </c>
      <c r="C327" s="14">
        <v>-7.1999999999999993</v>
      </c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</row>
    <row r="328" spans="1:24" x14ac:dyDescent="0.45">
      <c r="A328" s="12">
        <v>34790</v>
      </c>
      <c r="B328" s="14">
        <v>-11.2</v>
      </c>
      <c r="C328" s="14">
        <v>-13.2</v>
      </c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</row>
    <row r="329" spans="1:24" x14ac:dyDescent="0.45">
      <c r="A329" s="12">
        <v>34820</v>
      </c>
      <c r="B329" s="14">
        <v>-8.5</v>
      </c>
      <c r="C329" s="14">
        <v>2.6999999999999993</v>
      </c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</row>
    <row r="330" spans="1:24" x14ac:dyDescent="0.45">
      <c r="A330" s="12">
        <v>34851</v>
      </c>
      <c r="B330" s="14">
        <v>-20.7</v>
      </c>
      <c r="C330" s="14">
        <v>-12.2</v>
      </c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</row>
    <row r="331" spans="1:24" x14ac:dyDescent="0.45">
      <c r="A331" s="12">
        <v>34881</v>
      </c>
      <c r="B331" s="14">
        <v>-20.399999999999999</v>
      </c>
      <c r="C331" s="14">
        <v>0.30000000000000071</v>
      </c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</row>
    <row r="332" spans="1:24" x14ac:dyDescent="0.45">
      <c r="A332" s="12">
        <v>34912</v>
      </c>
      <c r="B332" s="14">
        <v>1.2</v>
      </c>
      <c r="C332" s="14">
        <v>21.599999999999998</v>
      </c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</row>
    <row r="333" spans="1:24" x14ac:dyDescent="0.45">
      <c r="A333" s="12">
        <v>34943</v>
      </c>
      <c r="B333" s="14">
        <v>26.2</v>
      </c>
      <c r="C333" s="14">
        <v>25</v>
      </c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</row>
    <row r="334" spans="1:24" x14ac:dyDescent="0.45">
      <c r="A334" s="12">
        <v>34973</v>
      </c>
      <c r="B334" s="14">
        <v>21.7</v>
      </c>
      <c r="C334" s="14">
        <v>-4.5</v>
      </c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</row>
    <row r="335" spans="1:24" x14ac:dyDescent="0.45">
      <c r="A335" s="12">
        <v>35004</v>
      </c>
      <c r="B335" s="14">
        <v>5.5</v>
      </c>
      <c r="C335" s="14">
        <v>-16.2</v>
      </c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</row>
    <row r="336" spans="1:24" x14ac:dyDescent="0.45">
      <c r="A336" s="12">
        <v>35034</v>
      </c>
      <c r="B336" s="14">
        <v>19.600000000000001</v>
      </c>
      <c r="C336" s="14">
        <v>14.100000000000001</v>
      </c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</row>
    <row r="337" spans="1:24" x14ac:dyDescent="0.45">
      <c r="A337" s="12">
        <v>35065</v>
      </c>
      <c r="B337" s="14">
        <v>-14.7</v>
      </c>
      <c r="C337" s="14">
        <v>-34.299999999999997</v>
      </c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</row>
    <row r="338" spans="1:24" x14ac:dyDescent="0.45">
      <c r="A338" s="12">
        <v>35096</v>
      </c>
      <c r="B338" s="14">
        <v>4.8</v>
      </c>
      <c r="C338" s="14">
        <v>19.5</v>
      </c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</row>
    <row r="339" spans="1:24" x14ac:dyDescent="0.45">
      <c r="A339" s="12">
        <v>35125</v>
      </c>
      <c r="B339" s="14">
        <v>-3.5</v>
      </c>
      <c r="C339" s="14">
        <v>-8.3000000000000007</v>
      </c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</row>
    <row r="340" spans="1:24" x14ac:dyDescent="0.45">
      <c r="A340" s="12">
        <v>35156</v>
      </c>
      <c r="B340" s="14">
        <v>21.3</v>
      </c>
      <c r="C340" s="14">
        <v>24.8</v>
      </c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</row>
    <row r="341" spans="1:24" x14ac:dyDescent="0.45">
      <c r="A341" s="12">
        <v>35186</v>
      </c>
      <c r="B341" s="14">
        <v>19.600000000000001</v>
      </c>
      <c r="C341" s="14">
        <v>-1.6999999999999993</v>
      </c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</row>
    <row r="342" spans="1:24" x14ac:dyDescent="0.45">
      <c r="A342" s="12">
        <v>35217</v>
      </c>
      <c r="B342" s="14">
        <v>21</v>
      </c>
      <c r="C342" s="14">
        <v>1.3999999999999986</v>
      </c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</row>
    <row r="343" spans="1:24" x14ac:dyDescent="0.45">
      <c r="A343" s="12">
        <v>35247</v>
      </c>
      <c r="B343" s="14">
        <v>29.5</v>
      </c>
      <c r="C343" s="14">
        <v>8.5</v>
      </c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</row>
    <row r="344" spans="1:24" x14ac:dyDescent="0.45">
      <c r="A344" s="12">
        <v>35278</v>
      </c>
      <c r="B344" s="14">
        <v>13.8</v>
      </c>
      <c r="C344" s="14">
        <v>-15.7</v>
      </c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</row>
    <row r="345" spans="1:24" x14ac:dyDescent="0.45">
      <c r="A345" s="12">
        <v>35309</v>
      </c>
      <c r="B345" s="14">
        <v>12.9</v>
      </c>
      <c r="C345" s="14">
        <v>-0.90000000000000036</v>
      </c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</row>
    <row r="346" spans="1:24" x14ac:dyDescent="0.45">
      <c r="A346" s="12">
        <v>35339</v>
      </c>
      <c r="B346" s="14">
        <v>8.1999999999999993</v>
      </c>
      <c r="C346" s="14">
        <v>-4.7000000000000011</v>
      </c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</row>
    <row r="347" spans="1:24" x14ac:dyDescent="0.45">
      <c r="A347" s="12">
        <v>35370</v>
      </c>
      <c r="B347" s="14">
        <v>11.1</v>
      </c>
      <c r="C347" s="14">
        <v>2.9000000000000004</v>
      </c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</row>
    <row r="348" spans="1:24" x14ac:dyDescent="0.45">
      <c r="A348" s="12">
        <v>35400</v>
      </c>
      <c r="B348" s="14">
        <v>8.1</v>
      </c>
      <c r="C348" s="14">
        <v>-3</v>
      </c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</row>
    <row r="349" spans="1:24" x14ac:dyDescent="0.45">
      <c r="A349" s="12">
        <v>35431</v>
      </c>
      <c r="B349" s="14">
        <v>12.8</v>
      </c>
      <c r="C349" s="14">
        <v>4.7000000000000011</v>
      </c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</row>
    <row r="350" spans="1:24" x14ac:dyDescent="0.45">
      <c r="A350" s="12">
        <v>35462</v>
      </c>
      <c r="B350" s="14">
        <v>16.899999999999999</v>
      </c>
      <c r="C350" s="14">
        <v>4.0999999999999979</v>
      </c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</row>
    <row r="351" spans="1:24" x14ac:dyDescent="0.45">
      <c r="A351" s="12">
        <v>35490</v>
      </c>
      <c r="B351" s="14">
        <v>13.4</v>
      </c>
      <c r="C351" s="14">
        <v>-3.4999999999999982</v>
      </c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</row>
    <row r="352" spans="1:24" x14ac:dyDescent="0.45">
      <c r="A352" s="12">
        <v>35521</v>
      </c>
      <c r="B352" s="14">
        <v>6.5</v>
      </c>
      <c r="C352" s="14">
        <v>-6.9</v>
      </c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</row>
    <row r="353" spans="1:24" x14ac:dyDescent="0.45">
      <c r="A353" s="12">
        <v>35551</v>
      </c>
      <c r="B353" s="14">
        <v>1.1000000000000001</v>
      </c>
      <c r="C353" s="14">
        <v>-5.4</v>
      </c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</row>
    <row r="354" spans="1:24" x14ac:dyDescent="0.45">
      <c r="A354" s="12">
        <v>35582</v>
      </c>
      <c r="B354" s="14">
        <v>18</v>
      </c>
      <c r="C354" s="14">
        <v>16.899999999999999</v>
      </c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</row>
    <row r="355" spans="1:24" x14ac:dyDescent="0.45">
      <c r="A355" s="12">
        <v>35612</v>
      </c>
      <c r="B355" s="14">
        <v>20.2</v>
      </c>
      <c r="C355" s="14">
        <v>2.1999999999999993</v>
      </c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</row>
    <row r="356" spans="1:24" x14ac:dyDescent="0.45">
      <c r="A356" s="12">
        <v>35643</v>
      </c>
      <c r="B356" s="14">
        <v>17.2</v>
      </c>
      <c r="C356" s="14">
        <v>-3</v>
      </c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</row>
    <row r="357" spans="1:24" x14ac:dyDescent="0.45">
      <c r="A357" s="12">
        <v>35674</v>
      </c>
      <c r="B357" s="14">
        <v>19.100000000000001</v>
      </c>
      <c r="C357" s="14">
        <v>1.9000000000000021</v>
      </c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</row>
    <row r="358" spans="1:24" x14ac:dyDescent="0.45">
      <c r="A358" s="12">
        <v>35704</v>
      </c>
      <c r="B358" s="14">
        <v>19.3</v>
      </c>
      <c r="C358" s="14">
        <v>0.19999999999999929</v>
      </c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</row>
    <row r="359" spans="1:24" x14ac:dyDescent="0.45">
      <c r="A359" s="12">
        <v>35735</v>
      </c>
      <c r="B359" s="14">
        <v>19.8</v>
      </c>
      <c r="C359" s="14">
        <v>0.5</v>
      </c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</row>
    <row r="360" spans="1:24" x14ac:dyDescent="0.45">
      <c r="A360" s="12">
        <v>35765</v>
      </c>
      <c r="B360" s="14">
        <v>15.6</v>
      </c>
      <c r="C360" s="14">
        <v>-4.2000000000000011</v>
      </c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</row>
    <row r="361" spans="1:24" x14ac:dyDescent="0.45">
      <c r="A361" s="12">
        <v>35796</v>
      </c>
      <c r="B361" s="14">
        <v>18.600000000000001</v>
      </c>
      <c r="C361" s="14">
        <v>3.0000000000000018</v>
      </c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</row>
    <row r="362" spans="1:24" x14ac:dyDescent="0.45">
      <c r="A362" s="12">
        <v>35827</v>
      </c>
      <c r="B362" s="14">
        <v>13.2</v>
      </c>
      <c r="C362" s="14">
        <v>-5.4000000000000021</v>
      </c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</row>
    <row r="363" spans="1:24" x14ac:dyDescent="0.45">
      <c r="A363" s="12">
        <v>35855</v>
      </c>
      <c r="B363" s="14">
        <v>10.6</v>
      </c>
      <c r="C363" s="14">
        <v>-2.5999999999999996</v>
      </c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</row>
    <row r="364" spans="1:24" x14ac:dyDescent="0.45">
      <c r="A364" s="12">
        <v>35886</v>
      </c>
      <c r="B364" s="14">
        <v>8.6999999999999993</v>
      </c>
      <c r="C364" s="14">
        <v>-1.9000000000000004</v>
      </c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</row>
    <row r="365" spans="1:24" x14ac:dyDescent="0.45">
      <c r="A365" s="12">
        <v>35916</v>
      </c>
      <c r="B365" s="14">
        <v>13.2</v>
      </c>
      <c r="C365" s="14">
        <v>4.5</v>
      </c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</row>
    <row r="366" spans="1:24" x14ac:dyDescent="0.45">
      <c r="A366" s="12">
        <v>35947</v>
      </c>
      <c r="B366" s="14">
        <v>24.1</v>
      </c>
      <c r="C366" s="14">
        <v>10.900000000000002</v>
      </c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</row>
    <row r="367" spans="1:24" x14ac:dyDescent="0.45">
      <c r="A367" s="12">
        <v>35977</v>
      </c>
      <c r="B367" s="14">
        <v>8.3000000000000007</v>
      </c>
      <c r="C367" s="14">
        <v>-15.8</v>
      </c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</row>
    <row r="368" spans="1:24" x14ac:dyDescent="0.45">
      <c r="A368" s="12">
        <v>36008</v>
      </c>
      <c r="B368" s="14">
        <v>10.4</v>
      </c>
      <c r="C368" s="14">
        <v>2.0999999999999996</v>
      </c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</row>
    <row r="369" spans="1:24" x14ac:dyDescent="0.45">
      <c r="A369" s="12">
        <v>36039</v>
      </c>
      <c r="B369" s="14">
        <v>-14.2</v>
      </c>
      <c r="C369" s="14">
        <v>-24.6</v>
      </c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</row>
    <row r="370" spans="1:24" x14ac:dyDescent="0.45">
      <c r="A370" s="12">
        <v>36069</v>
      </c>
      <c r="B370" s="14">
        <v>3.5</v>
      </c>
      <c r="C370" s="14">
        <v>17.7</v>
      </c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</row>
    <row r="371" spans="1:24" x14ac:dyDescent="0.45">
      <c r="A371" s="12">
        <v>36100</v>
      </c>
      <c r="B371" s="14">
        <v>-4.7</v>
      </c>
      <c r="C371" s="14">
        <v>-8.1999999999999993</v>
      </c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</row>
    <row r="372" spans="1:24" x14ac:dyDescent="0.45">
      <c r="A372" s="12">
        <v>36130</v>
      </c>
      <c r="B372" s="14">
        <v>4.5999999999999996</v>
      </c>
      <c r="C372" s="14">
        <v>9.3000000000000007</v>
      </c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</row>
    <row r="373" spans="1:24" x14ac:dyDescent="0.45">
      <c r="A373" s="12">
        <v>36161</v>
      </c>
      <c r="B373" s="14">
        <v>13.8</v>
      </c>
      <c r="C373" s="14">
        <v>9.2000000000000011</v>
      </c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</row>
    <row r="374" spans="1:24" x14ac:dyDescent="0.45">
      <c r="A374" s="12">
        <v>36192</v>
      </c>
      <c r="B374" s="14">
        <v>15.1</v>
      </c>
      <c r="C374" s="14">
        <v>1.2999999999999989</v>
      </c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</row>
    <row r="375" spans="1:24" x14ac:dyDescent="0.45">
      <c r="A375" s="12">
        <v>36220</v>
      </c>
      <c r="B375" s="14">
        <v>4.3</v>
      </c>
      <c r="C375" s="14">
        <v>-10.8</v>
      </c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</row>
    <row r="376" spans="1:24" x14ac:dyDescent="0.45">
      <c r="A376" s="12">
        <v>36251</v>
      </c>
      <c r="B376" s="14">
        <v>20.6</v>
      </c>
      <c r="C376" s="14">
        <v>16.3</v>
      </c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</row>
    <row r="377" spans="1:24" x14ac:dyDescent="0.45">
      <c r="A377" s="12">
        <v>36281</v>
      </c>
      <c r="B377" s="14">
        <v>13.1</v>
      </c>
      <c r="C377" s="14">
        <v>-7.5000000000000018</v>
      </c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</row>
    <row r="378" spans="1:24" x14ac:dyDescent="0.45">
      <c r="A378" s="12">
        <v>36312</v>
      </c>
      <c r="B378" s="14">
        <v>5.8</v>
      </c>
      <c r="C378" s="14">
        <v>-7.3</v>
      </c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</row>
    <row r="379" spans="1:24" x14ac:dyDescent="0.45">
      <c r="A379" s="12">
        <v>36342</v>
      </c>
      <c r="B379" s="14">
        <v>9.8000000000000007</v>
      </c>
      <c r="C379" s="14">
        <v>4.0000000000000009</v>
      </c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</row>
    <row r="380" spans="1:24" x14ac:dyDescent="0.45">
      <c r="A380" s="12">
        <v>36373</v>
      </c>
      <c r="B380" s="14">
        <v>13.8</v>
      </c>
      <c r="C380" s="14">
        <v>4</v>
      </c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</row>
    <row r="381" spans="1:24" x14ac:dyDescent="0.45">
      <c r="A381" s="12">
        <v>36404</v>
      </c>
      <c r="B381" s="14">
        <v>13.9</v>
      </c>
      <c r="C381" s="14">
        <v>9.9999999999999645E-2</v>
      </c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</row>
    <row r="382" spans="1:24" x14ac:dyDescent="0.45">
      <c r="A382" s="12">
        <v>36434</v>
      </c>
      <c r="B382" s="14">
        <v>16</v>
      </c>
      <c r="C382" s="14">
        <v>2.0999999999999996</v>
      </c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</row>
    <row r="383" spans="1:24" x14ac:dyDescent="0.45">
      <c r="A383" s="12">
        <v>36465</v>
      </c>
      <c r="B383" s="14">
        <v>20.9</v>
      </c>
      <c r="C383" s="14">
        <v>4.8999999999999986</v>
      </c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</row>
    <row r="384" spans="1:24" x14ac:dyDescent="0.45">
      <c r="A384" s="12">
        <v>36495</v>
      </c>
      <c r="B384" s="14">
        <v>14.2</v>
      </c>
      <c r="C384" s="14">
        <v>-6.6999999999999993</v>
      </c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</row>
    <row r="385" spans="1:24" x14ac:dyDescent="0.45">
      <c r="A385" s="12">
        <v>36526</v>
      </c>
      <c r="B385" s="14">
        <v>11.2</v>
      </c>
      <c r="C385" s="14">
        <v>-3</v>
      </c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</row>
    <row r="386" spans="1:24" x14ac:dyDescent="0.45">
      <c r="A386" s="12">
        <v>36557</v>
      </c>
      <c r="B386" s="14">
        <v>14.5</v>
      </c>
      <c r="C386" s="14">
        <v>3.3000000000000007</v>
      </c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</row>
    <row r="387" spans="1:24" x14ac:dyDescent="0.45">
      <c r="A387" s="12">
        <v>36586</v>
      </c>
      <c r="B387" s="14">
        <v>19.399999999999999</v>
      </c>
      <c r="C387" s="14">
        <v>4.8999999999999986</v>
      </c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</row>
    <row r="388" spans="1:24" x14ac:dyDescent="0.45">
      <c r="A388" s="12">
        <v>36617</v>
      </c>
      <c r="B388" s="14">
        <v>10</v>
      </c>
      <c r="C388" s="14">
        <v>-9.3999999999999986</v>
      </c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</row>
    <row r="389" spans="1:24" x14ac:dyDescent="0.45">
      <c r="A389" s="12">
        <v>36647</v>
      </c>
      <c r="B389" s="14">
        <v>13.9</v>
      </c>
      <c r="C389" s="14">
        <v>3.9000000000000004</v>
      </c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</row>
    <row r="390" spans="1:24" x14ac:dyDescent="0.45">
      <c r="A390" s="12">
        <v>36678</v>
      </c>
      <c r="B390" s="14">
        <v>2.6</v>
      </c>
      <c r="C390" s="14">
        <v>-11.3</v>
      </c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</row>
    <row r="391" spans="1:24" x14ac:dyDescent="0.45">
      <c r="A391" s="12">
        <v>36708</v>
      </c>
      <c r="B391" s="14">
        <v>4.7</v>
      </c>
      <c r="C391" s="14">
        <v>2.1</v>
      </c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</row>
    <row r="392" spans="1:24" x14ac:dyDescent="0.45">
      <c r="A392" s="12">
        <v>36739</v>
      </c>
      <c r="B392" s="14">
        <v>17.3</v>
      </c>
      <c r="C392" s="14">
        <v>12.600000000000001</v>
      </c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</row>
    <row r="393" spans="1:24" x14ac:dyDescent="0.45">
      <c r="A393" s="12">
        <v>36770</v>
      </c>
      <c r="B393" s="14">
        <v>5.5</v>
      </c>
      <c r="C393" s="14">
        <v>-11.8</v>
      </c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</row>
    <row r="394" spans="1:24" x14ac:dyDescent="0.45">
      <c r="A394" s="12">
        <v>36800</v>
      </c>
      <c r="B394" s="14">
        <v>1.8</v>
      </c>
      <c r="C394" s="14">
        <v>-3.7</v>
      </c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</row>
    <row r="395" spans="1:24" x14ac:dyDescent="0.45">
      <c r="A395" s="12">
        <v>36831</v>
      </c>
      <c r="B395" s="14">
        <v>7.1</v>
      </c>
      <c r="C395" s="14">
        <v>5.3</v>
      </c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</row>
    <row r="396" spans="1:24" x14ac:dyDescent="0.45">
      <c r="A396" s="12">
        <v>36861</v>
      </c>
      <c r="B396" s="14">
        <v>-7.8</v>
      </c>
      <c r="C396" s="14">
        <v>-14.899999999999999</v>
      </c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</row>
    <row r="397" spans="1:24" x14ac:dyDescent="0.45">
      <c r="A397" s="12">
        <v>36892</v>
      </c>
      <c r="B397" s="14">
        <v>-36.6</v>
      </c>
      <c r="C397" s="14">
        <v>-28.8</v>
      </c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</row>
    <row r="398" spans="1:24" x14ac:dyDescent="0.45">
      <c r="A398" s="12">
        <v>36923</v>
      </c>
      <c r="B398" s="14">
        <v>-29.4</v>
      </c>
      <c r="C398" s="14">
        <v>7.2000000000000028</v>
      </c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</row>
    <row r="399" spans="1:24" x14ac:dyDescent="0.45">
      <c r="A399" s="12">
        <v>36951</v>
      </c>
      <c r="B399" s="14">
        <v>-20.8</v>
      </c>
      <c r="C399" s="14">
        <v>8.5999999999999979</v>
      </c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</row>
    <row r="400" spans="1:24" x14ac:dyDescent="0.45">
      <c r="A400" s="12">
        <v>36982</v>
      </c>
      <c r="B400" s="14">
        <v>-10.8</v>
      </c>
      <c r="C400" s="14">
        <v>10</v>
      </c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</row>
    <row r="401" spans="1:24" x14ac:dyDescent="0.45">
      <c r="A401" s="12">
        <v>37012</v>
      </c>
      <c r="B401" s="14">
        <v>-11.8</v>
      </c>
      <c r="C401" s="14">
        <v>-1</v>
      </c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</row>
    <row r="402" spans="1:24" x14ac:dyDescent="0.45">
      <c r="A402" s="12">
        <v>37043</v>
      </c>
      <c r="B402" s="14">
        <v>-7</v>
      </c>
      <c r="C402" s="14">
        <v>4.8000000000000007</v>
      </c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</row>
    <row r="403" spans="1:24" x14ac:dyDescent="0.45">
      <c r="A403" s="12">
        <v>37073</v>
      </c>
      <c r="B403" s="14">
        <v>-12.6</v>
      </c>
      <c r="C403" s="14">
        <v>-5.6</v>
      </c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</row>
    <row r="404" spans="1:24" x14ac:dyDescent="0.45">
      <c r="A404" s="12">
        <v>37104</v>
      </c>
      <c r="B404" s="14">
        <v>-18.100000000000001</v>
      </c>
      <c r="C404" s="14">
        <v>-5.5000000000000018</v>
      </c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</row>
    <row r="405" spans="1:24" x14ac:dyDescent="0.45">
      <c r="A405" s="12">
        <v>37135</v>
      </c>
      <c r="B405" s="14">
        <v>-8.1999999999999993</v>
      </c>
      <c r="C405" s="14">
        <v>9.9000000000000021</v>
      </c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</row>
    <row r="406" spans="1:24" x14ac:dyDescent="0.45">
      <c r="A406" s="12">
        <v>37165</v>
      </c>
      <c r="B406" s="14">
        <v>-23.6</v>
      </c>
      <c r="C406" s="14">
        <v>-15.400000000000002</v>
      </c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</row>
    <row r="407" spans="1:24" x14ac:dyDescent="0.45">
      <c r="A407" s="12">
        <v>37196</v>
      </c>
      <c r="B407" s="14">
        <v>-17.7</v>
      </c>
      <c r="C407" s="14">
        <v>5.9000000000000021</v>
      </c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</row>
    <row r="408" spans="1:24" x14ac:dyDescent="0.45">
      <c r="A408" s="12">
        <v>37226</v>
      </c>
      <c r="B408" s="14">
        <v>-11</v>
      </c>
      <c r="C408" s="14">
        <v>6.6999999999999993</v>
      </c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</row>
    <row r="409" spans="1:24" x14ac:dyDescent="0.45">
      <c r="A409" s="12">
        <v>37257</v>
      </c>
      <c r="B409" s="14">
        <v>10.5</v>
      </c>
      <c r="C409" s="14">
        <v>21.5</v>
      </c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</row>
    <row r="410" spans="1:24" x14ac:dyDescent="0.45">
      <c r="A410" s="12">
        <v>37288</v>
      </c>
      <c r="B410" s="14">
        <v>11</v>
      </c>
      <c r="C410" s="14">
        <v>0.5</v>
      </c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</row>
    <row r="411" spans="1:24" x14ac:dyDescent="0.45">
      <c r="A411" s="12">
        <v>37316</v>
      </c>
      <c r="B411" s="14">
        <v>12.4</v>
      </c>
      <c r="C411" s="14">
        <v>1.4000000000000004</v>
      </c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</row>
    <row r="412" spans="1:24" x14ac:dyDescent="0.45">
      <c r="A412" s="12">
        <v>37347</v>
      </c>
      <c r="B412" s="14">
        <v>12.6</v>
      </c>
      <c r="C412" s="14">
        <v>0.19999999999999929</v>
      </c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</row>
    <row r="413" spans="1:24" x14ac:dyDescent="0.45">
      <c r="A413" s="12">
        <v>37377</v>
      </c>
      <c r="B413" s="14">
        <v>10.1</v>
      </c>
      <c r="C413" s="14">
        <v>-2.5</v>
      </c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</row>
    <row r="414" spans="1:24" x14ac:dyDescent="0.45">
      <c r="A414" s="12">
        <v>37408</v>
      </c>
      <c r="B414" s="14">
        <v>20.399999999999999</v>
      </c>
      <c r="C414" s="14">
        <v>10.299999999999999</v>
      </c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</row>
    <row r="415" spans="1:24" x14ac:dyDescent="0.45">
      <c r="A415" s="12">
        <v>37438</v>
      </c>
      <c r="B415" s="14">
        <v>5.9</v>
      </c>
      <c r="C415" s="14">
        <v>-14.499999999999998</v>
      </c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</row>
    <row r="416" spans="1:24" x14ac:dyDescent="0.45">
      <c r="A416" s="12">
        <v>37469</v>
      </c>
      <c r="B416" s="14">
        <v>-1.3</v>
      </c>
      <c r="C416" s="14">
        <v>-7.2</v>
      </c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</row>
    <row r="417" spans="1:24" x14ac:dyDescent="0.45">
      <c r="A417" s="12">
        <v>37500</v>
      </c>
      <c r="B417" s="14">
        <v>4.3</v>
      </c>
      <c r="C417" s="14">
        <v>5.6</v>
      </c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</row>
    <row r="418" spans="1:24" x14ac:dyDescent="0.45">
      <c r="A418" s="12">
        <v>37530</v>
      </c>
      <c r="B418" s="14">
        <v>-7.6</v>
      </c>
      <c r="C418" s="14">
        <v>-11.899999999999999</v>
      </c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</row>
    <row r="419" spans="1:24" x14ac:dyDescent="0.45">
      <c r="A419" s="12">
        <v>37561</v>
      </c>
      <c r="B419" s="14">
        <v>7.4</v>
      </c>
      <c r="C419" s="14">
        <v>15</v>
      </c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</row>
    <row r="420" spans="1:24" x14ac:dyDescent="0.45">
      <c r="A420" s="12">
        <v>37591</v>
      </c>
      <c r="B420" s="14">
        <v>7.2</v>
      </c>
      <c r="C420" s="14">
        <v>-0.20000000000000018</v>
      </c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</row>
    <row r="421" spans="1:24" x14ac:dyDescent="0.45">
      <c r="A421" s="12">
        <v>37622</v>
      </c>
      <c r="B421" s="14">
        <v>5.5</v>
      </c>
      <c r="C421" s="14">
        <v>-1.7000000000000002</v>
      </c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</row>
    <row r="422" spans="1:24" x14ac:dyDescent="0.45">
      <c r="A422" s="12">
        <v>37653</v>
      </c>
      <c r="B422" s="14">
        <v>-1.6</v>
      </c>
      <c r="C422" s="14">
        <v>-7.1</v>
      </c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</row>
    <row r="423" spans="1:24" x14ac:dyDescent="0.45">
      <c r="A423" s="12">
        <v>37681</v>
      </c>
      <c r="B423" s="14">
        <v>-3.9</v>
      </c>
      <c r="C423" s="14">
        <v>-2.2999999999999998</v>
      </c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</row>
    <row r="424" spans="1:24" x14ac:dyDescent="0.45">
      <c r="A424" s="12">
        <v>37712</v>
      </c>
      <c r="B424" s="14">
        <v>-6.7</v>
      </c>
      <c r="C424" s="14">
        <v>-2.8000000000000003</v>
      </c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</row>
    <row r="425" spans="1:24" x14ac:dyDescent="0.45">
      <c r="A425" s="12">
        <v>37742</v>
      </c>
      <c r="B425" s="14">
        <v>-0.6</v>
      </c>
      <c r="C425" s="14">
        <v>6.1000000000000005</v>
      </c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</row>
    <row r="426" spans="1:24" x14ac:dyDescent="0.45">
      <c r="A426" s="12">
        <v>37773</v>
      </c>
      <c r="B426" s="14">
        <v>3.7</v>
      </c>
      <c r="C426" s="14">
        <v>4.3</v>
      </c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</row>
    <row r="427" spans="1:24" x14ac:dyDescent="0.45">
      <c r="A427" s="12">
        <v>37803</v>
      </c>
      <c r="B427" s="14">
        <v>7.7</v>
      </c>
      <c r="C427" s="14">
        <v>4</v>
      </c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</row>
    <row r="428" spans="1:24" x14ac:dyDescent="0.45">
      <c r="A428" s="12">
        <v>37834</v>
      </c>
      <c r="B428" s="14">
        <v>20.2</v>
      </c>
      <c r="C428" s="14">
        <v>12.5</v>
      </c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</row>
    <row r="429" spans="1:24" x14ac:dyDescent="0.45">
      <c r="A429" s="12">
        <v>37865</v>
      </c>
      <c r="B429" s="14">
        <v>20.6</v>
      </c>
      <c r="C429" s="14">
        <v>0.40000000000000213</v>
      </c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</row>
    <row r="430" spans="1:24" x14ac:dyDescent="0.45">
      <c r="A430" s="12">
        <v>37895</v>
      </c>
      <c r="B430" s="14">
        <v>28.3</v>
      </c>
      <c r="C430" s="14">
        <v>7.6999999999999993</v>
      </c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</row>
    <row r="431" spans="1:24" x14ac:dyDescent="0.45">
      <c r="A431" s="12">
        <v>37926</v>
      </c>
      <c r="B431" s="14">
        <v>26.8</v>
      </c>
      <c r="C431" s="14">
        <v>-1.5</v>
      </c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</row>
    <row r="432" spans="1:24" x14ac:dyDescent="0.45">
      <c r="A432" s="12">
        <v>37956</v>
      </c>
      <c r="B432" s="14">
        <v>26.5</v>
      </c>
      <c r="C432" s="14">
        <v>-0.30000000000000071</v>
      </c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</row>
    <row r="433" spans="1:24" x14ac:dyDescent="0.45">
      <c r="A433" s="12">
        <v>37987</v>
      </c>
      <c r="B433" s="14">
        <v>36.1</v>
      </c>
      <c r="C433" s="14">
        <v>9.6000000000000014</v>
      </c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</row>
    <row r="434" spans="1:24" x14ac:dyDescent="0.45">
      <c r="A434" s="12">
        <v>38018</v>
      </c>
      <c r="B434" s="14">
        <v>27.7</v>
      </c>
      <c r="C434" s="14">
        <v>-8.4000000000000021</v>
      </c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</row>
    <row r="435" spans="1:24" x14ac:dyDescent="0.45">
      <c r="A435" s="12">
        <v>38047</v>
      </c>
      <c r="B435" s="14">
        <v>29.6</v>
      </c>
      <c r="C435" s="14">
        <v>1.9000000000000021</v>
      </c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</row>
    <row r="436" spans="1:24" x14ac:dyDescent="0.45">
      <c r="A436" s="12">
        <v>38078</v>
      </c>
      <c r="B436" s="14">
        <v>32.299999999999997</v>
      </c>
      <c r="C436" s="14">
        <v>2.6999999999999957</v>
      </c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</row>
    <row r="437" spans="1:24" x14ac:dyDescent="0.45">
      <c r="A437" s="12">
        <v>38108</v>
      </c>
      <c r="B437" s="14">
        <v>28.9</v>
      </c>
      <c r="C437" s="14">
        <v>-3.3999999999999986</v>
      </c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</row>
    <row r="438" spans="1:24" x14ac:dyDescent="0.45">
      <c r="A438" s="12">
        <v>38139</v>
      </c>
      <c r="B438" s="14">
        <v>30.6</v>
      </c>
      <c r="C438" s="14">
        <v>1.7000000000000028</v>
      </c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</row>
    <row r="439" spans="1:24" x14ac:dyDescent="0.45">
      <c r="A439" s="12">
        <v>38169</v>
      </c>
      <c r="B439" s="14">
        <v>34.700000000000003</v>
      </c>
      <c r="C439" s="14">
        <v>4.1000000000000014</v>
      </c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</row>
    <row r="440" spans="1:24" x14ac:dyDescent="0.45">
      <c r="A440" s="12">
        <v>38200</v>
      </c>
      <c r="B440" s="14">
        <v>25</v>
      </c>
      <c r="C440" s="14">
        <v>-9.7000000000000028</v>
      </c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</row>
    <row r="441" spans="1:24" x14ac:dyDescent="0.45">
      <c r="A441" s="12">
        <v>38231</v>
      </c>
      <c r="B441" s="14">
        <v>19.600000000000001</v>
      </c>
      <c r="C441" s="14">
        <v>-5.3999999999999986</v>
      </c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</row>
    <row r="442" spans="1:24" x14ac:dyDescent="0.45">
      <c r="A442" s="12">
        <v>38261</v>
      </c>
      <c r="B442" s="14">
        <v>26.9</v>
      </c>
      <c r="C442" s="14">
        <v>7.2999999999999972</v>
      </c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</row>
    <row r="443" spans="1:24" x14ac:dyDescent="0.45">
      <c r="A443" s="12">
        <v>38292</v>
      </c>
      <c r="B443" s="14">
        <v>19.100000000000001</v>
      </c>
      <c r="C443" s="14">
        <v>-7.7999999999999972</v>
      </c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</row>
    <row r="444" spans="1:24" x14ac:dyDescent="0.45">
      <c r="A444" s="12">
        <v>38322</v>
      </c>
      <c r="B444" s="14">
        <v>25.5</v>
      </c>
      <c r="C444" s="14">
        <v>6.3999999999999986</v>
      </c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</row>
    <row r="445" spans="1:24" x14ac:dyDescent="0.45">
      <c r="A445" s="12">
        <v>38353</v>
      </c>
      <c r="B445" s="14">
        <v>13.5</v>
      </c>
      <c r="C445" s="14">
        <v>-12</v>
      </c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</row>
    <row r="446" spans="1:24" x14ac:dyDescent="0.45">
      <c r="A446" s="12">
        <v>38384</v>
      </c>
      <c r="B446" s="14">
        <v>21.1</v>
      </c>
      <c r="C446" s="14">
        <v>7.6000000000000014</v>
      </c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</row>
    <row r="447" spans="1:24" x14ac:dyDescent="0.45">
      <c r="A447" s="12">
        <v>38412</v>
      </c>
      <c r="B447" s="14">
        <v>15.1</v>
      </c>
      <c r="C447" s="14">
        <v>-6.0000000000000018</v>
      </c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</row>
    <row r="448" spans="1:24" x14ac:dyDescent="0.45">
      <c r="A448" s="12">
        <v>38443</v>
      </c>
      <c r="B448" s="14">
        <v>25.2</v>
      </c>
      <c r="C448" s="14">
        <v>10.1</v>
      </c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</row>
    <row r="449" spans="1:24" x14ac:dyDescent="0.45">
      <c r="A449" s="12">
        <v>38473</v>
      </c>
      <c r="B449" s="14">
        <v>9.3000000000000007</v>
      </c>
      <c r="C449" s="14">
        <v>-15.899999999999999</v>
      </c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</row>
    <row r="450" spans="1:24" x14ac:dyDescent="0.45">
      <c r="A450" s="12">
        <v>38504</v>
      </c>
      <c r="B450" s="14">
        <v>-1.3</v>
      </c>
      <c r="C450" s="14">
        <v>-10.600000000000001</v>
      </c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</row>
    <row r="451" spans="1:24" x14ac:dyDescent="0.45">
      <c r="A451" s="12">
        <v>38534</v>
      </c>
      <c r="B451" s="14">
        <v>8.1</v>
      </c>
      <c r="C451" s="14">
        <v>9.4</v>
      </c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</row>
    <row r="452" spans="1:24" x14ac:dyDescent="0.45">
      <c r="A452" s="12">
        <v>38565</v>
      </c>
      <c r="B452" s="14">
        <v>11.2</v>
      </c>
      <c r="C452" s="14">
        <v>3.0999999999999996</v>
      </c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</row>
    <row r="453" spans="1:24" x14ac:dyDescent="0.45">
      <c r="A453" s="12">
        <v>38596</v>
      </c>
      <c r="B453" s="14">
        <v>7.1</v>
      </c>
      <c r="C453" s="14">
        <v>-4.0999999999999996</v>
      </c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</row>
    <row r="454" spans="1:24" x14ac:dyDescent="0.45">
      <c r="A454" s="12">
        <v>38626</v>
      </c>
      <c r="B454" s="14">
        <v>4.8</v>
      </c>
      <c r="C454" s="14">
        <v>-2.2999999999999998</v>
      </c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</row>
    <row r="455" spans="1:24" x14ac:dyDescent="0.45">
      <c r="A455" s="12">
        <v>38657</v>
      </c>
      <c r="B455" s="14">
        <v>10.3</v>
      </c>
      <c r="C455" s="14">
        <v>5.5000000000000009</v>
      </c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</row>
    <row r="456" spans="1:24" x14ac:dyDescent="0.45">
      <c r="A456" s="12">
        <v>38687</v>
      </c>
      <c r="B456" s="14">
        <v>12.9</v>
      </c>
      <c r="C456" s="14">
        <v>2.5999999999999996</v>
      </c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</row>
    <row r="457" spans="1:24" x14ac:dyDescent="0.45">
      <c r="A457" s="12">
        <v>38718</v>
      </c>
      <c r="B457" s="14">
        <v>5.4</v>
      </c>
      <c r="C457" s="14">
        <v>-7.5</v>
      </c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</row>
    <row r="458" spans="1:24" x14ac:dyDescent="0.45">
      <c r="A458" s="12">
        <v>38749</v>
      </c>
      <c r="B458" s="14">
        <v>15.3</v>
      </c>
      <c r="C458" s="14">
        <v>9.9</v>
      </c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</row>
    <row r="459" spans="1:24" x14ac:dyDescent="0.45">
      <c r="A459" s="12">
        <v>38777</v>
      </c>
      <c r="B459" s="14">
        <v>14.7</v>
      </c>
      <c r="C459" s="14">
        <v>-0.60000000000000142</v>
      </c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</row>
    <row r="460" spans="1:24" x14ac:dyDescent="0.45">
      <c r="A460" s="12">
        <v>38808</v>
      </c>
      <c r="B460" s="14">
        <v>14.2</v>
      </c>
      <c r="C460" s="14">
        <v>-0.5</v>
      </c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</row>
    <row r="461" spans="1:24" x14ac:dyDescent="0.45">
      <c r="A461" s="12">
        <v>38838</v>
      </c>
      <c r="B461" s="14">
        <v>13.7</v>
      </c>
      <c r="C461" s="14">
        <v>-0.5</v>
      </c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</row>
    <row r="462" spans="1:24" x14ac:dyDescent="0.45">
      <c r="A462" s="12">
        <v>38869</v>
      </c>
      <c r="B462" s="14">
        <v>11.7</v>
      </c>
      <c r="C462" s="14">
        <v>-2</v>
      </c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</row>
    <row r="463" spans="1:24" x14ac:dyDescent="0.45">
      <c r="A463" s="12">
        <v>38899</v>
      </c>
      <c r="B463" s="14">
        <v>4</v>
      </c>
      <c r="C463" s="14">
        <v>-7.6999999999999993</v>
      </c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</row>
    <row r="464" spans="1:24" x14ac:dyDescent="0.45">
      <c r="A464" s="12">
        <v>38930</v>
      </c>
      <c r="B464" s="14">
        <v>12.5</v>
      </c>
      <c r="C464" s="14">
        <v>8.5</v>
      </c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</row>
    <row r="465" spans="1:24" x14ac:dyDescent="0.45">
      <c r="A465" s="12">
        <v>38961</v>
      </c>
      <c r="B465" s="14">
        <v>-0.8</v>
      </c>
      <c r="C465" s="14">
        <v>-13.3</v>
      </c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</row>
    <row r="466" spans="1:24" x14ac:dyDescent="0.45">
      <c r="A466" s="12">
        <v>38991</v>
      </c>
      <c r="B466" s="14">
        <v>2.2999999999999998</v>
      </c>
      <c r="C466" s="14">
        <v>3.0999999999999996</v>
      </c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</row>
    <row r="467" spans="1:24" x14ac:dyDescent="0.45">
      <c r="A467" s="12">
        <v>39022</v>
      </c>
      <c r="B467" s="14">
        <v>4.5</v>
      </c>
      <c r="C467" s="14">
        <v>2.2000000000000002</v>
      </c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</row>
    <row r="468" spans="1:24" x14ac:dyDescent="0.45">
      <c r="A468" s="12">
        <v>39052</v>
      </c>
      <c r="B468" s="14">
        <v>-1.8</v>
      </c>
      <c r="C468" s="14">
        <v>-6.3</v>
      </c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</row>
    <row r="469" spans="1:24" x14ac:dyDescent="0.45">
      <c r="A469" s="12">
        <v>39083</v>
      </c>
      <c r="B469" s="14">
        <v>7.5</v>
      </c>
      <c r="C469" s="14">
        <v>9.3000000000000007</v>
      </c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</row>
    <row r="470" spans="1:24" x14ac:dyDescent="0.45">
      <c r="A470" s="12">
        <v>39114</v>
      </c>
      <c r="B470" s="14">
        <v>3.5</v>
      </c>
      <c r="C470" s="14">
        <v>-4</v>
      </c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</row>
    <row r="471" spans="1:24" x14ac:dyDescent="0.45">
      <c r="A471" s="12">
        <v>39142</v>
      </c>
      <c r="B471" s="14">
        <v>2.8</v>
      </c>
      <c r="C471" s="14">
        <v>-0.70000000000000018</v>
      </c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</row>
    <row r="472" spans="1:24" x14ac:dyDescent="0.45">
      <c r="A472" s="12">
        <v>39173</v>
      </c>
      <c r="B472" s="14">
        <v>2.9</v>
      </c>
      <c r="C472" s="14">
        <v>0.10000000000000009</v>
      </c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</row>
    <row r="473" spans="1:24" x14ac:dyDescent="0.45">
      <c r="A473" s="12">
        <v>39203</v>
      </c>
      <c r="B473" s="14">
        <v>3.7</v>
      </c>
      <c r="C473" s="14">
        <v>0.80000000000000027</v>
      </c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</row>
    <row r="474" spans="1:24" x14ac:dyDescent="0.45">
      <c r="A474" s="12">
        <v>39234</v>
      </c>
      <c r="B474" s="14">
        <v>17.3</v>
      </c>
      <c r="C474" s="14">
        <v>13.600000000000001</v>
      </c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</row>
    <row r="475" spans="1:24" x14ac:dyDescent="0.45">
      <c r="A475" s="12">
        <v>39264</v>
      </c>
      <c r="B475" s="14">
        <v>6.8</v>
      </c>
      <c r="C475" s="14">
        <v>-10.5</v>
      </c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</row>
    <row r="476" spans="1:24" x14ac:dyDescent="0.45">
      <c r="A476" s="12">
        <v>39295</v>
      </c>
      <c r="B476" s="14">
        <v>-0.5</v>
      </c>
      <c r="C476" s="14">
        <v>-7.3</v>
      </c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</row>
    <row r="477" spans="1:24" x14ac:dyDescent="0.45">
      <c r="A477" s="12">
        <v>39326</v>
      </c>
      <c r="B477" s="14">
        <v>7.5</v>
      </c>
      <c r="C477" s="14">
        <v>8</v>
      </c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</row>
    <row r="478" spans="1:24" x14ac:dyDescent="0.45">
      <c r="A478" s="12">
        <v>39356</v>
      </c>
      <c r="B478" s="14">
        <v>7.8</v>
      </c>
      <c r="C478" s="14">
        <v>0.29999999999999982</v>
      </c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</row>
    <row r="479" spans="1:24" x14ac:dyDescent="0.45">
      <c r="A479" s="12">
        <v>39387</v>
      </c>
      <c r="B479" s="14">
        <v>6.7</v>
      </c>
      <c r="C479" s="14">
        <v>-1.0999999999999996</v>
      </c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</row>
    <row r="480" spans="1:24" x14ac:dyDescent="0.45">
      <c r="A480" s="12">
        <v>39417</v>
      </c>
      <c r="B480" s="14">
        <v>-5.4</v>
      </c>
      <c r="C480" s="14">
        <v>-12.100000000000001</v>
      </c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</row>
    <row r="481" spans="1:24" x14ac:dyDescent="0.45">
      <c r="A481" s="12">
        <v>39448</v>
      </c>
      <c r="B481" s="14">
        <v>-18.399999999999999</v>
      </c>
      <c r="C481" s="14">
        <v>-12.999999999999998</v>
      </c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</row>
    <row r="482" spans="1:24" x14ac:dyDescent="0.45">
      <c r="A482" s="12">
        <v>39479</v>
      </c>
      <c r="B482" s="14">
        <v>-20.3</v>
      </c>
      <c r="C482" s="14">
        <v>-1.9000000000000021</v>
      </c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</row>
    <row r="483" spans="1:24" x14ac:dyDescent="0.45">
      <c r="A483" s="12">
        <v>39508</v>
      </c>
      <c r="B483" s="14">
        <v>-14.7</v>
      </c>
      <c r="C483" s="14">
        <v>5.6000000000000014</v>
      </c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</row>
    <row r="484" spans="1:24" x14ac:dyDescent="0.45">
      <c r="A484" s="12">
        <v>39539</v>
      </c>
      <c r="B484" s="14">
        <v>-21.3</v>
      </c>
      <c r="C484" s="14">
        <v>-6.6000000000000014</v>
      </c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</row>
    <row r="485" spans="1:24" x14ac:dyDescent="0.45">
      <c r="A485" s="12">
        <v>39569</v>
      </c>
      <c r="B485" s="14">
        <v>-16.100000000000001</v>
      </c>
      <c r="C485" s="14">
        <v>5.1999999999999993</v>
      </c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</row>
    <row r="486" spans="1:24" x14ac:dyDescent="0.45">
      <c r="A486" s="12">
        <v>39600</v>
      </c>
      <c r="B486" s="14">
        <v>-16.8</v>
      </c>
      <c r="C486" s="14">
        <v>-0.69999999999999929</v>
      </c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</row>
    <row r="487" spans="1:24" x14ac:dyDescent="0.45">
      <c r="A487" s="12">
        <v>39630</v>
      </c>
      <c r="B487" s="14">
        <v>-16.2</v>
      </c>
      <c r="C487" s="14">
        <v>0.60000000000000142</v>
      </c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</row>
    <row r="488" spans="1:24" x14ac:dyDescent="0.45">
      <c r="A488" s="12">
        <v>39661</v>
      </c>
      <c r="B488" s="14">
        <v>-17.600000000000001</v>
      </c>
      <c r="C488" s="14">
        <v>-1.4000000000000021</v>
      </c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</row>
    <row r="489" spans="1:24" x14ac:dyDescent="0.45">
      <c r="A489" s="12">
        <v>39692</v>
      </c>
      <c r="B489" s="14">
        <v>2.1</v>
      </c>
      <c r="C489" s="14">
        <v>19.700000000000003</v>
      </c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</row>
    <row r="490" spans="1:24" x14ac:dyDescent="0.45">
      <c r="A490" s="12">
        <v>39722</v>
      </c>
      <c r="B490" s="14">
        <v>-37.5</v>
      </c>
      <c r="C490" s="14">
        <v>-39.6</v>
      </c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</row>
    <row r="491" spans="1:24" x14ac:dyDescent="0.45">
      <c r="A491" s="12">
        <v>39753</v>
      </c>
      <c r="B491" s="14">
        <v>-40.9</v>
      </c>
      <c r="C491" s="14">
        <v>-3.3999999999999986</v>
      </c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</row>
    <row r="492" spans="1:24" x14ac:dyDescent="0.45">
      <c r="A492" s="12">
        <v>39783</v>
      </c>
      <c r="B492" s="14">
        <v>-37.6</v>
      </c>
      <c r="C492" s="14">
        <v>3.2999999999999972</v>
      </c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</row>
    <row r="493" spans="1:24" x14ac:dyDescent="0.45">
      <c r="A493" s="12">
        <v>39814</v>
      </c>
      <c r="B493" s="14">
        <v>-31.1</v>
      </c>
      <c r="C493" s="14">
        <v>6.5</v>
      </c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</row>
    <row r="494" spans="1:24" x14ac:dyDescent="0.45">
      <c r="A494" s="12">
        <v>39845</v>
      </c>
      <c r="B494" s="14">
        <v>-39.6</v>
      </c>
      <c r="C494" s="14">
        <v>-8.5</v>
      </c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</row>
    <row r="495" spans="1:24" x14ac:dyDescent="0.45">
      <c r="A495" s="12">
        <v>39873</v>
      </c>
      <c r="B495" s="14">
        <v>-34.4</v>
      </c>
      <c r="C495" s="14">
        <v>5.2000000000000028</v>
      </c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</row>
    <row r="496" spans="1:24" x14ac:dyDescent="0.45">
      <c r="A496" s="12">
        <v>39904</v>
      </c>
      <c r="B496" s="14">
        <v>-25.2</v>
      </c>
      <c r="C496" s="14">
        <v>9.1999999999999993</v>
      </c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</row>
    <row r="497" spans="1:24" x14ac:dyDescent="0.45">
      <c r="A497" s="12">
        <v>39934</v>
      </c>
      <c r="B497" s="14">
        <v>-22.4</v>
      </c>
      <c r="C497" s="14">
        <v>2.8000000000000007</v>
      </c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</row>
    <row r="498" spans="1:24" x14ac:dyDescent="0.45">
      <c r="A498" s="12">
        <v>39965</v>
      </c>
      <c r="B498" s="14">
        <v>0.2</v>
      </c>
      <c r="C498" s="14">
        <v>22.599999999999998</v>
      </c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</row>
    <row r="499" spans="1:24" x14ac:dyDescent="0.45">
      <c r="A499" s="12">
        <v>39995</v>
      </c>
      <c r="B499" s="14">
        <v>-6.6</v>
      </c>
      <c r="C499" s="14">
        <v>-6.8</v>
      </c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</row>
    <row r="500" spans="1:24" x14ac:dyDescent="0.45">
      <c r="A500" s="12">
        <v>40026</v>
      </c>
      <c r="B500" s="14">
        <v>8.9</v>
      </c>
      <c r="C500" s="14">
        <v>15.5</v>
      </c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</row>
    <row r="501" spans="1:24" x14ac:dyDescent="0.45">
      <c r="A501" s="12">
        <v>40057</v>
      </c>
      <c r="B501" s="14">
        <v>15.2</v>
      </c>
      <c r="C501" s="14">
        <v>6.2999999999999989</v>
      </c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</row>
    <row r="502" spans="1:24" x14ac:dyDescent="0.45">
      <c r="A502" s="12">
        <v>40087</v>
      </c>
      <c r="B502" s="14">
        <v>12.6</v>
      </c>
      <c r="C502" s="14">
        <v>-2.5999999999999996</v>
      </c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</row>
    <row r="503" spans="1:24" x14ac:dyDescent="0.45">
      <c r="A503" s="12">
        <v>40118</v>
      </c>
      <c r="B503" s="14">
        <v>15.4</v>
      </c>
      <c r="C503" s="14">
        <v>2.8000000000000007</v>
      </c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</row>
    <row r="504" spans="1:24" x14ac:dyDescent="0.45">
      <c r="A504" s="12">
        <v>40148</v>
      </c>
      <c r="B504" s="14">
        <v>16.5</v>
      </c>
      <c r="C504" s="14">
        <v>1.0999999999999996</v>
      </c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</row>
    <row r="505" spans="1:24" x14ac:dyDescent="0.45">
      <c r="A505" s="12">
        <v>40179</v>
      </c>
      <c r="B505" s="14">
        <v>12.9</v>
      </c>
      <c r="C505" s="14">
        <v>-3.5999999999999996</v>
      </c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</row>
    <row r="506" spans="1:24" x14ac:dyDescent="0.45">
      <c r="A506" s="12">
        <v>40210</v>
      </c>
      <c r="B506" s="14">
        <v>14</v>
      </c>
      <c r="C506" s="14">
        <v>1.0999999999999996</v>
      </c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</row>
    <row r="507" spans="1:24" x14ac:dyDescent="0.45">
      <c r="A507" s="12">
        <v>40238</v>
      </c>
      <c r="B507" s="14">
        <v>14.2</v>
      </c>
      <c r="C507" s="14">
        <v>0.19999999999999929</v>
      </c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</row>
    <row r="508" spans="1:24" x14ac:dyDescent="0.45">
      <c r="A508" s="12">
        <v>40269</v>
      </c>
      <c r="B508" s="14">
        <v>16</v>
      </c>
      <c r="C508" s="14">
        <v>1.8000000000000007</v>
      </c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</row>
    <row r="509" spans="1:24" x14ac:dyDescent="0.45">
      <c r="A509" s="12">
        <v>40299</v>
      </c>
      <c r="B509" s="14">
        <v>22.2</v>
      </c>
      <c r="C509" s="14">
        <v>6.1999999999999993</v>
      </c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</row>
    <row r="510" spans="1:24" x14ac:dyDescent="0.45">
      <c r="A510" s="12">
        <v>40330</v>
      </c>
      <c r="B510" s="14">
        <v>15</v>
      </c>
      <c r="C510" s="14">
        <v>-7.1999999999999993</v>
      </c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</row>
    <row r="511" spans="1:24" x14ac:dyDescent="0.45">
      <c r="A511" s="12">
        <v>40360</v>
      </c>
      <c r="B511" s="14">
        <v>7.7</v>
      </c>
      <c r="C511" s="14">
        <v>-7.3</v>
      </c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</row>
    <row r="512" spans="1:24" x14ac:dyDescent="0.45">
      <c r="A512" s="12">
        <v>40391</v>
      </c>
      <c r="B512" s="14">
        <v>3.6</v>
      </c>
      <c r="C512" s="14">
        <v>-4.0999999999999996</v>
      </c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</row>
    <row r="513" spans="1:24" x14ac:dyDescent="0.45">
      <c r="A513" s="12">
        <v>40422</v>
      </c>
      <c r="B513" s="14">
        <v>4.5</v>
      </c>
      <c r="C513" s="14">
        <v>0.89999999999999991</v>
      </c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</row>
    <row r="514" spans="1:24" x14ac:dyDescent="0.45">
      <c r="A514" s="12">
        <v>40452</v>
      </c>
      <c r="B514" s="14">
        <v>0.3</v>
      </c>
      <c r="C514" s="14">
        <v>-4.2</v>
      </c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</row>
    <row r="515" spans="1:24" x14ac:dyDescent="0.45">
      <c r="A515" s="12">
        <v>40483</v>
      </c>
      <c r="B515" s="14">
        <v>19.100000000000001</v>
      </c>
      <c r="C515" s="14">
        <v>18.8</v>
      </c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</row>
    <row r="516" spans="1:24" x14ac:dyDescent="0.45">
      <c r="A516" s="12">
        <v>40513</v>
      </c>
      <c r="B516" s="14">
        <v>15.4</v>
      </c>
      <c r="C516" s="14">
        <v>-3.7000000000000011</v>
      </c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</row>
    <row r="517" spans="1:24" x14ac:dyDescent="0.45">
      <c r="A517" s="12">
        <v>40544</v>
      </c>
      <c r="B517" s="14">
        <v>16.5</v>
      </c>
      <c r="C517" s="14">
        <v>1.0999999999999996</v>
      </c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</row>
    <row r="518" spans="1:24" x14ac:dyDescent="0.45">
      <c r="A518" s="12">
        <v>40575</v>
      </c>
      <c r="B518" s="14">
        <v>28.8</v>
      </c>
      <c r="C518" s="14">
        <v>12.3</v>
      </c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</row>
    <row r="519" spans="1:24" x14ac:dyDescent="0.45">
      <c r="A519" s="12">
        <v>40603</v>
      </c>
      <c r="B519" s="14">
        <v>36.5</v>
      </c>
      <c r="C519" s="14">
        <v>7.6999999999999993</v>
      </c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</row>
    <row r="520" spans="1:24" x14ac:dyDescent="0.45">
      <c r="A520" s="12">
        <v>40634</v>
      </c>
      <c r="B520" s="14">
        <v>12.9</v>
      </c>
      <c r="C520" s="14">
        <v>-23.6</v>
      </c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</row>
    <row r="521" spans="1:24" x14ac:dyDescent="0.45">
      <c r="A521" s="12">
        <v>40664</v>
      </c>
      <c r="B521" s="14">
        <v>6.2</v>
      </c>
      <c r="C521" s="14">
        <v>-6.7</v>
      </c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</row>
    <row r="522" spans="1:24" x14ac:dyDescent="0.45">
      <c r="A522" s="12">
        <v>40695</v>
      </c>
      <c r="B522" s="14">
        <v>-0.5</v>
      </c>
      <c r="C522" s="14">
        <v>-6.7</v>
      </c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</row>
    <row r="523" spans="1:24" x14ac:dyDescent="0.45">
      <c r="A523" s="12">
        <v>40725</v>
      </c>
      <c r="B523" s="14">
        <v>7.1</v>
      </c>
      <c r="C523" s="14">
        <v>7.6</v>
      </c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</row>
    <row r="524" spans="1:24" x14ac:dyDescent="0.45">
      <c r="A524" s="12">
        <v>40756</v>
      </c>
      <c r="B524" s="14">
        <v>-19.600000000000001</v>
      </c>
      <c r="C524" s="14">
        <v>-26.700000000000003</v>
      </c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</row>
    <row r="525" spans="1:24" x14ac:dyDescent="0.45">
      <c r="A525" s="12">
        <v>40787</v>
      </c>
      <c r="B525" s="14">
        <v>-10.7</v>
      </c>
      <c r="C525" s="14">
        <v>8.9000000000000021</v>
      </c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</row>
    <row r="526" spans="1:24" x14ac:dyDescent="0.45">
      <c r="A526" s="12">
        <v>40817</v>
      </c>
      <c r="B526" s="14">
        <v>6.2</v>
      </c>
      <c r="C526" s="14">
        <v>16.899999999999999</v>
      </c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</row>
    <row r="527" spans="1:24" x14ac:dyDescent="0.45">
      <c r="A527" s="12">
        <v>40848</v>
      </c>
      <c r="B527" s="14">
        <v>4</v>
      </c>
      <c r="C527" s="14">
        <v>-2.2000000000000002</v>
      </c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</row>
    <row r="528" spans="1:24" x14ac:dyDescent="0.45">
      <c r="A528" s="12">
        <v>40878</v>
      </c>
      <c r="B528" s="14">
        <v>2.4</v>
      </c>
      <c r="C528" s="14">
        <v>-1.6</v>
      </c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</row>
    <row r="529" spans="1:24" x14ac:dyDescent="0.45">
      <c r="A529" s="12">
        <v>40909</v>
      </c>
      <c r="B529" s="14">
        <v>7.5</v>
      </c>
      <c r="C529" s="14">
        <v>5.0999999999999996</v>
      </c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</row>
    <row r="530" spans="1:24" x14ac:dyDescent="0.45">
      <c r="A530" s="12">
        <v>40940</v>
      </c>
      <c r="B530" s="14">
        <v>10.3</v>
      </c>
      <c r="C530" s="14">
        <v>2.8000000000000007</v>
      </c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</row>
    <row r="531" spans="1:24" x14ac:dyDescent="0.45">
      <c r="A531" s="12">
        <v>40969</v>
      </c>
      <c r="B531" s="14">
        <v>8.8000000000000007</v>
      </c>
      <c r="C531" s="14">
        <v>-1.5</v>
      </c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</row>
    <row r="532" spans="1:24" x14ac:dyDescent="0.45">
      <c r="A532" s="12">
        <v>41000</v>
      </c>
      <c r="B532" s="14">
        <v>5.7</v>
      </c>
      <c r="C532" s="14">
        <v>-3.1000000000000005</v>
      </c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</row>
    <row r="533" spans="1:24" x14ac:dyDescent="0.45">
      <c r="A533" s="12">
        <v>41030</v>
      </c>
      <c r="B533" s="14">
        <v>-0.8</v>
      </c>
      <c r="C533" s="14">
        <v>-6.5</v>
      </c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</row>
    <row r="534" spans="1:24" x14ac:dyDescent="0.45">
      <c r="A534" s="12">
        <v>41061</v>
      </c>
      <c r="B534" s="14">
        <v>-12.6</v>
      </c>
      <c r="C534" s="14">
        <v>-11.799999999999999</v>
      </c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</row>
    <row r="535" spans="1:24" x14ac:dyDescent="0.45">
      <c r="A535" s="12">
        <v>41091</v>
      </c>
      <c r="B535" s="14">
        <v>-12.7</v>
      </c>
      <c r="C535" s="14">
        <v>-9.9999999999999645E-2</v>
      </c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</row>
    <row r="536" spans="1:24" x14ac:dyDescent="0.45">
      <c r="A536" s="12">
        <v>41122</v>
      </c>
      <c r="B536" s="14">
        <v>-2.6</v>
      </c>
      <c r="C536" s="14">
        <v>10.1</v>
      </c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</row>
    <row r="537" spans="1:24" x14ac:dyDescent="0.45">
      <c r="A537" s="12">
        <v>41153</v>
      </c>
      <c r="B537" s="14">
        <v>0.2</v>
      </c>
      <c r="C537" s="14">
        <v>2.8000000000000003</v>
      </c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</row>
    <row r="538" spans="1:24" x14ac:dyDescent="0.45">
      <c r="A538" s="12">
        <v>41183</v>
      </c>
      <c r="B538" s="14">
        <v>-1.2</v>
      </c>
      <c r="C538" s="14">
        <v>-1.4</v>
      </c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</row>
    <row r="539" spans="1:24" x14ac:dyDescent="0.45">
      <c r="A539" s="12">
        <v>41214</v>
      </c>
      <c r="B539" s="14">
        <v>-10.6</v>
      </c>
      <c r="C539" s="14">
        <v>-9.4</v>
      </c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</row>
    <row r="540" spans="1:24" x14ac:dyDescent="0.45">
      <c r="A540" s="12">
        <v>41244</v>
      </c>
      <c r="B540" s="14">
        <v>2.5</v>
      </c>
      <c r="C540" s="14">
        <v>13.1</v>
      </c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</row>
    <row r="541" spans="1:24" x14ac:dyDescent="0.45">
      <c r="A541" s="12">
        <v>41275</v>
      </c>
      <c r="B541" s="14">
        <v>-1.4</v>
      </c>
      <c r="C541" s="14">
        <v>-3.9</v>
      </c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</row>
    <row r="542" spans="1:24" x14ac:dyDescent="0.45">
      <c r="A542" s="12">
        <v>41306</v>
      </c>
      <c r="B542" s="14">
        <v>-5.5</v>
      </c>
      <c r="C542" s="14">
        <v>-4.0999999999999996</v>
      </c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</row>
    <row r="543" spans="1:24" x14ac:dyDescent="0.45">
      <c r="A543" s="12">
        <v>41334</v>
      </c>
      <c r="B543" s="14">
        <v>2.1</v>
      </c>
      <c r="C543" s="14">
        <v>7.6</v>
      </c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</row>
    <row r="544" spans="1:24" x14ac:dyDescent="0.45">
      <c r="A544" s="12">
        <v>41365</v>
      </c>
      <c r="B544" s="14">
        <v>0.4</v>
      </c>
      <c r="C544" s="14">
        <v>-1.7000000000000002</v>
      </c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</row>
    <row r="545" spans="1:24" x14ac:dyDescent="0.45">
      <c r="A545" s="12">
        <v>41395</v>
      </c>
      <c r="B545" s="14">
        <v>0.3</v>
      </c>
      <c r="C545" s="14">
        <v>-0.10000000000000003</v>
      </c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</row>
    <row r="546" spans="1:24" x14ac:dyDescent="0.45">
      <c r="A546" s="12">
        <v>41426</v>
      </c>
      <c r="B546" s="14">
        <v>12.7</v>
      </c>
      <c r="C546" s="14">
        <v>12.399999999999999</v>
      </c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</row>
    <row r="547" spans="1:24" x14ac:dyDescent="0.45">
      <c r="A547" s="12">
        <v>41456</v>
      </c>
      <c r="B547" s="14">
        <v>15.9</v>
      </c>
      <c r="C547" s="14">
        <v>3.2000000000000011</v>
      </c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</row>
    <row r="548" spans="1:24" x14ac:dyDescent="0.45">
      <c r="A548" s="12">
        <v>41487</v>
      </c>
      <c r="B548" s="14">
        <v>8</v>
      </c>
      <c r="C548" s="14">
        <v>-7.9</v>
      </c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</row>
    <row r="549" spans="1:24" x14ac:dyDescent="0.45">
      <c r="A549" s="12">
        <v>41518</v>
      </c>
      <c r="B549" s="14">
        <v>20.6</v>
      </c>
      <c r="C549" s="14">
        <v>12.600000000000001</v>
      </c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</row>
    <row r="550" spans="1:24" x14ac:dyDescent="0.45">
      <c r="A550" s="12">
        <v>41548</v>
      </c>
      <c r="B550" s="14">
        <v>13.4</v>
      </c>
      <c r="C550" s="14">
        <v>-7.2000000000000011</v>
      </c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</row>
    <row r="551" spans="1:24" x14ac:dyDescent="0.45">
      <c r="A551" s="12">
        <v>41579</v>
      </c>
      <c r="B551" s="14">
        <v>4.8</v>
      </c>
      <c r="C551" s="14">
        <v>-8.6000000000000014</v>
      </c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</row>
    <row r="552" spans="1:24" x14ac:dyDescent="0.45">
      <c r="A552" s="12">
        <v>41609</v>
      </c>
      <c r="B552" s="14">
        <v>3.9</v>
      </c>
      <c r="C552" s="14">
        <v>-0.89999999999999991</v>
      </c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</row>
    <row r="553" spans="1:24" x14ac:dyDescent="0.45">
      <c r="A553" s="12">
        <v>41640</v>
      </c>
      <c r="B553" s="14">
        <v>15.4</v>
      </c>
      <c r="C553" s="14">
        <v>11.5</v>
      </c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</row>
    <row r="554" spans="1:24" x14ac:dyDescent="0.45">
      <c r="A554" s="12">
        <v>41671</v>
      </c>
      <c r="B554" s="14">
        <v>2.1</v>
      </c>
      <c r="C554" s="14">
        <v>-13.3</v>
      </c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</row>
    <row r="555" spans="1:24" x14ac:dyDescent="0.45">
      <c r="A555" s="12">
        <v>41699</v>
      </c>
      <c r="B555" s="14">
        <v>12.6</v>
      </c>
      <c r="C555" s="14">
        <v>10.5</v>
      </c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</row>
    <row r="556" spans="1:24" x14ac:dyDescent="0.45">
      <c r="A556" s="12">
        <v>41730</v>
      </c>
      <c r="B556" s="14">
        <v>16.899999999999999</v>
      </c>
      <c r="C556" s="14">
        <v>4.2999999999999989</v>
      </c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</row>
    <row r="557" spans="1:24" x14ac:dyDescent="0.45">
      <c r="A557" s="12">
        <v>41760</v>
      </c>
      <c r="B557" s="14">
        <v>18.3</v>
      </c>
      <c r="C557" s="14">
        <v>1.4000000000000021</v>
      </c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</row>
    <row r="558" spans="1:24" x14ac:dyDescent="0.45">
      <c r="A558" s="12">
        <v>41791</v>
      </c>
      <c r="B558" s="14">
        <v>14.2</v>
      </c>
      <c r="C558" s="14">
        <v>-4.1000000000000014</v>
      </c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</row>
    <row r="559" spans="1:24" x14ac:dyDescent="0.45">
      <c r="A559" s="12">
        <v>41821</v>
      </c>
      <c r="B559" s="14">
        <v>21.4</v>
      </c>
      <c r="C559" s="14">
        <v>7.1999999999999993</v>
      </c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</row>
    <row r="560" spans="1:24" x14ac:dyDescent="0.45">
      <c r="A560" s="12">
        <v>41852</v>
      </c>
      <c r="B560" s="14">
        <v>22.6</v>
      </c>
      <c r="C560" s="14">
        <v>1.2000000000000028</v>
      </c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</row>
    <row r="561" spans="1:24" x14ac:dyDescent="0.45">
      <c r="A561" s="12">
        <v>41883</v>
      </c>
      <c r="B561" s="14">
        <v>21.8</v>
      </c>
      <c r="C561" s="14">
        <v>-0.80000000000000071</v>
      </c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</row>
    <row r="562" spans="1:24" x14ac:dyDescent="0.45">
      <c r="A562" s="12">
        <v>41913</v>
      </c>
      <c r="B562" s="14">
        <v>18</v>
      </c>
      <c r="C562" s="14">
        <v>-3.8000000000000007</v>
      </c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</row>
    <row r="563" spans="1:24" x14ac:dyDescent="0.45">
      <c r="A563" s="12">
        <v>41944</v>
      </c>
      <c r="B563" s="14">
        <v>35.9</v>
      </c>
      <c r="C563" s="14">
        <v>17.899999999999999</v>
      </c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</row>
    <row r="564" spans="1:24" x14ac:dyDescent="0.45">
      <c r="A564" s="12">
        <v>41974</v>
      </c>
      <c r="B564" s="14">
        <v>21.6</v>
      </c>
      <c r="C564" s="14">
        <v>-14.299999999999997</v>
      </c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</row>
    <row r="565" spans="1:24" x14ac:dyDescent="0.45">
      <c r="A565" s="12">
        <v>42005</v>
      </c>
      <c r="B565" s="14">
        <v>13.4</v>
      </c>
      <c r="C565" s="14">
        <v>-8.2000000000000011</v>
      </c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</row>
    <row r="566" spans="1:24" x14ac:dyDescent="0.45">
      <c r="A566" s="12">
        <v>42036</v>
      </c>
      <c r="B566" s="14">
        <v>10.7</v>
      </c>
      <c r="C566" s="14">
        <v>-2.7000000000000011</v>
      </c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</row>
    <row r="567" spans="1:24" x14ac:dyDescent="0.45">
      <c r="A567" s="12">
        <v>42064</v>
      </c>
      <c r="B567" s="14">
        <v>7.2</v>
      </c>
      <c r="C567" s="14">
        <v>-3.4999999999999991</v>
      </c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</row>
    <row r="568" spans="1:24" x14ac:dyDescent="0.45">
      <c r="A568" s="12">
        <v>42095</v>
      </c>
      <c r="B568" s="14">
        <v>9.6</v>
      </c>
      <c r="C568" s="14">
        <v>2.3999999999999995</v>
      </c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</row>
    <row r="569" spans="1:24" x14ac:dyDescent="0.45">
      <c r="A569" s="12">
        <v>42125</v>
      </c>
      <c r="B569" s="14">
        <v>5.7</v>
      </c>
      <c r="C569" s="14">
        <v>-3.8999999999999995</v>
      </c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</row>
    <row r="570" spans="1:24" x14ac:dyDescent="0.45">
      <c r="A570" s="12">
        <v>42156</v>
      </c>
      <c r="B570" s="14">
        <v>8.1999999999999993</v>
      </c>
      <c r="C570" s="14">
        <v>2.4999999999999991</v>
      </c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</row>
    <row r="571" spans="1:24" x14ac:dyDescent="0.45">
      <c r="A571" s="12">
        <v>42186</v>
      </c>
      <c r="B571" s="14">
        <v>4.5999999999999996</v>
      </c>
      <c r="C571" s="14">
        <v>-3.5999999999999996</v>
      </c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</row>
    <row r="572" spans="1:24" x14ac:dyDescent="0.45">
      <c r="A572" s="12">
        <v>42217</v>
      </c>
      <c r="B572" s="14">
        <v>5.4</v>
      </c>
      <c r="C572" s="14">
        <v>0.80000000000000071</v>
      </c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</row>
    <row r="573" spans="1:24" x14ac:dyDescent="0.45">
      <c r="A573" s="12">
        <v>42248</v>
      </c>
      <c r="B573" s="14">
        <v>-3.6</v>
      </c>
      <c r="C573" s="14">
        <v>-9</v>
      </c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</row>
    <row r="574" spans="1:24" x14ac:dyDescent="0.45">
      <c r="A574" s="12">
        <v>42278</v>
      </c>
      <c r="B574" s="14">
        <v>-4.9000000000000004</v>
      </c>
      <c r="C574" s="14">
        <v>-1.3000000000000003</v>
      </c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</row>
    <row r="575" spans="1:24" x14ac:dyDescent="0.45">
      <c r="A575" s="12">
        <v>42309</v>
      </c>
      <c r="B575" s="14">
        <v>-3.1</v>
      </c>
      <c r="C575" s="14">
        <v>1.8000000000000003</v>
      </c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</row>
    <row r="576" spans="1:24" x14ac:dyDescent="0.45">
      <c r="A576" s="12">
        <v>42339</v>
      </c>
      <c r="B576" s="14">
        <v>-9.1</v>
      </c>
      <c r="C576" s="14">
        <v>-6</v>
      </c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</row>
    <row r="577" spans="1:24" x14ac:dyDescent="0.45">
      <c r="A577" s="12">
        <v>42370</v>
      </c>
      <c r="B577" s="14">
        <v>-4.4000000000000004</v>
      </c>
      <c r="C577" s="14">
        <v>4.6999999999999993</v>
      </c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</row>
    <row r="578" spans="1:24" x14ac:dyDescent="0.45">
      <c r="A578" s="12">
        <v>42401</v>
      </c>
      <c r="B578" s="14">
        <v>-5.7</v>
      </c>
      <c r="C578" s="14">
        <v>-1.2999999999999998</v>
      </c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</row>
    <row r="579" spans="1:24" x14ac:dyDescent="0.45">
      <c r="A579" s="12">
        <v>42430</v>
      </c>
      <c r="B579" s="14">
        <v>8.4</v>
      </c>
      <c r="C579" s="14">
        <v>14.100000000000001</v>
      </c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</row>
    <row r="580" spans="1:24" x14ac:dyDescent="0.45">
      <c r="A580" s="12">
        <v>42461</v>
      </c>
      <c r="B580" s="14">
        <v>-1.8</v>
      </c>
      <c r="C580" s="14">
        <v>-10.200000000000001</v>
      </c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</row>
    <row r="581" spans="1:24" x14ac:dyDescent="0.45">
      <c r="A581" s="12">
        <v>42491</v>
      </c>
      <c r="B581" s="14">
        <v>-5.6</v>
      </c>
      <c r="C581" s="14">
        <v>-3.8</v>
      </c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</row>
    <row r="582" spans="1:24" x14ac:dyDescent="0.45">
      <c r="A582" s="12">
        <v>42522</v>
      </c>
      <c r="B582" s="14">
        <v>4.4000000000000004</v>
      </c>
      <c r="C582" s="14">
        <v>10</v>
      </c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</row>
    <row r="583" spans="1:24" x14ac:dyDescent="0.45">
      <c r="A583" s="12">
        <v>42552</v>
      </c>
      <c r="B583" s="14">
        <v>1.6</v>
      </c>
      <c r="C583" s="14">
        <v>-2.8000000000000003</v>
      </c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</row>
    <row r="584" spans="1:24" x14ac:dyDescent="0.45">
      <c r="A584" s="12">
        <v>42583</v>
      </c>
      <c r="B584" s="14">
        <v>5</v>
      </c>
      <c r="C584" s="14">
        <v>3.4</v>
      </c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</row>
    <row r="585" spans="1:24" x14ac:dyDescent="0.45">
      <c r="A585" s="12">
        <v>42614</v>
      </c>
      <c r="B585" s="14">
        <v>12.5</v>
      </c>
      <c r="C585" s="14">
        <v>7.5</v>
      </c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</row>
    <row r="586" spans="1:24" x14ac:dyDescent="0.45">
      <c r="A586" s="12">
        <v>42644</v>
      </c>
      <c r="B586" s="14">
        <v>11</v>
      </c>
      <c r="C586" s="14">
        <v>-1.5</v>
      </c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</row>
    <row r="587" spans="1:24" x14ac:dyDescent="0.45">
      <c r="A587" s="12">
        <v>42675</v>
      </c>
      <c r="B587" s="14">
        <v>10.7</v>
      </c>
      <c r="C587" s="14">
        <v>-0.30000000000000071</v>
      </c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</row>
    <row r="588" spans="1:24" x14ac:dyDescent="0.45">
      <c r="A588" s="12">
        <v>42705</v>
      </c>
      <c r="B588" s="14">
        <v>22.4</v>
      </c>
      <c r="C588" s="14">
        <v>11.7</v>
      </c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</row>
    <row r="589" spans="1:24" x14ac:dyDescent="0.45">
      <c r="A589" s="12">
        <v>42736</v>
      </c>
      <c r="B589" s="14">
        <v>24</v>
      </c>
      <c r="C589" s="14">
        <v>1.6000000000000014</v>
      </c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</row>
    <row r="590" spans="1:24" x14ac:dyDescent="0.45">
      <c r="A590" s="12">
        <v>42767</v>
      </c>
      <c r="B590" s="14">
        <v>41.4</v>
      </c>
      <c r="C590" s="14">
        <v>17.399999999999999</v>
      </c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</row>
    <row r="591" spans="1:24" x14ac:dyDescent="0.45">
      <c r="A591" s="12">
        <v>42795</v>
      </c>
      <c r="B591" s="14">
        <v>29.6</v>
      </c>
      <c r="C591" s="14">
        <v>-11.799999999999997</v>
      </c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</row>
    <row r="592" spans="1:24" x14ac:dyDescent="0.45">
      <c r="A592" s="12">
        <v>42826</v>
      </c>
      <c r="B592" s="14">
        <v>22</v>
      </c>
      <c r="C592" s="14">
        <v>-7.6000000000000014</v>
      </c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</row>
    <row r="593" spans="1:24" x14ac:dyDescent="0.45">
      <c r="A593" s="12">
        <v>42856</v>
      </c>
      <c r="B593" s="14">
        <v>33.700000000000003</v>
      </c>
      <c r="C593" s="14">
        <v>11.700000000000003</v>
      </c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</row>
    <row r="594" spans="1:24" x14ac:dyDescent="0.45">
      <c r="A594" s="12">
        <v>42887</v>
      </c>
      <c r="B594" s="14">
        <v>28.5</v>
      </c>
      <c r="C594" s="14">
        <v>-5.2000000000000028</v>
      </c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</row>
    <row r="595" spans="1:24" x14ac:dyDescent="0.45">
      <c r="A595" s="12">
        <v>42917</v>
      </c>
      <c r="B595" s="14">
        <v>22.6</v>
      </c>
      <c r="C595" s="14">
        <v>-5.8999999999999986</v>
      </c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</row>
    <row r="596" spans="1:24" x14ac:dyDescent="0.45">
      <c r="A596" s="12">
        <v>42948</v>
      </c>
      <c r="B596" s="14">
        <v>19.899999999999999</v>
      </c>
      <c r="C596" s="14">
        <v>-2.7000000000000028</v>
      </c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</row>
    <row r="597" spans="1:24" x14ac:dyDescent="0.45">
      <c r="A597" s="12">
        <v>42979</v>
      </c>
      <c r="B597" s="14">
        <v>24.5</v>
      </c>
      <c r="C597" s="14">
        <v>4.6000000000000014</v>
      </c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</row>
    <row r="598" spans="1:24" x14ac:dyDescent="0.45">
      <c r="A598" s="12">
        <v>43009</v>
      </c>
      <c r="B598" s="14">
        <v>27.8</v>
      </c>
      <c r="C598" s="14">
        <v>3.3000000000000007</v>
      </c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</row>
    <row r="599" spans="1:24" x14ac:dyDescent="0.45">
      <c r="A599" s="12">
        <v>43040</v>
      </c>
      <c r="B599" s="14">
        <v>25.8</v>
      </c>
      <c r="C599" s="14">
        <v>-2</v>
      </c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</row>
    <row r="600" spans="1:24" x14ac:dyDescent="0.45">
      <c r="A600" s="12">
        <v>43070</v>
      </c>
      <c r="B600" s="14">
        <v>29</v>
      </c>
      <c r="C600" s="14">
        <v>3.1999999999999993</v>
      </c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</row>
    <row r="601" spans="1:24" x14ac:dyDescent="0.45">
      <c r="A601" s="12">
        <v>43101</v>
      </c>
      <c r="B601" s="14">
        <v>20.8</v>
      </c>
      <c r="C601" s="14">
        <v>-8.1999999999999993</v>
      </c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</row>
    <row r="602" spans="1:24" x14ac:dyDescent="0.45">
      <c r="A602" s="12">
        <v>43132</v>
      </c>
      <c r="B602" s="14">
        <v>32.299999999999997</v>
      </c>
      <c r="C602" s="14">
        <v>11.499999999999996</v>
      </c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</row>
    <row r="603" spans="1:24" x14ac:dyDescent="0.45">
      <c r="A603" s="12">
        <v>43160</v>
      </c>
      <c r="B603" s="14">
        <v>19.7</v>
      </c>
      <c r="C603" s="14">
        <v>-12.599999999999998</v>
      </c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</row>
    <row r="604" spans="1:24" x14ac:dyDescent="0.45">
      <c r="A604" s="12">
        <v>43191</v>
      </c>
      <c r="B604" s="14">
        <v>23.2</v>
      </c>
      <c r="C604" s="14">
        <v>3.5</v>
      </c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</row>
    <row r="605" spans="1:24" x14ac:dyDescent="0.45">
      <c r="A605" s="12">
        <v>43221</v>
      </c>
      <c r="B605" s="14">
        <v>32.1</v>
      </c>
      <c r="C605" s="14">
        <v>8.9000000000000021</v>
      </c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</row>
    <row r="606" spans="1:24" x14ac:dyDescent="0.45">
      <c r="A606" s="12">
        <v>43252</v>
      </c>
      <c r="B606" s="14">
        <v>22.2</v>
      </c>
      <c r="C606" s="14">
        <v>-9.9000000000000021</v>
      </c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</row>
    <row r="607" spans="1:24" x14ac:dyDescent="0.45">
      <c r="A607" s="12">
        <v>43282</v>
      </c>
      <c r="B607" s="14">
        <v>24.7</v>
      </c>
      <c r="C607" s="14">
        <v>2.5</v>
      </c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</row>
    <row r="608" spans="1:24" x14ac:dyDescent="0.45">
      <c r="A608" s="12">
        <v>43313</v>
      </c>
      <c r="B608" s="14">
        <v>8.6999999999999993</v>
      </c>
      <c r="C608" s="14">
        <v>-16</v>
      </c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</row>
    <row r="609" spans="1:24" x14ac:dyDescent="0.45">
      <c r="A609" s="12">
        <v>43344</v>
      </c>
      <c r="B609" s="14">
        <v>22.2</v>
      </c>
      <c r="C609" s="14">
        <v>13.5</v>
      </c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</row>
    <row r="610" spans="1:24" x14ac:dyDescent="0.45">
      <c r="A610" s="12">
        <v>43374</v>
      </c>
      <c r="B610" s="14">
        <v>20.7</v>
      </c>
      <c r="C610" s="14">
        <v>-1.5</v>
      </c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</row>
    <row r="611" spans="1:24" x14ac:dyDescent="0.45">
      <c r="A611" s="12">
        <v>43405</v>
      </c>
      <c r="B611" s="14">
        <v>14.8</v>
      </c>
      <c r="C611" s="14">
        <v>-5.8999999999999986</v>
      </c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</row>
    <row r="612" spans="1:24" x14ac:dyDescent="0.45">
      <c r="A612" s="12">
        <v>43435</v>
      </c>
      <c r="B612" s="14">
        <v>10.9</v>
      </c>
      <c r="C612" s="14">
        <v>-3.9000000000000004</v>
      </c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</row>
    <row r="613" spans="1:24" x14ac:dyDescent="0.45">
      <c r="A613" s="12">
        <v>43466</v>
      </c>
      <c r="B613" s="14">
        <v>11.6</v>
      </c>
      <c r="C613" s="14">
        <v>0.69999999999999929</v>
      </c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</row>
    <row r="614" spans="1:24" x14ac:dyDescent="0.45">
      <c r="A614" s="12">
        <v>43497</v>
      </c>
      <c r="B614" s="14">
        <v>0.8</v>
      </c>
      <c r="C614" s="14">
        <v>-10.799999999999999</v>
      </c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</row>
    <row r="615" spans="1:24" x14ac:dyDescent="0.45">
      <c r="A615" s="12">
        <v>43525</v>
      </c>
      <c r="B615" s="14">
        <v>9.1</v>
      </c>
      <c r="C615" s="14">
        <v>8.2999999999999989</v>
      </c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</row>
    <row r="616" spans="1:24" x14ac:dyDescent="0.45">
      <c r="A616" s="12">
        <v>43556</v>
      </c>
      <c r="B616" s="14">
        <v>8.9</v>
      </c>
      <c r="C616" s="14">
        <v>-0.19999999999999929</v>
      </c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</row>
    <row r="617" spans="1:24" x14ac:dyDescent="0.45">
      <c r="A617" s="12">
        <v>43586</v>
      </c>
      <c r="B617" s="14">
        <v>17.8</v>
      </c>
      <c r="C617" s="14">
        <v>8.9</v>
      </c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</row>
    <row r="618" spans="1:24" x14ac:dyDescent="0.45">
      <c r="A618" s="12">
        <v>43617</v>
      </c>
      <c r="B618" s="14">
        <v>2.5</v>
      </c>
      <c r="C618" s="14">
        <v>-15.3</v>
      </c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</row>
    <row r="619" spans="1:24" x14ac:dyDescent="0.45">
      <c r="A619" s="12">
        <v>43647</v>
      </c>
      <c r="B619" s="14">
        <v>21.6</v>
      </c>
      <c r="C619" s="14">
        <v>19.100000000000001</v>
      </c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</row>
    <row r="620" spans="1:24" x14ac:dyDescent="0.45">
      <c r="A620" s="12">
        <v>43678</v>
      </c>
      <c r="B620" s="14">
        <v>11.2</v>
      </c>
      <c r="C620" s="14">
        <v>-10.400000000000002</v>
      </c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</row>
    <row r="621" spans="1:24" x14ac:dyDescent="0.45">
      <c r="A621" s="12">
        <v>43709</v>
      </c>
      <c r="B621" s="14">
        <v>13.7</v>
      </c>
      <c r="C621" s="14">
        <v>2.5</v>
      </c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</row>
    <row r="622" spans="1:24" x14ac:dyDescent="0.45">
      <c r="A622" s="12">
        <v>43739</v>
      </c>
      <c r="B622" s="14">
        <v>5.5</v>
      </c>
      <c r="C622" s="14">
        <v>-8.1999999999999993</v>
      </c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</row>
    <row r="623" spans="1:24" x14ac:dyDescent="0.45">
      <c r="A623" s="12">
        <v>43770</v>
      </c>
      <c r="B623" s="14">
        <v>13.9</v>
      </c>
      <c r="C623" s="14">
        <v>8.4</v>
      </c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</row>
    <row r="624" spans="1:24" x14ac:dyDescent="0.45">
      <c r="A624" s="12">
        <v>43800</v>
      </c>
      <c r="B624" s="14">
        <v>3.3</v>
      </c>
      <c r="C624" s="14">
        <v>-10.600000000000001</v>
      </c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</row>
    <row r="625" spans="1:24" x14ac:dyDescent="0.45">
      <c r="A625" s="12">
        <v>43831</v>
      </c>
      <c r="B625" s="14">
        <v>13</v>
      </c>
      <c r="C625" s="14">
        <v>9.6999999999999993</v>
      </c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</row>
    <row r="626" spans="1:24" x14ac:dyDescent="0.45">
      <c r="A626" s="12">
        <v>43862</v>
      </c>
      <c r="B626" s="14">
        <v>36.4</v>
      </c>
      <c r="C626" s="14">
        <v>23.4</v>
      </c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</row>
    <row r="627" spans="1:24" x14ac:dyDescent="0.45">
      <c r="A627" s="12">
        <v>43891</v>
      </c>
      <c r="B627" s="14">
        <v>-19.399999999999999</v>
      </c>
      <c r="C627" s="14">
        <v>-55.8</v>
      </c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</row>
    <row r="628" spans="1:24" x14ac:dyDescent="0.45">
      <c r="A628" s="12">
        <v>43922</v>
      </c>
      <c r="B628" s="14">
        <v>-58.7</v>
      </c>
      <c r="C628" s="14">
        <v>-39.300000000000004</v>
      </c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</row>
    <row r="629" spans="1:24" x14ac:dyDescent="0.45">
      <c r="A629" s="12">
        <v>43952</v>
      </c>
      <c r="B629" s="14">
        <v>-42.9</v>
      </c>
      <c r="C629" s="14">
        <v>15.800000000000004</v>
      </c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</row>
    <row r="630" spans="1:24" x14ac:dyDescent="0.45">
      <c r="A630" s="12">
        <v>43983</v>
      </c>
      <c r="B630" s="14">
        <v>28.3</v>
      </c>
      <c r="C630" s="14">
        <v>71.2</v>
      </c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</row>
    <row r="631" spans="1:24" x14ac:dyDescent="0.45">
      <c r="A631" s="12">
        <v>44013</v>
      </c>
      <c r="B631" s="14">
        <v>29.5</v>
      </c>
      <c r="C631" s="14">
        <v>1.1999999999999993</v>
      </c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</row>
    <row r="632" spans="1:24" x14ac:dyDescent="0.45">
      <c r="A632" s="12">
        <v>44044</v>
      </c>
      <c r="B632" s="14">
        <v>15.4</v>
      </c>
      <c r="C632" s="14">
        <v>-14.1</v>
      </c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</row>
    <row r="633" spans="1:24" x14ac:dyDescent="0.45">
      <c r="A633" s="12">
        <v>44075</v>
      </c>
      <c r="B633" s="14">
        <v>16.399999999999999</v>
      </c>
      <c r="C633" s="14">
        <v>0.99999999999999822</v>
      </c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</row>
    <row r="634" spans="1:24" x14ac:dyDescent="0.45">
      <c r="A634" s="12">
        <v>44105</v>
      </c>
      <c r="B634" s="14">
        <v>30.5</v>
      </c>
      <c r="C634" s="14">
        <v>14.100000000000001</v>
      </c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</row>
    <row r="635" spans="1:24" x14ac:dyDescent="0.45">
      <c r="A635" s="12">
        <v>44136</v>
      </c>
      <c r="B635" s="14">
        <v>32.4</v>
      </c>
      <c r="C635" s="14">
        <v>1.8999999999999986</v>
      </c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</row>
    <row r="636" spans="1:24" x14ac:dyDescent="0.45">
      <c r="A636" s="12">
        <v>44166</v>
      </c>
      <c r="B636" s="14">
        <v>12.3</v>
      </c>
      <c r="C636" s="14">
        <v>-20.099999999999998</v>
      </c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</row>
    <row r="637" spans="1:24" x14ac:dyDescent="0.45">
      <c r="A637" s="12">
        <v>44197</v>
      </c>
      <c r="B637" s="14">
        <v>25.5</v>
      </c>
      <c r="C637" s="14">
        <v>13.2</v>
      </c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</row>
    <row r="638" spans="1:24" x14ac:dyDescent="0.45">
      <c r="A638" s="12">
        <v>44228</v>
      </c>
      <c r="B638" s="14">
        <v>29.3</v>
      </c>
      <c r="C638" s="14">
        <v>3.8000000000000007</v>
      </c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</row>
    <row r="639" spans="1:24" x14ac:dyDescent="0.45">
      <c r="A639" s="12">
        <v>44256</v>
      </c>
      <c r="B639" s="14">
        <v>37.9</v>
      </c>
      <c r="C639" s="14">
        <v>8.5999999999999979</v>
      </c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</row>
    <row r="640" spans="1:24" x14ac:dyDescent="0.45">
      <c r="A640" s="12">
        <v>44287</v>
      </c>
      <c r="B640" s="14">
        <v>48.8</v>
      </c>
      <c r="C640" s="14">
        <v>10.899999999999999</v>
      </c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</row>
    <row r="641" spans="1:24" x14ac:dyDescent="0.45">
      <c r="A641" s="12">
        <v>44317</v>
      </c>
      <c r="B641" s="14">
        <v>33.700000000000003</v>
      </c>
      <c r="C641" s="14">
        <v>-15.099999999999994</v>
      </c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</row>
    <row r="642" spans="1:24" x14ac:dyDescent="0.45">
      <c r="A642" s="12">
        <v>44348</v>
      </c>
      <c r="B642" s="14">
        <v>32</v>
      </c>
      <c r="C642" s="14">
        <v>-1.7000000000000028</v>
      </c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</row>
    <row r="643" spans="1:24" x14ac:dyDescent="0.45">
      <c r="A643" s="12">
        <v>44378</v>
      </c>
      <c r="B643" s="14">
        <v>26.7</v>
      </c>
      <c r="C643" s="14">
        <v>-5.3000000000000007</v>
      </c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</row>
    <row r="644" spans="1:24" x14ac:dyDescent="0.45">
      <c r="A644" s="12">
        <v>44409</v>
      </c>
      <c r="B644" s="14">
        <v>17.5</v>
      </c>
      <c r="C644" s="14">
        <v>-9.1999999999999993</v>
      </c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</row>
    <row r="645" spans="1:24" x14ac:dyDescent="0.45">
      <c r="A645" s="12">
        <v>44440</v>
      </c>
      <c r="B645" s="14">
        <v>32.200000000000003</v>
      </c>
      <c r="C645" s="14">
        <v>14.700000000000003</v>
      </c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</row>
    <row r="646" spans="1:24" x14ac:dyDescent="0.45">
      <c r="A646" s="12">
        <v>44470</v>
      </c>
      <c r="B646" s="14">
        <v>21.5</v>
      </c>
      <c r="C646" s="14">
        <v>-10.700000000000003</v>
      </c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</row>
    <row r="647" spans="1:24" x14ac:dyDescent="0.45">
      <c r="A647" s="12">
        <v>44501</v>
      </c>
      <c r="B647" s="14">
        <v>44</v>
      </c>
      <c r="C647" s="14">
        <v>22.5</v>
      </c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</row>
    <row r="648" spans="1:24" x14ac:dyDescent="0.45">
      <c r="A648" s="12">
        <v>44531</v>
      </c>
      <c r="B648" s="14">
        <v>17.100000000000001</v>
      </c>
      <c r="C648" s="14">
        <v>-26.9</v>
      </c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</row>
    <row r="649" spans="1:24" x14ac:dyDescent="0.45">
      <c r="A649" s="12">
        <v>44562</v>
      </c>
      <c r="B649" s="14">
        <v>18.3</v>
      </c>
      <c r="C649" s="14">
        <v>1.1999999999999993</v>
      </c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</row>
    <row r="650" spans="1:24" x14ac:dyDescent="0.45">
      <c r="A650" s="12">
        <v>44593</v>
      </c>
      <c r="B650" s="14">
        <v>15.9</v>
      </c>
      <c r="C650" s="14">
        <v>-2.4000000000000004</v>
      </c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</row>
    <row r="651" spans="1:24" x14ac:dyDescent="0.45">
      <c r="A651" s="12">
        <v>44621</v>
      </c>
      <c r="B651" s="14">
        <v>20.8</v>
      </c>
      <c r="C651" s="14">
        <v>4.9000000000000004</v>
      </c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</row>
    <row r="652" spans="1:24" x14ac:dyDescent="0.45">
      <c r="A652" s="12">
        <v>44652</v>
      </c>
      <c r="B652" s="14">
        <v>16.8</v>
      </c>
      <c r="C652" s="14">
        <v>-4</v>
      </c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</row>
    <row r="653" spans="1:24" x14ac:dyDescent="0.45">
      <c r="A653" s="12">
        <v>44682</v>
      </c>
      <c r="B653" s="14">
        <v>4.7</v>
      </c>
      <c r="C653" s="14">
        <v>-12.100000000000001</v>
      </c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</row>
    <row r="654" spans="1:24" x14ac:dyDescent="0.45">
      <c r="A654" s="12">
        <v>44713</v>
      </c>
      <c r="B654" s="14">
        <v>-1.9</v>
      </c>
      <c r="C654" s="14">
        <v>-6.6</v>
      </c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</row>
    <row r="655" spans="1:24" x14ac:dyDescent="0.45">
      <c r="A655" s="12">
        <v>44743</v>
      </c>
      <c r="B655" s="14">
        <v>-8.1</v>
      </c>
      <c r="C655" s="14">
        <v>-6.1999999999999993</v>
      </c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</row>
    <row r="656" spans="1:24" x14ac:dyDescent="0.45">
      <c r="A656" s="12">
        <v>44774</v>
      </c>
      <c r="B656" s="14">
        <v>4.0999999999999996</v>
      </c>
      <c r="C656" s="14">
        <v>12.2</v>
      </c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</row>
    <row r="657" spans="1:24" x14ac:dyDescent="0.45">
      <c r="A657" s="12">
        <v>44805</v>
      </c>
      <c r="B657" s="14">
        <v>-8.3000000000000007</v>
      </c>
      <c r="C657" s="14">
        <v>-12.4</v>
      </c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</row>
    <row r="658" spans="1:24" x14ac:dyDescent="0.45">
      <c r="A658" s="12">
        <v>44835</v>
      </c>
      <c r="B658" s="14">
        <v>-11.5</v>
      </c>
      <c r="C658" s="14">
        <v>-3.1999999999999993</v>
      </c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</row>
    <row r="659" spans="1:24" x14ac:dyDescent="0.45">
      <c r="A659" s="12">
        <v>44866</v>
      </c>
      <c r="B659" s="14">
        <v>-13.4</v>
      </c>
      <c r="C659" s="14">
        <v>-1.9000000000000004</v>
      </c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</row>
    <row r="660" spans="1:24" x14ac:dyDescent="0.45">
      <c r="A660" s="12">
        <v>44896</v>
      </c>
      <c r="B660" s="14">
        <v>-11.4</v>
      </c>
      <c r="C660" s="14">
        <v>2</v>
      </c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</row>
    <row r="661" spans="1:24" x14ac:dyDescent="0.45">
      <c r="A661" s="12">
        <v>44927</v>
      </c>
      <c r="B661" s="14">
        <v>-12.4</v>
      </c>
      <c r="C661" s="14">
        <v>-1</v>
      </c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</row>
    <row r="662" spans="1:24" x14ac:dyDescent="0.45">
      <c r="A662" s="12">
        <v>44958</v>
      </c>
      <c r="B662" s="14">
        <v>-22.2</v>
      </c>
      <c r="C662" s="14">
        <v>-9.7999999999999989</v>
      </c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</row>
    <row r="663" spans="1:24" x14ac:dyDescent="0.45">
      <c r="A663" s="12">
        <v>44986</v>
      </c>
      <c r="B663" s="14">
        <v>-25</v>
      </c>
      <c r="C663" s="14">
        <v>-2.8000000000000007</v>
      </c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</row>
    <row r="664" spans="1:24" x14ac:dyDescent="0.45">
      <c r="A664" s="12">
        <v>45017</v>
      </c>
      <c r="B664" s="14">
        <v>-25.5</v>
      </c>
      <c r="C664" s="14">
        <v>-0.5</v>
      </c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</row>
    <row r="665" spans="1:24" x14ac:dyDescent="0.45">
      <c r="A665" s="12">
        <v>45047</v>
      </c>
      <c r="B665" s="14">
        <v>-8.1</v>
      </c>
      <c r="C665" s="14">
        <v>17.399999999999999</v>
      </c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</row>
    <row r="666" spans="1:24" x14ac:dyDescent="0.45">
      <c r="A666" s="12">
        <v>45078</v>
      </c>
      <c r="B666" s="14">
        <v>-12.1</v>
      </c>
      <c r="C666" s="14">
        <v>-4</v>
      </c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</row>
    <row r="667" spans="1:24" x14ac:dyDescent="0.45">
      <c r="A667" s="12">
        <v>45108</v>
      </c>
      <c r="B667" s="14">
        <v>-16.100000000000001</v>
      </c>
      <c r="C667" s="14">
        <v>-4.0000000000000018</v>
      </c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</row>
    <row r="668" spans="1:24" x14ac:dyDescent="0.45">
      <c r="A668" s="12">
        <v>45139</v>
      </c>
      <c r="B668" s="14">
        <v>10.5</v>
      </c>
      <c r="C668" s="14">
        <v>26.6</v>
      </c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</row>
    <row r="669" spans="1:24" x14ac:dyDescent="0.45">
      <c r="A669" s="12">
        <v>45170</v>
      </c>
      <c r="B669" s="14">
        <v>-15.2</v>
      </c>
      <c r="C669" s="14">
        <v>-25.7</v>
      </c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</row>
    <row r="670" spans="1:24" x14ac:dyDescent="0.45">
      <c r="A670" s="12">
        <v>45200</v>
      </c>
      <c r="B670" s="14">
        <v>-14.6</v>
      </c>
      <c r="C670" s="14">
        <v>0.59999999999999964</v>
      </c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</row>
    <row r="671" spans="1:24" x14ac:dyDescent="0.45">
      <c r="A671" s="12">
        <v>45231</v>
      </c>
      <c r="B671" s="14">
        <v>-3.9</v>
      </c>
      <c r="C671" s="14">
        <v>10.7</v>
      </c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</row>
    <row r="672" spans="1:24" x14ac:dyDescent="0.45">
      <c r="A672" s="12">
        <v>45261</v>
      </c>
      <c r="B672" s="14">
        <v>-7.2</v>
      </c>
      <c r="C672" s="14">
        <v>-3.3000000000000003</v>
      </c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</row>
    <row r="673" spans="1:24" x14ac:dyDescent="0.45">
      <c r="A673" s="12">
        <v>45292</v>
      </c>
      <c r="B673" s="14">
        <v>-14.7</v>
      </c>
      <c r="C673" s="14">
        <v>-7.4999999999999991</v>
      </c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</row>
    <row r="674" spans="1:24" x14ac:dyDescent="0.45">
      <c r="A674" s="12">
        <v>45323</v>
      </c>
      <c r="B674" s="14">
        <v>-1</v>
      </c>
      <c r="C674" s="14">
        <v>13.7</v>
      </c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</row>
    <row r="675" spans="1:24" x14ac:dyDescent="0.45">
      <c r="A675" s="12">
        <v>45352</v>
      </c>
      <c r="B675" s="14">
        <v>1.8</v>
      </c>
      <c r="C675" s="14">
        <v>2.8</v>
      </c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</row>
    <row r="676" spans="1:24" x14ac:dyDescent="0.45">
      <c r="A676" s="12">
        <v>45383</v>
      </c>
      <c r="B676" s="14">
        <v>17.600000000000001</v>
      </c>
      <c r="C676" s="14">
        <v>15.8</v>
      </c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</row>
    <row r="677" spans="1:24" x14ac:dyDescent="0.45">
      <c r="A677" s="12">
        <v>45413</v>
      </c>
      <c r="B677" s="14">
        <v>7.5</v>
      </c>
      <c r="C677" s="14">
        <v>-10.100000000000001</v>
      </c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</row>
    <row r="678" spans="1:24" x14ac:dyDescent="0.45">
      <c r="A678" s="12">
        <v>45444</v>
      </c>
      <c r="B678" s="14">
        <v>2.9</v>
      </c>
      <c r="C678" s="14">
        <v>-4.5999999999999996</v>
      </c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</row>
    <row r="679" spans="1:24" x14ac:dyDescent="0.45">
      <c r="A679" s="12">
        <v>45474</v>
      </c>
      <c r="B679" s="14">
        <v>9.9</v>
      </c>
      <c r="C679" s="14">
        <v>7</v>
      </c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</row>
    <row r="680" spans="1:24" x14ac:dyDescent="0.45">
      <c r="A680" s="12">
        <v>45505</v>
      </c>
      <c r="B680" s="14">
        <v>-3</v>
      </c>
      <c r="C680" s="14">
        <v>-12.9</v>
      </c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</row>
    <row r="681" spans="1:24" x14ac:dyDescent="0.45">
      <c r="A681" s="12">
        <v>45536</v>
      </c>
      <c r="B681" s="14">
        <v>-1.6</v>
      </c>
      <c r="C681" s="14">
        <v>1.4</v>
      </c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</row>
    <row r="682" spans="1:24" x14ac:dyDescent="0.45">
      <c r="A682" s="12">
        <v>45566</v>
      </c>
      <c r="B682" s="14">
        <v>7.6</v>
      </c>
      <c r="C682" s="14">
        <v>9.1999999999999993</v>
      </c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</row>
    <row r="683" spans="1:24" x14ac:dyDescent="0.45">
      <c r="A683" s="12">
        <v>45597</v>
      </c>
      <c r="B683" s="14">
        <v>-1.5</v>
      </c>
      <c r="C683" s="14">
        <v>-9.1</v>
      </c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</row>
    <row r="684" spans="1:24" x14ac:dyDescent="0.45">
      <c r="A684" s="12">
        <v>45627</v>
      </c>
      <c r="B684" s="14">
        <v>-9.6</v>
      </c>
      <c r="C684" s="14">
        <v>-8.1</v>
      </c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</row>
    <row r="685" spans="1:24" x14ac:dyDescent="0.45">
      <c r="A685" s="12">
        <v>45658</v>
      </c>
      <c r="B685" s="14">
        <v>32.9</v>
      </c>
      <c r="C685" s="14">
        <v>42.5</v>
      </c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</row>
    <row r="686" spans="1:24" x14ac:dyDescent="0.45">
      <c r="A686" s="12">
        <v>45689</v>
      </c>
      <c r="B686" s="14">
        <v>13.4</v>
      </c>
      <c r="C686" s="14">
        <v>-19.5</v>
      </c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</row>
    <row r="687" spans="1:24" x14ac:dyDescent="0.45">
      <c r="A687" s="12">
        <v>45717</v>
      </c>
      <c r="B687" s="14">
        <v>10.199999999999999</v>
      </c>
      <c r="C687" s="14">
        <v>-3.2000000000000011</v>
      </c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</row>
    <row r="688" spans="1:24" x14ac:dyDescent="0.45">
      <c r="A688" s="12">
        <v>45748</v>
      </c>
      <c r="B688" s="14">
        <v>-12.9</v>
      </c>
      <c r="C688" s="14">
        <v>-23.1</v>
      </c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</row>
    <row r="689" spans="1:24" x14ac:dyDescent="0.45">
      <c r="A689" s="12">
        <v>45778</v>
      </c>
      <c r="B689" s="14">
        <v>-0.7</v>
      </c>
      <c r="C689" s="14">
        <v>12.200000000000001</v>
      </c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</row>
    <row r="690" spans="1:24" x14ac:dyDescent="0.45">
      <c r="A690" s="12">
        <v>45809</v>
      </c>
      <c r="B690" s="14">
        <v>-1.4</v>
      </c>
      <c r="C690" s="14">
        <v>-0.7</v>
      </c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</row>
    <row r="691" spans="1:24" x14ac:dyDescent="0.45">
      <c r="A691" s="12">
        <v>45839</v>
      </c>
      <c r="B691" s="14">
        <v>11.4</v>
      </c>
      <c r="C691" s="14">
        <v>12.8</v>
      </c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</row>
    <row r="692" spans="1:24" x14ac:dyDescent="0.45">
      <c r="A692" s="12">
        <v>45870</v>
      </c>
      <c r="B692" s="14">
        <v>0.7</v>
      </c>
      <c r="C692" s="14">
        <v>-10.700000000000001</v>
      </c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</row>
    <row r="693" spans="1:24" x14ac:dyDescent="0.45">
      <c r="A693" s="12">
        <v>45901</v>
      </c>
      <c r="B693" s="14">
        <v>19.5</v>
      </c>
      <c r="C693" s="14">
        <v>18.8</v>
      </c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</row>
    <row r="694" spans="1:24" x14ac:dyDescent="0.45">
      <c r="A694" s="12">
        <v>45931</v>
      </c>
      <c r="B694" s="14">
        <v>-10.1</v>
      </c>
      <c r="C694" s="14">
        <v>-29.6</v>
      </c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</row>
    <row r="695" spans="1:24" x14ac:dyDescent="0.45">
      <c r="A695" s="12">
        <v>45962</v>
      </c>
      <c r="B695" s="14">
        <v>0.6</v>
      </c>
      <c r="C695" s="14">
        <v>10.7</v>
      </c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</row>
    <row r="696" spans="1:24" x14ac:dyDescent="0.45">
      <c r="A696" s="12">
        <v>45992</v>
      </c>
      <c r="B696" s="14">
        <v>-8.8000000000000007</v>
      </c>
      <c r="C696" s="14">
        <v>-9.4</v>
      </c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</row>
    <row r="697" spans="1:24" x14ac:dyDescent="0.45">
      <c r="A697" s="12">
        <v>46023</v>
      </c>
      <c r="B697" s="14">
        <v>12.6</v>
      </c>
      <c r="C697" s="14">
        <v>21.4</v>
      </c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</row>
    <row r="698" spans="1:24" x14ac:dyDescent="0.45">
      <c r="A698" s="12">
        <v>46054</v>
      </c>
      <c r="B698" s="14">
        <v>16.3</v>
      </c>
      <c r="C698" s="14">
        <v>3.7000000000000011</v>
      </c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</row>
    <row r="699" spans="1:24" x14ac:dyDescent="0.45">
      <c r="A699" s="12">
        <v>46082</v>
      </c>
      <c r="B699" s="14">
        <v>18.100000000000001</v>
      </c>
      <c r="C699" s="14">
        <v>1.8000000000000007</v>
      </c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</row>
    <row r="700" spans="1:24" x14ac:dyDescent="0.45">
      <c r="A700" s="12">
        <v>46113</v>
      </c>
      <c r="B700" s="14">
        <v>26.7</v>
      </c>
      <c r="C700" s="14">
        <v>8.5999999999999979</v>
      </c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</row>
    <row r="701" spans="1:24" x14ac:dyDescent="0.45">
      <c r="A701" s="12">
        <v>46143</v>
      </c>
      <c r="B701" s="14">
        <v>-0.4</v>
      </c>
      <c r="C701" s="14">
        <v>-27.099999999999998</v>
      </c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</row>
    <row r="702" spans="1:24" x14ac:dyDescent="0.45">
      <c r="A702" s="12">
        <v>46174</v>
      </c>
      <c r="B702" s="14">
        <v>10.3</v>
      </c>
      <c r="C702" s="14">
        <v>10.700000000000001</v>
      </c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</row>
    <row r="703" spans="1:24" x14ac:dyDescent="0.45">
      <c r="A703" s="12">
        <v>46204</v>
      </c>
      <c r="B703" s="14">
        <v>41.4</v>
      </c>
      <c r="C703" s="14">
        <v>31.099999999999998</v>
      </c>
    </row>
  </sheetData>
  <mergeCells count="2">
    <mergeCell ref="A1:G1"/>
    <mergeCell ref="A2:C2"/>
  </mergeCells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243FD-D06F-4C8A-BB39-FF182148C226}">
  <dimension ref="A1:X3113"/>
  <sheetViews>
    <sheetView topLeftCell="A3087" workbookViewId="0">
      <selection activeCell="A3118" sqref="A3118"/>
    </sheetView>
  </sheetViews>
  <sheetFormatPr defaultRowHeight="14.25" x14ac:dyDescent="0.45"/>
  <cols>
    <col min="1" max="1" width="63.53125" bestFit="1" customWidth="1"/>
    <col min="2" max="2" width="8.796875" bestFit="1" customWidth="1"/>
    <col min="3" max="3" width="7.73046875" bestFit="1" customWidth="1"/>
    <col min="6" max="6" width="32.3984375" bestFit="1" customWidth="1"/>
    <col min="7" max="7" width="37.53125" bestFit="1" customWidth="1"/>
    <col min="8" max="8" width="17.265625" bestFit="1" customWidth="1"/>
    <col min="9" max="9" width="8.86328125" bestFit="1" customWidth="1"/>
    <col min="10" max="10" width="17.1328125" bestFit="1" customWidth="1"/>
    <col min="12" max="12" width="9.6640625" bestFit="1" customWidth="1"/>
    <col min="17" max="17" width="19.59765625" bestFit="1" customWidth="1"/>
    <col min="18" max="18" width="12.33203125" bestFit="1" customWidth="1"/>
    <col min="19" max="19" width="45.06640625" bestFit="1" customWidth="1"/>
    <col min="21" max="21" width="23.796875" bestFit="1" customWidth="1"/>
    <col min="22" max="24" width="12.33203125" bestFit="1" customWidth="1"/>
  </cols>
  <sheetData>
    <row r="1" spans="1:24" x14ac:dyDescent="0.45">
      <c r="A1" s="1" t="s">
        <v>41</v>
      </c>
    </row>
    <row r="2" spans="1:24" x14ac:dyDescent="0.45">
      <c r="A2" t="s">
        <v>113</v>
      </c>
      <c r="F2" s="1" t="s">
        <v>4</v>
      </c>
      <c r="Q2" s="1" t="s">
        <v>44</v>
      </c>
      <c r="U2" s="1" t="s">
        <v>32</v>
      </c>
    </row>
    <row r="3" spans="1:24" x14ac:dyDescent="0.45">
      <c r="F3" t="s">
        <v>5</v>
      </c>
      <c r="G3" s="7">
        <f>B$3113</f>
        <v>199000</v>
      </c>
      <c r="Q3" t="s">
        <v>19</v>
      </c>
      <c r="R3" s="8">
        <f>AVERAGE($C$6:$C$3113)</f>
        <v>3.7324095878610293E-3</v>
      </c>
      <c r="U3" t="s">
        <v>33</v>
      </c>
      <c r="V3">
        <v>1</v>
      </c>
      <c r="W3">
        <v>2</v>
      </c>
      <c r="X3">
        <v>3</v>
      </c>
    </row>
    <row r="4" spans="1:24" x14ac:dyDescent="0.45">
      <c r="A4" s="1" t="s">
        <v>1</v>
      </c>
      <c r="B4" s="1" t="s">
        <v>2</v>
      </c>
      <c r="C4" s="1" t="s">
        <v>42</v>
      </c>
      <c r="F4" t="s">
        <v>6</v>
      </c>
      <c r="G4" s="3">
        <f>AVERAGE($B$5:$B$3113)</f>
        <v>359463.17143776134</v>
      </c>
      <c r="Q4" t="s">
        <v>20</v>
      </c>
      <c r="R4">
        <f>_xlfn.STDEV.S($C$6:$C$3113)/SQRT(COUNT($C$6:$C$3113))</f>
        <v>3.2631357074729304E-3</v>
      </c>
      <c r="U4" t="s">
        <v>34</v>
      </c>
      <c r="V4">
        <f>$R$3+V$3*$R$7</f>
        <v>0.18565039615833775</v>
      </c>
      <c r="W4">
        <f>$R$3+W$3*$R$7</f>
        <v>0.36756838272881448</v>
      </c>
      <c r="X4">
        <f>$R$3+X$3*$R$7</f>
        <v>0.54948636929929118</v>
      </c>
    </row>
    <row r="5" spans="1:24" x14ac:dyDescent="0.45">
      <c r="A5" s="2">
        <v>24479</v>
      </c>
      <c r="B5" s="7">
        <v>208000</v>
      </c>
      <c r="C5" s="8"/>
      <c r="F5" t="s">
        <v>7</v>
      </c>
      <c r="G5" s="3">
        <f>_xlfn.STDEV.S($B$5:$B$3113)</f>
        <v>238535.14174209908</v>
      </c>
      <c r="Q5" t="s">
        <v>21</v>
      </c>
      <c r="R5" s="8">
        <f>MEDIAN($C$6:$C$3113)</f>
        <v>-2.3585036851619945E-3</v>
      </c>
      <c r="U5" t="s">
        <v>35</v>
      </c>
      <c r="V5">
        <f>$R$3-V$3*$R$7</f>
        <v>-0.1781855769826157</v>
      </c>
      <c r="W5">
        <f>$R$3-W$3*$R$7</f>
        <v>-0.36010356355309242</v>
      </c>
      <c r="X5">
        <f>$R$3-X$3*$R$7</f>
        <v>-0.54202155012356912</v>
      </c>
    </row>
    <row r="6" spans="1:24" x14ac:dyDescent="0.45">
      <c r="A6" s="2">
        <v>24486</v>
      </c>
      <c r="B6" s="7">
        <v>207000</v>
      </c>
      <c r="C6" s="8">
        <v>-4.8076923076922906E-3</v>
      </c>
      <c r="F6" t="s">
        <v>8</v>
      </c>
      <c r="G6" s="3">
        <f>(G3-G4)/G5</f>
        <v>-0.67270243816423458</v>
      </c>
      <c r="Q6" t="s">
        <v>22</v>
      </c>
      <c r="R6">
        <f>_xlfn.MODE.SNGL($C$6:$C$3113)</f>
        <v>0</v>
      </c>
    </row>
    <row r="7" spans="1:24" x14ac:dyDescent="0.45">
      <c r="A7" s="2">
        <v>24493</v>
      </c>
      <c r="B7" s="7">
        <v>217000</v>
      </c>
      <c r="C7" s="8">
        <v>4.8309178743961345E-2</v>
      </c>
      <c r="F7" t="s">
        <v>9</v>
      </c>
      <c r="G7" s="5">
        <f>_xlfn.PERCENTRANK.INC($B$5:$B$3113,G3)</f>
        <v>2.5000000000000001E-2</v>
      </c>
      <c r="Q7" t="s">
        <v>23</v>
      </c>
      <c r="R7">
        <f>_xlfn.STDEV.S($C$6:$C$3113)</f>
        <v>0.18191798657047673</v>
      </c>
      <c r="U7" s="1" t="s">
        <v>36</v>
      </c>
    </row>
    <row r="8" spans="1:24" x14ac:dyDescent="0.45">
      <c r="A8" s="2">
        <v>24500</v>
      </c>
      <c r="B8" s="7">
        <v>204000</v>
      </c>
      <c r="C8" s="8">
        <v>-5.9907834101382451E-2</v>
      </c>
      <c r="F8" t="s">
        <v>10</v>
      </c>
      <c r="G8" t="str">
        <f>IF(G6&gt;=2,"EXTREME HIGH",IF(G6&gt;=1,"HIGH (+1 to +2σ)",IF(G6&lt;=-2,"EXTREME LOW",IF(G6&lt;=-1,"LOW (-1 to -2σ)","NORMAL (±1σ)"))))</f>
        <v>NORMAL (±1σ)</v>
      </c>
      <c r="Q8" t="s">
        <v>24</v>
      </c>
      <c r="R8">
        <f>_xlfn.VAR.S($C$6:$C$3113)</f>
        <v>3.3094153837856154E-2</v>
      </c>
      <c r="U8" t="s">
        <v>37</v>
      </c>
      <c r="V8" t="s">
        <v>38</v>
      </c>
      <c r="W8" t="s">
        <v>39</v>
      </c>
      <c r="X8" t="s">
        <v>40</v>
      </c>
    </row>
    <row r="9" spans="1:24" x14ac:dyDescent="0.45">
      <c r="A9" s="2">
        <v>24507</v>
      </c>
      <c r="B9" s="7">
        <v>216000</v>
      </c>
      <c r="C9" s="8">
        <v>5.8823529411764719E-2</v>
      </c>
      <c r="F9" t="s">
        <v>11</v>
      </c>
      <c r="G9" t="str">
        <f>IF(G6&gt;=1,"WEAK vs history",IF(G6&lt;=-1,"STRONG vs history","NEUTRAL vs history (inverted: high = weakness)"))</f>
        <v>NEUTRAL vs history (inverted: high = weakness)</v>
      </c>
      <c r="Q9" t="s">
        <v>25</v>
      </c>
      <c r="R9">
        <f>KURT($C$6:$C$3113)</f>
        <v>2572.2204660373814</v>
      </c>
      <c r="S9" t="str">
        <f>IF(R9&gt;0,"More peaked than normal — fat tails (excess kurtosis &gt; 0)",IF(R9&lt;0,"Flatter than normal — thin tails (excess kurtosis &lt; 0)","Approximately normal kurtosis"))</f>
        <v>More peaked than normal — fat tails (excess kurtosis &gt; 0)</v>
      </c>
      <c r="U9">
        <v>1</v>
      </c>
      <c r="V9" s="5">
        <f>COUNTIFS($C$6:$C$3113,"&gt;="&amp;($R$3-$R$7*$U9),$C$6:$C$3113,"&lt;="&amp;($R$3+$R$7*$U9))/$R$15</f>
        <v>0.99099099099099097</v>
      </c>
      <c r="W9" s="5">
        <v>0.68200000000000005</v>
      </c>
      <c r="X9" t="str">
        <f>IF(V9&gt;W9+0.02,"fat tails",IF(V9&lt;W9-0.02,"thin tails","≈ normal"))</f>
        <v>fat tails</v>
      </c>
    </row>
    <row r="10" spans="1:24" x14ac:dyDescent="0.45">
      <c r="A10" s="2">
        <v>24514</v>
      </c>
      <c r="B10" s="7">
        <v>229000</v>
      </c>
      <c r="C10" s="8">
        <v>6.0185185185185119E-2</v>
      </c>
      <c r="Q10" t="s">
        <v>26</v>
      </c>
      <c r="R10">
        <f>SKEW($C$6:$C$3113)</f>
        <v>48.451659989695621</v>
      </c>
      <c r="S10" t="str">
        <f>IF(R10&gt;0,"Positive skew — bigger fat tail on the upside",IF(R10&lt;0,"Negative skew — bigger fat tail on the downside","Approximately symmetric"))</f>
        <v>Positive skew — bigger fat tail on the upside</v>
      </c>
      <c r="U10">
        <v>2</v>
      </c>
      <c r="V10" s="5">
        <f>COUNTIFS($C$6:$C$3113,"&gt;="&amp;($R$3-$R$7*$U10),$C$6:$C$3113,"&lt;="&amp;($R$3+$R$7*$U10))/$R$15</f>
        <v>0.99871299871299868</v>
      </c>
      <c r="W10" s="5">
        <v>0.95399999999999996</v>
      </c>
      <c r="X10" t="str">
        <f>IF(V10&gt;W10+0.02,"fat tails",IF(V10&lt;W10-0.02,"thin tails","≈ normal"))</f>
        <v>fat tails</v>
      </c>
    </row>
    <row r="11" spans="1:24" x14ac:dyDescent="0.45">
      <c r="A11" s="2">
        <v>24521</v>
      </c>
      <c r="B11" s="7">
        <v>229000</v>
      </c>
      <c r="C11" s="8">
        <v>0</v>
      </c>
      <c r="H11" s="1" t="s">
        <v>43</v>
      </c>
      <c r="Q11" t="s">
        <v>15</v>
      </c>
      <c r="R11" s="8">
        <f>MAX($C$6:$C$3113)-MIN($C$6:$C$3113)</f>
        <v>9.9239926739926734</v>
      </c>
      <c r="U11">
        <v>3</v>
      </c>
      <c r="V11" s="5">
        <f>COUNTIFS($C$6:$C$3113,"&gt;="&amp;($R$3-$R$7*$U11),$C$6:$C$3113,"&lt;="&amp;($R$3+$R$7*$U11))/$R$15</f>
        <v>0.99935649935649939</v>
      </c>
      <c r="W11" s="5">
        <v>0.997</v>
      </c>
      <c r="X11" t="str">
        <f>IF(V11&gt;W11+0.02,"fat tails",IF(V11&lt;W11-0.02,"thin tails","≈ normal"))</f>
        <v>≈ normal</v>
      </c>
    </row>
    <row r="12" spans="1:24" x14ac:dyDescent="0.45">
      <c r="A12" s="2">
        <v>24528</v>
      </c>
      <c r="B12" s="7">
        <v>242000</v>
      </c>
      <c r="C12" s="8">
        <v>5.6768558951965087E-2</v>
      </c>
      <c r="H12" t="s">
        <v>13</v>
      </c>
      <c r="I12" t="s">
        <v>14</v>
      </c>
      <c r="J12" t="s">
        <v>15</v>
      </c>
      <c r="K12" t="s">
        <v>16</v>
      </c>
      <c r="L12" t="s">
        <v>17</v>
      </c>
      <c r="Q12" t="s">
        <v>27</v>
      </c>
      <c r="R12" s="8">
        <f>MIN($C$6:$C$3113)</f>
        <v>-0.25</v>
      </c>
    </row>
    <row r="13" spans="1:24" x14ac:dyDescent="0.45">
      <c r="A13" s="2">
        <v>24535</v>
      </c>
      <c r="B13" s="7">
        <v>310000</v>
      </c>
      <c r="C13" s="8">
        <v>0.28099173553719003</v>
      </c>
      <c r="H13" s="6">
        <f>$R$12+($R$11/12)*(ROW()-12)</f>
        <v>0.57699938949938945</v>
      </c>
      <c r="I13" s="7">
        <f>COUNTIFS($C$6:$C$3113,"&gt;="&amp;$R$12,$C$6:$C$3113,"&lt;="&amp;H13)</f>
        <v>3106</v>
      </c>
      <c r="J13" t="str">
        <f>TEXT($R$12,"0.00%")&amp;" to "&amp;TEXT(H13,"0.00%")</f>
        <v>-25.00% to 57.70%</v>
      </c>
      <c r="K13" s="5">
        <f>I13/$R$15</f>
        <v>0.99935649935649939</v>
      </c>
      <c r="L13" s="5">
        <f>SUM($K$13:K13)</f>
        <v>0.99935649935649939</v>
      </c>
      <c r="Q13" t="s">
        <v>28</v>
      </c>
      <c r="R13" s="8">
        <f>MAX($C$6:$C$3113)</f>
        <v>9.6739926739926734</v>
      </c>
    </row>
    <row r="14" spans="1:24" x14ac:dyDescent="0.45">
      <c r="A14" s="2">
        <v>24542</v>
      </c>
      <c r="B14" s="7">
        <v>241000</v>
      </c>
      <c r="C14" s="8">
        <v>-0.22258064516129028</v>
      </c>
      <c r="H14" s="6">
        <f>$R$12+($R$11/12)*(ROW()-12)</f>
        <v>1.4039987789987789</v>
      </c>
      <c r="I14" s="7">
        <f>COUNTIFS($C$6:$C$3113,"&gt;"&amp;H13,$C$6:$C$3113,"&lt;="&amp;H14)</f>
        <v>1</v>
      </c>
      <c r="J14" t="str">
        <f>TEXT(H13,"0.00%")&amp;" to "&amp;TEXT(H14,"0.00%")</f>
        <v>57.70% to 140.40%</v>
      </c>
      <c r="K14" s="5">
        <f>I14/$R$15</f>
        <v>3.2175032175032174E-4</v>
      </c>
      <c r="L14" s="5">
        <f>SUM($K$13:K14)</f>
        <v>0.9996782496782497</v>
      </c>
      <c r="Q14" t="s">
        <v>29</v>
      </c>
      <c r="R14" s="8">
        <f>SUM($C$6:$C$3113)</f>
        <v>11.600328999072079</v>
      </c>
    </row>
    <row r="15" spans="1:24" x14ac:dyDescent="0.45">
      <c r="A15" s="2">
        <v>24549</v>
      </c>
      <c r="B15" s="7">
        <v>245000</v>
      </c>
      <c r="C15" s="8">
        <v>1.6597510373443924E-2</v>
      </c>
      <c r="H15" s="6">
        <f>$R$12+($R$11/12)*(ROW()-12)</f>
        <v>2.2309981684981683</v>
      </c>
      <c r="I15" s="7">
        <f>COUNTIFS($C$6:$C$3113,"&gt;"&amp;H14,$C$6:$C$3113,"&lt;="&amp;H15)</f>
        <v>0</v>
      </c>
      <c r="J15" t="str">
        <f>TEXT(H14,"0.00%")&amp;" to "&amp;TEXT(H15,"0.00%")</f>
        <v>140.40% to 223.10%</v>
      </c>
      <c r="K15" s="5">
        <f>I15/$R$15</f>
        <v>0</v>
      </c>
      <c r="L15" s="5">
        <f>SUM($K$13:K15)</f>
        <v>0.9996782496782497</v>
      </c>
      <c r="Q15" t="s">
        <v>30</v>
      </c>
      <c r="R15">
        <f>COUNT($C$6:$C$3113)</f>
        <v>3108</v>
      </c>
      <c r="S15" t="s">
        <v>45</v>
      </c>
    </row>
    <row r="16" spans="1:24" x14ac:dyDescent="0.45">
      <c r="A16" s="2">
        <v>24556</v>
      </c>
      <c r="B16" s="7">
        <v>247000</v>
      </c>
      <c r="C16" s="8">
        <v>8.1632653061225469E-3</v>
      </c>
      <c r="H16" s="6">
        <f>$R$12+($R$11/12)*(ROW()-12)</f>
        <v>3.0579975579975578</v>
      </c>
      <c r="I16" s="7">
        <f>COUNTIFS($C$6:$C$3113,"&gt;"&amp;H15,$C$6:$C$3113,"&lt;="&amp;H16)</f>
        <v>0</v>
      </c>
      <c r="J16" t="str">
        <f>TEXT(H15,"0.00%")&amp;" to "&amp;TEXT(H16,"0.00%")</f>
        <v>223.10% to 305.80%</v>
      </c>
      <c r="K16" s="5">
        <f>I16/$R$15</f>
        <v>0</v>
      </c>
      <c r="L16" s="5">
        <f>SUM($K$13:K16)</f>
        <v>0.9996782496782497</v>
      </c>
    </row>
    <row r="17" spans="1:12" x14ac:dyDescent="0.45">
      <c r="A17" s="2">
        <v>24563</v>
      </c>
      <c r="B17" s="7">
        <v>259000</v>
      </c>
      <c r="C17" s="8">
        <v>4.8582995951417018E-2</v>
      </c>
      <c r="H17" s="6">
        <f>$R$12+($R$11/12)*(ROW()-12)</f>
        <v>3.8849969474969477</v>
      </c>
      <c r="I17" s="7">
        <f>COUNTIFS($C$6:$C$3113,"&gt;"&amp;H16,$C$6:$C$3113,"&lt;="&amp;H17)</f>
        <v>0</v>
      </c>
      <c r="J17" t="str">
        <f>TEXT(H16,"0.00%")&amp;" to "&amp;TEXT(H17,"0.00%")</f>
        <v>305.80% to 388.50%</v>
      </c>
      <c r="K17" s="5">
        <f>I17/$R$15</f>
        <v>0</v>
      </c>
      <c r="L17" s="5">
        <f>SUM($K$13:K17)</f>
        <v>0.9996782496782497</v>
      </c>
    </row>
    <row r="18" spans="1:12" x14ac:dyDescent="0.45">
      <c r="A18" s="2">
        <v>24570</v>
      </c>
      <c r="B18" s="7">
        <v>257000</v>
      </c>
      <c r="C18" s="8">
        <v>-7.7220077220077066E-3</v>
      </c>
      <c r="H18" s="6">
        <f>$R$12+($R$11/12)*(ROW()-12)</f>
        <v>4.7119963369963367</v>
      </c>
      <c r="I18" s="7">
        <f>COUNTIFS($C$6:$C$3113,"&gt;"&amp;H17,$C$6:$C$3113,"&lt;="&amp;H18)</f>
        <v>0</v>
      </c>
      <c r="J18" t="str">
        <f>TEXT(H17,"0.00%")&amp;" to "&amp;TEXT(H18,"0.00%")</f>
        <v>388.50% to 471.20%</v>
      </c>
      <c r="K18" s="5">
        <f>I18/$R$15</f>
        <v>0</v>
      </c>
      <c r="L18" s="5">
        <f>SUM($K$13:K18)</f>
        <v>0.9996782496782497</v>
      </c>
    </row>
    <row r="19" spans="1:12" x14ac:dyDescent="0.45">
      <c r="A19" s="2">
        <v>24577</v>
      </c>
      <c r="B19" s="7">
        <v>299000</v>
      </c>
      <c r="C19" s="8">
        <v>0.16342412451361876</v>
      </c>
      <c r="H19" s="6">
        <f>$R$12+($R$11/12)*(ROW()-12)</f>
        <v>5.5389957264957257</v>
      </c>
      <c r="I19" s="7">
        <f>COUNTIFS($C$6:$C$3113,"&gt;"&amp;H18,$C$6:$C$3113,"&lt;="&amp;H19)</f>
        <v>0</v>
      </c>
      <c r="J19" t="str">
        <f>TEXT(H18,"0.00%")&amp;" to "&amp;TEXT(H19,"0.00%")</f>
        <v>471.20% to 553.90%</v>
      </c>
      <c r="K19" s="5">
        <f>I19/$R$15</f>
        <v>0</v>
      </c>
      <c r="L19" s="5">
        <f>SUM($K$13:K19)</f>
        <v>0.9996782496782497</v>
      </c>
    </row>
    <row r="20" spans="1:12" x14ac:dyDescent="0.45">
      <c r="A20" s="2">
        <v>24584</v>
      </c>
      <c r="B20" s="7">
        <v>245000</v>
      </c>
      <c r="C20" s="8">
        <v>-0.1806020066889632</v>
      </c>
      <c r="H20" s="6">
        <f>$R$12+($R$11/12)*(ROW()-12)</f>
        <v>6.3659951159951156</v>
      </c>
      <c r="I20" s="7">
        <f>COUNTIFS($C$6:$C$3113,"&gt;"&amp;H19,$C$6:$C$3113,"&lt;="&amp;H20)</f>
        <v>0</v>
      </c>
      <c r="J20" t="str">
        <f>TEXT(H19,"0.00%")&amp;" to "&amp;TEXT(H20,"0.00%")</f>
        <v>553.90% to 636.60%</v>
      </c>
      <c r="K20" s="5">
        <f>I20/$R$15</f>
        <v>0</v>
      </c>
      <c r="L20" s="5">
        <f>SUM($K$13:K20)</f>
        <v>0.9996782496782497</v>
      </c>
    </row>
    <row r="21" spans="1:12" x14ac:dyDescent="0.45">
      <c r="A21" s="2">
        <v>24591</v>
      </c>
      <c r="B21" s="7">
        <v>255000</v>
      </c>
      <c r="C21" s="8">
        <v>4.081632653061229E-2</v>
      </c>
      <c r="H21" s="6">
        <f>$R$12+($R$11/12)*(ROW()-12)</f>
        <v>7.1929945054945055</v>
      </c>
      <c r="I21" s="7">
        <f>COUNTIFS($C$6:$C$3113,"&gt;"&amp;H20,$C$6:$C$3113,"&lt;="&amp;H21)</f>
        <v>0</v>
      </c>
      <c r="J21" t="str">
        <f>TEXT(H20,"0.00%")&amp;" to "&amp;TEXT(H21,"0.00%")</f>
        <v>636.60% to 719.30%</v>
      </c>
      <c r="K21" s="5">
        <f>I21/$R$15</f>
        <v>0</v>
      </c>
      <c r="L21" s="5">
        <f>SUM($K$13:K21)</f>
        <v>0.9996782496782497</v>
      </c>
    </row>
    <row r="22" spans="1:12" x14ac:dyDescent="0.45">
      <c r="A22" s="2">
        <v>24598</v>
      </c>
      <c r="B22" s="7">
        <v>254000</v>
      </c>
      <c r="C22" s="8">
        <v>-3.9215686274509665E-3</v>
      </c>
      <c r="H22" s="6">
        <f>$R$12+($R$11/12)*(ROW()-12)</f>
        <v>8.0199938949938954</v>
      </c>
      <c r="I22" s="7">
        <f>COUNTIFS($C$6:$C$3113,"&gt;"&amp;H21,$C$6:$C$3113,"&lt;="&amp;H22)</f>
        <v>0</v>
      </c>
      <c r="J22" t="str">
        <f>TEXT(H21,"0.00%")&amp;" to "&amp;TEXT(H22,"0.00%")</f>
        <v>719.30% to 802.00%</v>
      </c>
      <c r="K22" s="5">
        <f>I22/$R$15</f>
        <v>0</v>
      </c>
      <c r="L22" s="5">
        <f>SUM($K$13:K22)</f>
        <v>0.9996782496782497</v>
      </c>
    </row>
    <row r="23" spans="1:12" x14ac:dyDescent="0.45">
      <c r="A23" s="2">
        <v>24605</v>
      </c>
      <c r="B23" s="7">
        <v>231000</v>
      </c>
      <c r="C23" s="8">
        <v>-9.0551181102362155E-2</v>
      </c>
      <c r="H23" s="6">
        <f>$R$12+($R$11/12)*(ROW()-12)</f>
        <v>8.8469932844932835</v>
      </c>
      <c r="I23" s="7">
        <f>COUNTIFS($C$6:$C$3113,"&gt;"&amp;H22,$C$6:$C$3113,"&lt;="&amp;H23)</f>
        <v>0</v>
      </c>
      <c r="J23" t="str">
        <f>TEXT(H22,"0.00%")&amp;" to "&amp;TEXT(H23,"0.00%")</f>
        <v>802.00% to 884.70%</v>
      </c>
      <c r="K23" s="5">
        <f>I23/$R$15</f>
        <v>0</v>
      </c>
      <c r="L23" s="5">
        <f>SUM($K$13:K23)</f>
        <v>0.9996782496782497</v>
      </c>
    </row>
    <row r="24" spans="1:12" x14ac:dyDescent="0.45">
      <c r="A24" s="2">
        <v>24612</v>
      </c>
      <c r="B24" s="7">
        <v>230000</v>
      </c>
      <c r="C24" s="8">
        <v>-4.3290043290042934E-3</v>
      </c>
      <c r="H24" s="6">
        <f>$R$12+($R$11/12)*(ROW()-12)</f>
        <v>9.6739926739926734</v>
      </c>
      <c r="I24" s="7">
        <f>COUNTIFS($C$6:$C$3113,"&gt;"&amp;H23,$C$6:$C$3113,"&lt;="&amp;H24)</f>
        <v>1</v>
      </c>
      <c r="J24" t="str">
        <f>TEXT(H23,"0.00%")&amp;" to "&amp;TEXT(H24,"0.00%")</f>
        <v>884.70% to 967.40%</v>
      </c>
      <c r="K24" s="5">
        <f>I24/$R$15</f>
        <v>3.2175032175032174E-4</v>
      </c>
      <c r="L24" s="5">
        <f>SUM($K$13:K24)</f>
        <v>1</v>
      </c>
    </row>
    <row r="25" spans="1:12" x14ac:dyDescent="0.45">
      <c r="A25" s="2">
        <v>24619</v>
      </c>
      <c r="B25" s="7">
        <v>228000</v>
      </c>
      <c r="C25" s="8">
        <v>-8.6956521739129933E-3</v>
      </c>
    </row>
    <row r="26" spans="1:12" x14ac:dyDescent="0.45">
      <c r="A26" s="2">
        <v>24626</v>
      </c>
      <c r="B26" s="7">
        <v>248000</v>
      </c>
      <c r="C26" s="8">
        <v>8.7719298245614086E-2</v>
      </c>
    </row>
    <row r="27" spans="1:12" x14ac:dyDescent="0.45">
      <c r="A27" s="2">
        <v>24633</v>
      </c>
      <c r="B27" s="7">
        <v>238000</v>
      </c>
      <c r="C27" s="8">
        <v>-4.0322580645161255E-2</v>
      </c>
    </row>
    <row r="28" spans="1:12" x14ac:dyDescent="0.45">
      <c r="A28" s="2">
        <v>24640</v>
      </c>
      <c r="B28" s="7">
        <v>224000</v>
      </c>
      <c r="C28" s="8">
        <v>-5.8823529411764719E-2</v>
      </c>
    </row>
    <row r="29" spans="1:12" x14ac:dyDescent="0.45">
      <c r="A29" s="2">
        <v>24647</v>
      </c>
      <c r="B29" s="7">
        <v>218000</v>
      </c>
      <c r="C29" s="8">
        <v>-2.6785714285714302E-2</v>
      </c>
    </row>
    <row r="30" spans="1:12" x14ac:dyDescent="0.45">
      <c r="A30" s="2">
        <v>24654</v>
      </c>
      <c r="B30" s="7">
        <v>209000</v>
      </c>
      <c r="C30" s="8">
        <v>-4.1284403669724745E-2</v>
      </c>
    </row>
    <row r="31" spans="1:12" x14ac:dyDescent="0.45">
      <c r="A31" s="2">
        <v>24661</v>
      </c>
      <c r="B31" s="7">
        <v>240000</v>
      </c>
      <c r="C31" s="8">
        <v>0.14832535885167464</v>
      </c>
    </row>
    <row r="32" spans="1:12" x14ac:dyDescent="0.45">
      <c r="A32" s="2">
        <v>24668</v>
      </c>
      <c r="B32" s="7">
        <v>241000</v>
      </c>
      <c r="C32" s="8">
        <v>4.1666666666666519E-3</v>
      </c>
    </row>
    <row r="33" spans="1:3" x14ac:dyDescent="0.45">
      <c r="A33" s="2">
        <v>24675</v>
      </c>
      <c r="B33" s="7">
        <v>240000</v>
      </c>
      <c r="C33" s="8">
        <v>-4.1493775933609811E-3</v>
      </c>
    </row>
    <row r="34" spans="1:3" x14ac:dyDescent="0.45">
      <c r="A34" s="2">
        <v>24682</v>
      </c>
      <c r="B34" s="7">
        <v>209000</v>
      </c>
      <c r="C34" s="8">
        <v>-0.12916666666666665</v>
      </c>
    </row>
    <row r="35" spans="1:3" x14ac:dyDescent="0.45">
      <c r="A35" s="2">
        <v>24689</v>
      </c>
      <c r="B35" s="7">
        <v>221000</v>
      </c>
      <c r="C35" s="8">
        <v>5.741626794258381E-2</v>
      </c>
    </row>
    <row r="36" spans="1:3" x14ac:dyDescent="0.45">
      <c r="A36" s="2">
        <v>24696</v>
      </c>
      <c r="B36" s="7">
        <v>202000</v>
      </c>
      <c r="C36" s="8">
        <v>-8.5972850678733059E-2</v>
      </c>
    </row>
    <row r="37" spans="1:3" x14ac:dyDescent="0.45">
      <c r="A37" s="2">
        <v>24703</v>
      </c>
      <c r="B37" s="7">
        <v>215000</v>
      </c>
      <c r="C37" s="8">
        <v>6.4356435643564414E-2</v>
      </c>
    </row>
    <row r="38" spans="1:3" x14ac:dyDescent="0.45">
      <c r="A38" s="2">
        <v>24710</v>
      </c>
      <c r="B38" s="7">
        <v>213000</v>
      </c>
      <c r="C38" s="8">
        <v>-9.302325581395321E-3</v>
      </c>
    </row>
    <row r="39" spans="1:3" x14ac:dyDescent="0.45">
      <c r="A39" s="2">
        <v>24717</v>
      </c>
      <c r="B39" s="7">
        <v>218000</v>
      </c>
      <c r="C39" s="8">
        <v>2.3474178403755763E-2</v>
      </c>
    </row>
    <row r="40" spans="1:3" x14ac:dyDescent="0.45">
      <c r="A40" s="2">
        <v>24724</v>
      </c>
      <c r="B40" s="7">
        <v>231000</v>
      </c>
      <c r="C40" s="8">
        <v>5.9633027522935755E-2</v>
      </c>
    </row>
    <row r="41" spans="1:3" x14ac:dyDescent="0.45">
      <c r="A41" s="2">
        <v>24731</v>
      </c>
      <c r="B41" s="7">
        <v>220000</v>
      </c>
      <c r="C41" s="8">
        <v>-4.7619047619047672E-2</v>
      </c>
    </row>
    <row r="42" spans="1:3" x14ac:dyDescent="0.45">
      <c r="A42" s="2">
        <v>24738</v>
      </c>
      <c r="B42" s="7">
        <v>209000</v>
      </c>
      <c r="C42" s="8">
        <v>-5.0000000000000044E-2</v>
      </c>
    </row>
    <row r="43" spans="1:3" x14ac:dyDescent="0.45">
      <c r="A43" s="2">
        <v>24745</v>
      </c>
      <c r="B43" s="7">
        <v>204000</v>
      </c>
      <c r="C43" s="8">
        <v>-2.3923444976076569E-2</v>
      </c>
    </row>
    <row r="44" spans="1:3" x14ac:dyDescent="0.45">
      <c r="A44" s="2">
        <v>24752</v>
      </c>
      <c r="B44" s="7">
        <v>231000</v>
      </c>
      <c r="C44" s="8">
        <v>0.13235294117647056</v>
      </c>
    </row>
    <row r="45" spans="1:3" x14ac:dyDescent="0.45">
      <c r="A45" s="2">
        <v>24759</v>
      </c>
      <c r="B45" s="7">
        <v>206000</v>
      </c>
      <c r="C45" s="8">
        <v>-0.10822510822510822</v>
      </c>
    </row>
    <row r="46" spans="1:3" x14ac:dyDescent="0.45">
      <c r="A46" s="2">
        <v>24766</v>
      </c>
      <c r="B46" s="7">
        <v>223000</v>
      </c>
      <c r="C46" s="8">
        <v>8.2524271844660158E-2</v>
      </c>
    </row>
    <row r="47" spans="1:3" x14ac:dyDescent="0.45">
      <c r="A47" s="2">
        <v>24773</v>
      </c>
      <c r="B47" s="7">
        <v>207000</v>
      </c>
      <c r="C47" s="8">
        <v>-7.1748878923766801E-2</v>
      </c>
    </row>
    <row r="48" spans="1:3" x14ac:dyDescent="0.45">
      <c r="A48" s="2">
        <v>24780</v>
      </c>
      <c r="B48" s="7">
        <v>222000</v>
      </c>
      <c r="C48" s="8">
        <v>7.2463768115942129E-2</v>
      </c>
    </row>
    <row r="49" spans="1:3" x14ac:dyDescent="0.45">
      <c r="A49" s="2">
        <v>24787</v>
      </c>
      <c r="B49" s="7">
        <v>214000</v>
      </c>
      <c r="C49" s="8">
        <v>-3.6036036036036001E-2</v>
      </c>
    </row>
    <row r="50" spans="1:3" x14ac:dyDescent="0.45">
      <c r="A50" s="2">
        <v>24794</v>
      </c>
      <c r="B50" s="7">
        <v>198000</v>
      </c>
      <c r="C50" s="8">
        <v>-7.4766355140186924E-2</v>
      </c>
    </row>
    <row r="51" spans="1:3" x14ac:dyDescent="0.45">
      <c r="A51" s="2">
        <v>24801</v>
      </c>
      <c r="B51" s="7">
        <v>191000</v>
      </c>
      <c r="C51" s="8">
        <v>-3.5353535353535359E-2</v>
      </c>
    </row>
    <row r="52" spans="1:3" x14ac:dyDescent="0.45">
      <c r="A52" s="2">
        <v>24808</v>
      </c>
      <c r="B52" s="7">
        <v>196000</v>
      </c>
      <c r="C52" s="8">
        <v>2.6178010471204161E-2</v>
      </c>
    </row>
    <row r="53" spans="1:3" x14ac:dyDescent="0.45">
      <c r="A53" s="2">
        <v>24815</v>
      </c>
      <c r="B53" s="7">
        <v>221000</v>
      </c>
      <c r="C53" s="8">
        <v>0.12755102040816335</v>
      </c>
    </row>
    <row r="54" spans="1:3" x14ac:dyDescent="0.45">
      <c r="A54" s="2">
        <v>24822</v>
      </c>
      <c r="B54" s="7">
        <v>204000</v>
      </c>
      <c r="C54" s="8">
        <v>-7.6923076923076872E-2</v>
      </c>
    </row>
    <row r="55" spans="1:3" x14ac:dyDescent="0.45">
      <c r="A55" s="2">
        <v>24829</v>
      </c>
      <c r="B55" s="7">
        <v>219000</v>
      </c>
      <c r="C55" s="8">
        <v>7.3529411764705843E-2</v>
      </c>
    </row>
    <row r="56" spans="1:3" x14ac:dyDescent="0.45">
      <c r="A56" s="2">
        <v>24836</v>
      </c>
      <c r="B56" s="7">
        <v>216000</v>
      </c>
      <c r="C56" s="8">
        <v>-1.3698630136986356E-2</v>
      </c>
    </row>
    <row r="57" spans="1:3" x14ac:dyDescent="0.45">
      <c r="A57" s="2">
        <v>24843</v>
      </c>
      <c r="B57" s="7">
        <v>222000</v>
      </c>
      <c r="C57" s="8">
        <v>2.7777777777777679E-2</v>
      </c>
    </row>
    <row r="58" spans="1:3" x14ac:dyDescent="0.45">
      <c r="A58" s="2">
        <v>24850</v>
      </c>
      <c r="B58" s="7">
        <v>222000</v>
      </c>
      <c r="C58" s="8">
        <v>0</v>
      </c>
    </row>
    <row r="59" spans="1:3" x14ac:dyDescent="0.45">
      <c r="A59" s="2">
        <v>24857</v>
      </c>
      <c r="B59" s="7">
        <v>221000</v>
      </c>
      <c r="C59" s="8">
        <v>-4.5045045045044585E-3</v>
      </c>
    </row>
    <row r="60" spans="1:3" x14ac:dyDescent="0.45">
      <c r="A60" s="2">
        <v>24864</v>
      </c>
      <c r="B60" s="7">
        <v>198000</v>
      </c>
      <c r="C60" s="8">
        <v>-0.10407239819004521</v>
      </c>
    </row>
    <row r="61" spans="1:3" x14ac:dyDescent="0.45">
      <c r="A61" s="2">
        <v>24871</v>
      </c>
      <c r="B61" s="7">
        <v>244000</v>
      </c>
      <c r="C61" s="8">
        <v>0.23232323232323226</v>
      </c>
    </row>
    <row r="62" spans="1:3" x14ac:dyDescent="0.45">
      <c r="A62" s="2">
        <v>24878</v>
      </c>
      <c r="B62" s="7">
        <v>210000</v>
      </c>
      <c r="C62" s="8">
        <v>-0.13934426229508201</v>
      </c>
    </row>
    <row r="63" spans="1:3" x14ac:dyDescent="0.45">
      <c r="A63" s="2">
        <v>24885</v>
      </c>
      <c r="B63" s="7">
        <v>196000</v>
      </c>
      <c r="C63" s="8">
        <v>-6.6666666666666652E-2</v>
      </c>
    </row>
    <row r="64" spans="1:3" x14ac:dyDescent="0.45">
      <c r="A64" s="2">
        <v>24892</v>
      </c>
      <c r="B64" s="7">
        <v>193000</v>
      </c>
      <c r="C64" s="8">
        <v>-1.5306122448979553E-2</v>
      </c>
    </row>
    <row r="65" spans="1:3" x14ac:dyDescent="0.45">
      <c r="A65" s="2">
        <v>24899</v>
      </c>
      <c r="B65" s="7">
        <v>190000</v>
      </c>
      <c r="C65" s="8">
        <v>-1.5544041450777257E-2</v>
      </c>
    </row>
    <row r="66" spans="1:3" x14ac:dyDescent="0.45">
      <c r="A66" s="2">
        <v>24906</v>
      </c>
      <c r="B66" s="7">
        <v>204000</v>
      </c>
      <c r="C66" s="8">
        <v>7.3684210526315796E-2</v>
      </c>
    </row>
    <row r="67" spans="1:3" x14ac:dyDescent="0.45">
      <c r="A67" s="2">
        <v>24913</v>
      </c>
      <c r="B67" s="7">
        <v>190000</v>
      </c>
      <c r="C67" s="8">
        <v>-6.8627450980392135E-2</v>
      </c>
    </row>
    <row r="68" spans="1:3" x14ac:dyDescent="0.45">
      <c r="A68" s="2">
        <v>24920</v>
      </c>
      <c r="B68" s="7">
        <v>200000</v>
      </c>
      <c r="C68" s="8">
        <v>5.2631578947368363E-2</v>
      </c>
    </row>
    <row r="69" spans="1:3" x14ac:dyDescent="0.45">
      <c r="A69" s="2">
        <v>24927</v>
      </c>
      <c r="B69" s="7">
        <v>192000</v>
      </c>
      <c r="C69" s="8">
        <v>-4.0000000000000036E-2</v>
      </c>
    </row>
    <row r="70" spans="1:3" x14ac:dyDescent="0.45">
      <c r="A70" s="2">
        <v>24934</v>
      </c>
      <c r="B70" s="7">
        <v>191000</v>
      </c>
      <c r="C70" s="8">
        <v>-5.2083333333333703E-3</v>
      </c>
    </row>
    <row r="71" spans="1:3" x14ac:dyDescent="0.45">
      <c r="A71" s="2">
        <v>24941</v>
      </c>
      <c r="B71" s="7">
        <v>171000</v>
      </c>
      <c r="C71" s="8">
        <v>-0.10471204188481675</v>
      </c>
    </row>
    <row r="72" spans="1:3" x14ac:dyDescent="0.45">
      <c r="A72" s="2">
        <v>24948</v>
      </c>
      <c r="B72" s="7">
        <v>183000</v>
      </c>
      <c r="C72" s="8">
        <v>7.0175438596491224E-2</v>
      </c>
    </row>
    <row r="73" spans="1:3" x14ac:dyDescent="0.45">
      <c r="A73" s="2">
        <v>24955</v>
      </c>
      <c r="B73" s="7">
        <v>251000</v>
      </c>
      <c r="C73" s="8">
        <v>0.37158469945355188</v>
      </c>
    </row>
    <row r="74" spans="1:3" x14ac:dyDescent="0.45">
      <c r="A74" s="2">
        <v>24962</v>
      </c>
      <c r="B74" s="7">
        <v>209000</v>
      </c>
      <c r="C74" s="8">
        <v>-0.16733067729083662</v>
      </c>
    </row>
    <row r="75" spans="1:3" x14ac:dyDescent="0.45">
      <c r="A75" s="2">
        <v>24969</v>
      </c>
      <c r="B75" s="7">
        <v>194000</v>
      </c>
      <c r="C75" s="8">
        <v>-7.1770334928229707E-2</v>
      </c>
    </row>
    <row r="76" spans="1:3" x14ac:dyDescent="0.45">
      <c r="A76" s="2">
        <v>24976</v>
      </c>
      <c r="B76" s="7">
        <v>199000</v>
      </c>
      <c r="C76" s="8">
        <v>2.5773195876288568E-2</v>
      </c>
    </row>
    <row r="77" spans="1:3" x14ac:dyDescent="0.45">
      <c r="A77" s="2">
        <v>24983</v>
      </c>
      <c r="B77" s="7">
        <v>194000</v>
      </c>
      <c r="C77" s="8">
        <v>-2.5125628140703515E-2</v>
      </c>
    </row>
    <row r="78" spans="1:3" x14ac:dyDescent="0.45">
      <c r="A78" s="2">
        <v>24990</v>
      </c>
      <c r="B78" s="7">
        <v>199000</v>
      </c>
      <c r="C78" s="8">
        <v>2.5773195876288568E-2</v>
      </c>
    </row>
    <row r="79" spans="1:3" x14ac:dyDescent="0.45">
      <c r="A79" s="2">
        <v>24997</v>
      </c>
      <c r="B79" s="7">
        <v>192000</v>
      </c>
      <c r="C79" s="8">
        <v>-3.5175879396984966E-2</v>
      </c>
    </row>
    <row r="80" spans="1:3" x14ac:dyDescent="0.45">
      <c r="A80" s="2">
        <v>25004</v>
      </c>
      <c r="B80" s="7">
        <v>194000</v>
      </c>
      <c r="C80" s="8">
        <v>1.0416666666666741E-2</v>
      </c>
    </row>
    <row r="81" spans="1:3" x14ac:dyDescent="0.45">
      <c r="A81" s="2">
        <v>25011</v>
      </c>
      <c r="B81" s="7">
        <v>189000</v>
      </c>
      <c r="C81" s="8">
        <v>-2.5773195876288679E-2</v>
      </c>
    </row>
    <row r="82" spans="1:3" x14ac:dyDescent="0.45">
      <c r="A82" s="2">
        <v>25018</v>
      </c>
      <c r="B82" s="7">
        <v>194000</v>
      </c>
      <c r="C82" s="8">
        <v>2.6455026455026509E-2</v>
      </c>
    </row>
    <row r="83" spans="1:3" x14ac:dyDescent="0.45">
      <c r="A83" s="2">
        <v>25025</v>
      </c>
      <c r="B83" s="7">
        <v>214000</v>
      </c>
      <c r="C83" s="8">
        <v>0.10309278350515472</v>
      </c>
    </row>
    <row r="84" spans="1:3" x14ac:dyDescent="0.45">
      <c r="A84" s="2">
        <v>25032</v>
      </c>
      <c r="B84" s="7">
        <v>186000</v>
      </c>
      <c r="C84" s="8">
        <v>-0.13084112149532712</v>
      </c>
    </row>
    <row r="85" spans="1:3" x14ac:dyDescent="0.45">
      <c r="A85" s="2">
        <v>25039</v>
      </c>
      <c r="B85" s="7">
        <v>180000</v>
      </c>
      <c r="C85" s="8">
        <v>-3.2258064516129004E-2</v>
      </c>
    </row>
    <row r="86" spans="1:3" x14ac:dyDescent="0.45">
      <c r="A86" s="2">
        <v>25046</v>
      </c>
      <c r="B86" s="7">
        <v>205000</v>
      </c>
      <c r="C86" s="8">
        <v>0.13888888888888884</v>
      </c>
    </row>
    <row r="87" spans="1:3" x14ac:dyDescent="0.45">
      <c r="A87" s="2">
        <v>25053</v>
      </c>
      <c r="B87" s="7">
        <v>206000</v>
      </c>
      <c r="C87" s="8">
        <v>4.8780487804878092E-3</v>
      </c>
    </row>
    <row r="88" spans="1:3" x14ac:dyDescent="0.45">
      <c r="A88" s="2">
        <v>25060</v>
      </c>
      <c r="B88" s="7">
        <v>218000</v>
      </c>
      <c r="C88" s="8">
        <v>5.8252427184465994E-2</v>
      </c>
    </row>
    <row r="89" spans="1:3" x14ac:dyDescent="0.45">
      <c r="A89" s="2">
        <v>25067</v>
      </c>
      <c r="B89" s="7">
        <v>192000</v>
      </c>
      <c r="C89" s="8">
        <v>-0.11926605504587151</v>
      </c>
    </row>
    <row r="90" spans="1:3" x14ac:dyDescent="0.45">
      <c r="A90" s="2">
        <v>25074</v>
      </c>
      <c r="B90" s="7">
        <v>193000</v>
      </c>
      <c r="C90" s="8">
        <v>5.2083333333332593E-3</v>
      </c>
    </row>
    <row r="91" spans="1:3" x14ac:dyDescent="0.45">
      <c r="A91" s="2">
        <v>25081</v>
      </c>
      <c r="B91" s="7">
        <v>188000</v>
      </c>
      <c r="C91" s="8">
        <v>-2.5906735751295318E-2</v>
      </c>
    </row>
    <row r="92" spans="1:3" x14ac:dyDescent="0.45">
      <c r="A92" s="2">
        <v>25088</v>
      </c>
      <c r="B92" s="7">
        <v>189000</v>
      </c>
      <c r="C92" s="8">
        <v>5.3191489361701372E-3</v>
      </c>
    </row>
    <row r="93" spans="1:3" x14ac:dyDescent="0.45">
      <c r="A93" s="2">
        <v>25095</v>
      </c>
      <c r="B93" s="7">
        <v>195000</v>
      </c>
      <c r="C93" s="8">
        <v>3.1746031746031855E-2</v>
      </c>
    </row>
    <row r="94" spans="1:3" x14ac:dyDescent="0.45">
      <c r="A94" s="2">
        <v>25102</v>
      </c>
      <c r="B94" s="7">
        <v>191000</v>
      </c>
      <c r="C94" s="8">
        <v>-2.0512820512820551E-2</v>
      </c>
    </row>
    <row r="95" spans="1:3" x14ac:dyDescent="0.45">
      <c r="A95" s="2">
        <v>25109</v>
      </c>
      <c r="B95" s="7">
        <v>189000</v>
      </c>
      <c r="C95" s="8">
        <v>-1.0471204188481686E-2</v>
      </c>
    </row>
    <row r="96" spans="1:3" x14ac:dyDescent="0.45">
      <c r="A96" s="2">
        <v>25116</v>
      </c>
      <c r="B96" s="7">
        <v>185000</v>
      </c>
      <c r="C96" s="8">
        <v>-2.1164021164021163E-2</v>
      </c>
    </row>
    <row r="97" spans="1:3" x14ac:dyDescent="0.45">
      <c r="A97" s="2">
        <v>25123</v>
      </c>
      <c r="B97" s="7">
        <v>186000</v>
      </c>
      <c r="C97" s="8">
        <v>5.4054054054053502E-3</v>
      </c>
    </row>
    <row r="98" spans="1:3" x14ac:dyDescent="0.45">
      <c r="A98" s="2">
        <v>25130</v>
      </c>
      <c r="B98" s="7">
        <v>191000</v>
      </c>
      <c r="C98" s="8">
        <v>2.6881720430107503E-2</v>
      </c>
    </row>
    <row r="99" spans="1:3" x14ac:dyDescent="0.45">
      <c r="A99" s="2">
        <v>25137</v>
      </c>
      <c r="B99" s="7">
        <v>182000</v>
      </c>
      <c r="C99" s="8">
        <v>-4.7120418848167533E-2</v>
      </c>
    </row>
    <row r="100" spans="1:3" x14ac:dyDescent="0.45">
      <c r="A100" s="2">
        <v>25144</v>
      </c>
      <c r="B100" s="7">
        <v>181000</v>
      </c>
      <c r="C100" s="8">
        <v>-5.494505494505475E-3</v>
      </c>
    </row>
    <row r="101" spans="1:3" x14ac:dyDescent="0.45">
      <c r="A101" s="2">
        <v>25151</v>
      </c>
      <c r="B101" s="7">
        <v>183000</v>
      </c>
      <c r="C101" s="8">
        <v>1.1049723756906049E-2</v>
      </c>
    </row>
    <row r="102" spans="1:3" x14ac:dyDescent="0.45">
      <c r="A102" s="2">
        <v>25158</v>
      </c>
      <c r="B102" s="7">
        <v>192000</v>
      </c>
      <c r="C102" s="8">
        <v>4.9180327868852514E-2</v>
      </c>
    </row>
    <row r="103" spans="1:3" x14ac:dyDescent="0.45">
      <c r="A103" s="2">
        <v>25165</v>
      </c>
      <c r="B103" s="7">
        <v>199000</v>
      </c>
      <c r="C103" s="8">
        <v>3.6458333333333259E-2</v>
      </c>
    </row>
    <row r="104" spans="1:3" x14ac:dyDescent="0.45">
      <c r="A104" s="2">
        <v>25172</v>
      </c>
      <c r="B104" s="7">
        <v>162000</v>
      </c>
      <c r="C104" s="8">
        <v>-0.18592964824120606</v>
      </c>
    </row>
    <row r="105" spans="1:3" x14ac:dyDescent="0.45">
      <c r="A105" s="2">
        <v>25179</v>
      </c>
      <c r="B105" s="7">
        <v>188000</v>
      </c>
      <c r="C105" s="8">
        <v>0.16049382716049387</v>
      </c>
    </row>
    <row r="106" spans="1:3" x14ac:dyDescent="0.45">
      <c r="A106" s="2">
        <v>25186</v>
      </c>
      <c r="B106" s="7">
        <v>195000</v>
      </c>
      <c r="C106" s="8">
        <v>3.7234042553191404E-2</v>
      </c>
    </row>
    <row r="107" spans="1:3" x14ac:dyDescent="0.45">
      <c r="A107" s="2">
        <v>25193</v>
      </c>
      <c r="B107" s="7">
        <v>192000</v>
      </c>
      <c r="C107" s="8">
        <v>-1.538461538461533E-2</v>
      </c>
    </row>
    <row r="108" spans="1:3" x14ac:dyDescent="0.45">
      <c r="A108" s="2">
        <v>25200</v>
      </c>
      <c r="B108" s="7">
        <v>223000</v>
      </c>
      <c r="C108" s="8">
        <v>0.16145833333333326</v>
      </c>
    </row>
    <row r="109" spans="1:3" x14ac:dyDescent="0.45">
      <c r="A109" s="2">
        <v>25207</v>
      </c>
      <c r="B109" s="7">
        <v>190000</v>
      </c>
      <c r="C109" s="8">
        <v>-0.14798206278026904</v>
      </c>
    </row>
    <row r="110" spans="1:3" x14ac:dyDescent="0.45">
      <c r="A110" s="2">
        <v>25214</v>
      </c>
      <c r="B110" s="7">
        <v>191000</v>
      </c>
      <c r="C110" s="8">
        <v>5.2631578947368585E-3</v>
      </c>
    </row>
    <row r="111" spans="1:3" x14ac:dyDescent="0.45">
      <c r="A111" s="2">
        <v>25221</v>
      </c>
      <c r="B111" s="7">
        <v>192000</v>
      </c>
      <c r="C111" s="8">
        <v>5.2356020942407877E-3</v>
      </c>
    </row>
    <row r="112" spans="1:3" x14ac:dyDescent="0.45">
      <c r="A112" s="2">
        <v>25228</v>
      </c>
      <c r="B112" s="7">
        <v>193000</v>
      </c>
      <c r="C112" s="8">
        <v>5.2083333333332593E-3</v>
      </c>
    </row>
    <row r="113" spans="1:3" x14ac:dyDescent="0.45">
      <c r="A113" s="2">
        <v>25235</v>
      </c>
      <c r="B113" s="7">
        <v>203000</v>
      </c>
      <c r="C113" s="8">
        <v>5.1813471502590636E-2</v>
      </c>
    </row>
    <row r="114" spans="1:3" x14ac:dyDescent="0.45">
      <c r="A114" s="2">
        <v>25242</v>
      </c>
      <c r="B114" s="7">
        <v>197000</v>
      </c>
      <c r="C114" s="8">
        <v>-2.9556650246305383E-2</v>
      </c>
    </row>
    <row r="115" spans="1:3" x14ac:dyDescent="0.45">
      <c r="A115" s="2">
        <v>25249</v>
      </c>
      <c r="B115" s="7">
        <v>192000</v>
      </c>
      <c r="C115" s="8">
        <v>-2.5380710659898442E-2</v>
      </c>
    </row>
    <row r="116" spans="1:3" x14ac:dyDescent="0.45">
      <c r="A116" s="2">
        <v>25256</v>
      </c>
      <c r="B116" s="7">
        <v>192000</v>
      </c>
      <c r="C116" s="8">
        <v>0</v>
      </c>
    </row>
    <row r="117" spans="1:3" x14ac:dyDescent="0.45">
      <c r="A117" s="2">
        <v>25263</v>
      </c>
      <c r="B117" s="7">
        <v>201000</v>
      </c>
      <c r="C117" s="8">
        <v>4.6875E-2</v>
      </c>
    </row>
    <row r="118" spans="1:3" x14ac:dyDescent="0.45">
      <c r="A118" s="2">
        <v>25270</v>
      </c>
      <c r="B118" s="7">
        <v>191000</v>
      </c>
      <c r="C118" s="8">
        <v>-4.9751243781094523E-2</v>
      </c>
    </row>
    <row r="119" spans="1:3" x14ac:dyDescent="0.45">
      <c r="A119" s="2">
        <v>25277</v>
      </c>
      <c r="B119" s="7">
        <v>189000</v>
      </c>
      <c r="C119" s="8">
        <v>-1.0471204188481686E-2</v>
      </c>
    </row>
    <row r="120" spans="1:3" x14ac:dyDescent="0.45">
      <c r="A120" s="2">
        <v>25284</v>
      </c>
      <c r="B120" s="7">
        <v>181000</v>
      </c>
      <c r="C120" s="8">
        <v>-4.2328042328042326E-2</v>
      </c>
    </row>
    <row r="121" spans="1:3" x14ac:dyDescent="0.45">
      <c r="A121" s="2">
        <v>25291</v>
      </c>
      <c r="B121" s="7">
        <v>183000</v>
      </c>
      <c r="C121" s="8">
        <v>1.1049723756906049E-2</v>
      </c>
    </row>
    <row r="122" spans="1:3" x14ac:dyDescent="0.45">
      <c r="A122" s="2">
        <v>25298</v>
      </c>
      <c r="B122" s="7">
        <v>182000</v>
      </c>
      <c r="C122" s="8">
        <v>-5.464480874316946E-3</v>
      </c>
    </row>
    <row r="123" spans="1:3" x14ac:dyDescent="0.45">
      <c r="A123" s="2">
        <v>25305</v>
      </c>
      <c r="B123" s="7">
        <v>190000</v>
      </c>
      <c r="C123" s="8">
        <v>4.3956043956044022E-2</v>
      </c>
    </row>
    <row r="124" spans="1:3" x14ac:dyDescent="0.45">
      <c r="A124" s="2">
        <v>25312</v>
      </c>
      <c r="B124" s="7">
        <v>187000</v>
      </c>
      <c r="C124" s="8">
        <v>-1.5789473684210575E-2</v>
      </c>
    </row>
    <row r="125" spans="1:3" x14ac:dyDescent="0.45">
      <c r="A125" s="2">
        <v>25319</v>
      </c>
      <c r="B125" s="7">
        <v>177000</v>
      </c>
      <c r="C125" s="8">
        <v>-5.3475935828876997E-2</v>
      </c>
    </row>
    <row r="126" spans="1:3" x14ac:dyDescent="0.45">
      <c r="A126" s="2">
        <v>25326</v>
      </c>
      <c r="B126" s="7">
        <v>177000</v>
      </c>
      <c r="C126" s="8">
        <v>0</v>
      </c>
    </row>
    <row r="127" spans="1:3" x14ac:dyDescent="0.45">
      <c r="A127" s="2">
        <v>25333</v>
      </c>
      <c r="B127" s="7">
        <v>183000</v>
      </c>
      <c r="C127" s="8">
        <v>3.3898305084745672E-2</v>
      </c>
    </row>
    <row r="128" spans="1:3" x14ac:dyDescent="0.45">
      <c r="A128" s="2">
        <v>25340</v>
      </c>
      <c r="B128" s="7">
        <v>179000</v>
      </c>
      <c r="C128" s="8">
        <v>-2.1857923497267784E-2</v>
      </c>
    </row>
    <row r="129" spans="1:3" x14ac:dyDescent="0.45">
      <c r="A129" s="2">
        <v>25347</v>
      </c>
      <c r="B129" s="7">
        <v>180000</v>
      </c>
      <c r="C129" s="8">
        <v>5.5865921787709993E-3</v>
      </c>
    </row>
    <row r="130" spans="1:3" x14ac:dyDescent="0.45">
      <c r="A130" s="2">
        <v>25354</v>
      </c>
      <c r="B130" s="7">
        <v>187000</v>
      </c>
      <c r="C130" s="8">
        <v>3.8888888888888973E-2</v>
      </c>
    </row>
    <row r="131" spans="1:3" x14ac:dyDescent="0.45">
      <c r="A131" s="2">
        <v>25361</v>
      </c>
      <c r="B131" s="7">
        <v>192000</v>
      </c>
      <c r="C131" s="8">
        <v>2.673796791443861E-2</v>
      </c>
    </row>
    <row r="132" spans="1:3" x14ac:dyDescent="0.45">
      <c r="A132" s="2">
        <v>25368</v>
      </c>
      <c r="B132" s="7">
        <v>182000</v>
      </c>
      <c r="C132" s="8">
        <v>-5.208333333333337E-2</v>
      </c>
    </row>
    <row r="133" spans="1:3" x14ac:dyDescent="0.45">
      <c r="A133" s="2">
        <v>25375</v>
      </c>
      <c r="B133" s="7">
        <v>191000</v>
      </c>
      <c r="C133" s="8">
        <v>4.9450549450549497E-2</v>
      </c>
    </row>
    <row r="134" spans="1:3" x14ac:dyDescent="0.45">
      <c r="A134" s="2">
        <v>25382</v>
      </c>
      <c r="B134" s="7">
        <v>203000</v>
      </c>
      <c r="C134" s="8">
        <v>6.2827225130890119E-2</v>
      </c>
    </row>
    <row r="135" spans="1:3" x14ac:dyDescent="0.45">
      <c r="A135" s="2">
        <v>25389</v>
      </c>
      <c r="B135" s="7">
        <v>227000</v>
      </c>
      <c r="C135" s="8">
        <v>0.11822660098522175</v>
      </c>
    </row>
    <row r="136" spans="1:3" x14ac:dyDescent="0.45">
      <c r="A136" s="2">
        <v>25396</v>
      </c>
      <c r="B136" s="7">
        <v>210000</v>
      </c>
      <c r="C136" s="8">
        <v>-7.4889867841409719E-2</v>
      </c>
    </row>
    <row r="137" spans="1:3" x14ac:dyDescent="0.45">
      <c r="A137" s="2">
        <v>25403</v>
      </c>
      <c r="B137" s="7">
        <v>206000</v>
      </c>
      <c r="C137" s="8">
        <v>-1.9047619047619091E-2</v>
      </c>
    </row>
    <row r="138" spans="1:3" x14ac:dyDescent="0.45">
      <c r="A138" s="2">
        <v>25410</v>
      </c>
      <c r="B138" s="7">
        <v>192000</v>
      </c>
      <c r="C138" s="8">
        <v>-6.7961165048543659E-2</v>
      </c>
    </row>
    <row r="139" spans="1:3" x14ac:dyDescent="0.45">
      <c r="A139" s="2">
        <v>25417</v>
      </c>
      <c r="B139" s="7">
        <v>196000</v>
      </c>
      <c r="C139" s="8">
        <v>2.0833333333333259E-2</v>
      </c>
    </row>
    <row r="140" spans="1:3" x14ac:dyDescent="0.45">
      <c r="A140" s="2">
        <v>25424</v>
      </c>
      <c r="B140" s="7">
        <v>203000</v>
      </c>
      <c r="C140" s="8">
        <v>3.5714285714285809E-2</v>
      </c>
    </row>
    <row r="141" spans="1:3" x14ac:dyDescent="0.45">
      <c r="A141" s="2">
        <v>25431</v>
      </c>
      <c r="B141" s="7">
        <v>199000</v>
      </c>
      <c r="C141" s="8">
        <v>-1.9704433497536922E-2</v>
      </c>
    </row>
    <row r="142" spans="1:3" x14ac:dyDescent="0.45">
      <c r="A142" s="2">
        <v>25438</v>
      </c>
      <c r="B142" s="7">
        <v>199000</v>
      </c>
      <c r="C142" s="8">
        <v>0</v>
      </c>
    </row>
    <row r="143" spans="1:3" x14ac:dyDescent="0.45">
      <c r="A143" s="2">
        <v>25445</v>
      </c>
      <c r="B143" s="7">
        <v>195000</v>
      </c>
      <c r="C143" s="8">
        <v>-2.010050251256279E-2</v>
      </c>
    </row>
    <row r="144" spans="1:3" x14ac:dyDescent="0.45">
      <c r="A144" s="2">
        <v>25452</v>
      </c>
      <c r="B144" s="7">
        <v>182000</v>
      </c>
      <c r="C144" s="8">
        <v>-6.6666666666666652E-2</v>
      </c>
    </row>
    <row r="145" spans="1:3" x14ac:dyDescent="0.45">
      <c r="A145" s="2">
        <v>25459</v>
      </c>
      <c r="B145" s="7">
        <v>209000</v>
      </c>
      <c r="C145" s="8">
        <v>0.14835164835164827</v>
      </c>
    </row>
    <row r="146" spans="1:3" x14ac:dyDescent="0.45">
      <c r="A146" s="2">
        <v>25466</v>
      </c>
      <c r="B146" s="7">
        <v>195000</v>
      </c>
      <c r="C146" s="8">
        <v>-6.6985645933014371E-2</v>
      </c>
    </row>
    <row r="147" spans="1:3" x14ac:dyDescent="0.45">
      <c r="A147" s="2">
        <v>25473</v>
      </c>
      <c r="B147" s="7">
        <v>193000</v>
      </c>
      <c r="C147" s="8">
        <v>-1.025641025641022E-2</v>
      </c>
    </row>
    <row r="148" spans="1:3" x14ac:dyDescent="0.45">
      <c r="A148" s="2">
        <v>25480</v>
      </c>
      <c r="B148" s="7">
        <v>193000</v>
      </c>
      <c r="C148" s="8">
        <v>0</v>
      </c>
    </row>
    <row r="149" spans="1:3" x14ac:dyDescent="0.45">
      <c r="A149" s="2">
        <v>25487</v>
      </c>
      <c r="B149" s="7">
        <v>200000</v>
      </c>
      <c r="C149" s="8">
        <v>3.6269430051813378E-2</v>
      </c>
    </row>
    <row r="150" spans="1:3" x14ac:dyDescent="0.45">
      <c r="A150" s="2">
        <v>25494</v>
      </c>
      <c r="B150" s="7">
        <v>199000</v>
      </c>
      <c r="C150" s="8">
        <v>-5.0000000000000044E-3</v>
      </c>
    </row>
    <row r="151" spans="1:3" x14ac:dyDescent="0.45">
      <c r="A151" s="2">
        <v>25501</v>
      </c>
      <c r="B151" s="7">
        <v>205000</v>
      </c>
      <c r="C151" s="8">
        <v>3.015075376884413E-2</v>
      </c>
    </row>
    <row r="152" spans="1:3" x14ac:dyDescent="0.45">
      <c r="A152" s="2">
        <v>25508</v>
      </c>
      <c r="B152" s="7">
        <v>198000</v>
      </c>
      <c r="C152" s="8">
        <v>-3.4146341463414664E-2</v>
      </c>
    </row>
    <row r="153" spans="1:3" x14ac:dyDescent="0.45">
      <c r="A153" s="2">
        <v>25515</v>
      </c>
      <c r="B153" s="7">
        <v>211000</v>
      </c>
      <c r="C153" s="8">
        <v>6.5656565656565746E-2</v>
      </c>
    </row>
    <row r="154" spans="1:3" x14ac:dyDescent="0.45">
      <c r="A154" s="2">
        <v>25522</v>
      </c>
      <c r="B154" s="7">
        <v>197000</v>
      </c>
      <c r="C154" s="8">
        <v>-6.6350710900473953E-2</v>
      </c>
    </row>
    <row r="155" spans="1:3" x14ac:dyDescent="0.45">
      <c r="A155" s="2">
        <v>25529</v>
      </c>
      <c r="B155" s="7">
        <v>217000</v>
      </c>
      <c r="C155" s="8">
        <v>0.10152284263959399</v>
      </c>
    </row>
    <row r="156" spans="1:3" x14ac:dyDescent="0.45">
      <c r="A156" s="2">
        <v>25536</v>
      </c>
      <c r="B156" s="7">
        <v>202000</v>
      </c>
      <c r="C156" s="8">
        <v>-6.9124423963133674E-2</v>
      </c>
    </row>
    <row r="157" spans="1:3" x14ac:dyDescent="0.45">
      <c r="A157" s="2">
        <v>25543</v>
      </c>
      <c r="B157" s="7">
        <v>202000</v>
      </c>
      <c r="C157" s="8">
        <v>0</v>
      </c>
    </row>
    <row r="158" spans="1:3" x14ac:dyDescent="0.45">
      <c r="A158" s="2">
        <v>25550</v>
      </c>
      <c r="B158" s="7">
        <v>222000</v>
      </c>
      <c r="C158" s="8">
        <v>9.9009900990099098E-2</v>
      </c>
    </row>
    <row r="159" spans="1:3" x14ac:dyDescent="0.45">
      <c r="A159" s="2">
        <v>25557</v>
      </c>
      <c r="B159" s="7">
        <v>232000</v>
      </c>
      <c r="C159" s="8">
        <v>4.5045045045045029E-2</v>
      </c>
    </row>
    <row r="160" spans="1:3" x14ac:dyDescent="0.45">
      <c r="A160" s="2">
        <v>25564</v>
      </c>
      <c r="B160" s="7">
        <v>223000</v>
      </c>
      <c r="C160" s="8">
        <v>-3.8793103448275912E-2</v>
      </c>
    </row>
    <row r="161" spans="1:3" x14ac:dyDescent="0.45">
      <c r="A161" s="2">
        <v>25571</v>
      </c>
      <c r="B161" s="7">
        <v>230000</v>
      </c>
      <c r="C161" s="8">
        <v>3.1390134529148073E-2</v>
      </c>
    </row>
    <row r="162" spans="1:3" x14ac:dyDescent="0.45">
      <c r="A162" s="2">
        <v>25578</v>
      </c>
      <c r="B162" s="7">
        <v>242000</v>
      </c>
      <c r="C162" s="8">
        <v>5.2173913043478182E-2</v>
      </c>
    </row>
    <row r="163" spans="1:3" x14ac:dyDescent="0.45">
      <c r="A163" s="2">
        <v>25585</v>
      </c>
      <c r="B163" s="7">
        <v>268000</v>
      </c>
      <c r="C163" s="8">
        <v>0.10743801652892571</v>
      </c>
    </row>
    <row r="164" spans="1:3" x14ac:dyDescent="0.45">
      <c r="A164" s="2">
        <v>25592</v>
      </c>
      <c r="B164" s="7">
        <v>256000</v>
      </c>
      <c r="C164" s="8">
        <v>-4.4776119402985093E-2</v>
      </c>
    </row>
    <row r="165" spans="1:3" x14ac:dyDescent="0.45">
      <c r="A165" s="2">
        <v>25599</v>
      </c>
      <c r="B165" s="7">
        <v>239000</v>
      </c>
      <c r="C165" s="8">
        <v>-6.640625E-2</v>
      </c>
    </row>
    <row r="166" spans="1:3" x14ac:dyDescent="0.45">
      <c r="A166" s="2">
        <v>25606</v>
      </c>
      <c r="B166" s="7">
        <v>256000</v>
      </c>
      <c r="C166" s="8">
        <v>7.1129707112970619E-2</v>
      </c>
    </row>
    <row r="167" spans="1:3" x14ac:dyDescent="0.45">
      <c r="A167" s="2">
        <v>25613</v>
      </c>
      <c r="B167" s="7">
        <v>265000</v>
      </c>
      <c r="C167" s="8">
        <v>3.515625E-2</v>
      </c>
    </row>
    <row r="168" spans="1:3" x14ac:dyDescent="0.45">
      <c r="A168" s="2">
        <v>25620</v>
      </c>
      <c r="B168" s="7">
        <v>271000</v>
      </c>
      <c r="C168" s="8">
        <v>2.2641509433962259E-2</v>
      </c>
    </row>
    <row r="169" spans="1:3" x14ac:dyDescent="0.45">
      <c r="A169" s="2">
        <v>25627</v>
      </c>
      <c r="B169" s="7">
        <v>242000</v>
      </c>
      <c r="C169" s="8">
        <v>-0.1070110701107011</v>
      </c>
    </row>
    <row r="170" spans="1:3" x14ac:dyDescent="0.45">
      <c r="A170" s="2">
        <v>25634</v>
      </c>
      <c r="B170" s="7">
        <v>262000</v>
      </c>
      <c r="C170" s="8">
        <v>8.2644628099173501E-2</v>
      </c>
    </row>
    <row r="171" spans="1:3" x14ac:dyDescent="0.45">
      <c r="A171" s="2">
        <v>25641</v>
      </c>
      <c r="B171" s="7">
        <v>271000</v>
      </c>
      <c r="C171" s="8">
        <v>3.4351145038167941E-2</v>
      </c>
    </row>
    <row r="172" spans="1:3" x14ac:dyDescent="0.45">
      <c r="A172" s="2">
        <v>25648</v>
      </c>
      <c r="B172" s="7">
        <v>264000</v>
      </c>
      <c r="C172" s="8">
        <v>-2.5830258302583009E-2</v>
      </c>
    </row>
    <row r="173" spans="1:3" x14ac:dyDescent="0.45">
      <c r="A173" s="2">
        <v>25655</v>
      </c>
      <c r="B173" s="7">
        <v>276000</v>
      </c>
      <c r="C173" s="8">
        <v>4.5454545454545414E-2</v>
      </c>
    </row>
    <row r="174" spans="1:3" x14ac:dyDescent="0.45">
      <c r="A174" s="2">
        <v>25662</v>
      </c>
      <c r="B174" s="7">
        <v>273000</v>
      </c>
      <c r="C174" s="8">
        <v>-1.0869565217391353E-2</v>
      </c>
    </row>
    <row r="175" spans="1:3" x14ac:dyDescent="0.45">
      <c r="A175" s="2">
        <v>25669</v>
      </c>
      <c r="B175" s="7">
        <v>305000</v>
      </c>
      <c r="C175" s="8">
        <v>0.11721611721611724</v>
      </c>
    </row>
    <row r="176" spans="1:3" x14ac:dyDescent="0.45">
      <c r="A176" s="2">
        <v>25676</v>
      </c>
      <c r="B176" s="7">
        <v>374000</v>
      </c>
      <c r="C176" s="8">
        <v>0.22622950819672139</v>
      </c>
    </row>
    <row r="177" spans="1:3" x14ac:dyDescent="0.45">
      <c r="A177" s="2">
        <v>25683</v>
      </c>
      <c r="B177" s="7">
        <v>349000</v>
      </c>
      <c r="C177" s="8">
        <v>-6.6844919786096302E-2</v>
      </c>
    </row>
    <row r="178" spans="1:3" x14ac:dyDescent="0.45">
      <c r="A178" s="2">
        <v>25690</v>
      </c>
      <c r="B178" s="7">
        <v>334000</v>
      </c>
      <c r="C178" s="8">
        <v>-4.2979942693409767E-2</v>
      </c>
    </row>
    <row r="179" spans="1:3" x14ac:dyDescent="0.45">
      <c r="A179" s="2">
        <v>25697</v>
      </c>
      <c r="B179" s="7">
        <v>318000</v>
      </c>
      <c r="C179" s="8">
        <v>-4.7904191616766512E-2</v>
      </c>
    </row>
    <row r="180" spans="1:3" x14ac:dyDescent="0.45">
      <c r="A180" s="2">
        <v>25704</v>
      </c>
      <c r="B180" s="7">
        <v>303000</v>
      </c>
      <c r="C180" s="8">
        <v>-4.7169811320754707E-2</v>
      </c>
    </row>
    <row r="181" spans="1:3" x14ac:dyDescent="0.45">
      <c r="A181" s="2">
        <v>25711</v>
      </c>
      <c r="B181" s="7">
        <v>296000</v>
      </c>
      <c r="C181" s="8">
        <v>-2.3102310231023049E-2</v>
      </c>
    </row>
    <row r="182" spans="1:3" x14ac:dyDescent="0.45">
      <c r="A182" s="2">
        <v>25718</v>
      </c>
      <c r="B182" s="7">
        <v>301000</v>
      </c>
      <c r="C182" s="8">
        <v>1.6891891891891886E-2</v>
      </c>
    </row>
    <row r="183" spans="1:3" x14ac:dyDescent="0.45">
      <c r="A183" s="2">
        <v>25725</v>
      </c>
      <c r="B183" s="7">
        <v>301000</v>
      </c>
      <c r="C183" s="8">
        <v>0</v>
      </c>
    </row>
    <row r="184" spans="1:3" x14ac:dyDescent="0.45">
      <c r="A184" s="2">
        <v>25732</v>
      </c>
      <c r="B184" s="7">
        <v>298000</v>
      </c>
      <c r="C184" s="8">
        <v>-9.966777408637828E-3</v>
      </c>
    </row>
    <row r="185" spans="1:3" x14ac:dyDescent="0.45">
      <c r="A185" s="2">
        <v>25739</v>
      </c>
      <c r="B185" s="7">
        <v>296000</v>
      </c>
      <c r="C185" s="8">
        <v>-6.7114093959731447E-3</v>
      </c>
    </row>
    <row r="186" spans="1:3" x14ac:dyDescent="0.45">
      <c r="A186" s="2">
        <v>25746</v>
      </c>
      <c r="B186" s="7">
        <v>291000</v>
      </c>
      <c r="C186" s="8">
        <v>-1.6891891891891886E-2</v>
      </c>
    </row>
    <row r="187" spans="1:3" x14ac:dyDescent="0.45">
      <c r="A187" s="2">
        <v>25753</v>
      </c>
      <c r="B187" s="7">
        <v>277000</v>
      </c>
      <c r="C187" s="8">
        <v>-4.8109965635738883E-2</v>
      </c>
    </row>
    <row r="188" spans="1:3" x14ac:dyDescent="0.45">
      <c r="A188" s="2">
        <v>25760</v>
      </c>
      <c r="B188" s="7">
        <v>288000</v>
      </c>
      <c r="C188" s="8">
        <v>3.971119133573997E-2</v>
      </c>
    </row>
    <row r="189" spans="1:3" x14ac:dyDescent="0.45">
      <c r="A189" s="2">
        <v>25767</v>
      </c>
      <c r="B189" s="7">
        <v>294000</v>
      </c>
      <c r="C189" s="8">
        <v>2.0833333333333259E-2</v>
      </c>
    </row>
    <row r="190" spans="1:3" x14ac:dyDescent="0.45">
      <c r="A190" s="2">
        <v>25774</v>
      </c>
      <c r="B190" s="7">
        <v>287000</v>
      </c>
      <c r="C190" s="8">
        <v>-2.3809523809523836E-2</v>
      </c>
    </row>
    <row r="191" spans="1:3" x14ac:dyDescent="0.45">
      <c r="A191" s="2">
        <v>25781</v>
      </c>
      <c r="B191" s="7">
        <v>261000</v>
      </c>
      <c r="C191" s="8">
        <v>-9.0592334494773552E-2</v>
      </c>
    </row>
    <row r="192" spans="1:3" x14ac:dyDescent="0.45">
      <c r="A192" s="2">
        <v>25788</v>
      </c>
      <c r="B192" s="7">
        <v>266000</v>
      </c>
      <c r="C192" s="8">
        <v>1.9157088122605304E-2</v>
      </c>
    </row>
    <row r="193" spans="1:3" x14ac:dyDescent="0.45">
      <c r="A193" s="2">
        <v>25795</v>
      </c>
      <c r="B193" s="7">
        <v>300000</v>
      </c>
      <c r="C193" s="8">
        <v>0.1278195488721805</v>
      </c>
    </row>
    <row r="194" spans="1:3" x14ac:dyDescent="0.45">
      <c r="A194" s="2">
        <v>25802</v>
      </c>
      <c r="B194" s="7">
        <v>303000</v>
      </c>
      <c r="C194" s="8">
        <v>1.0000000000000009E-2</v>
      </c>
    </row>
    <row r="195" spans="1:3" x14ac:dyDescent="0.45">
      <c r="A195" s="2">
        <v>25809</v>
      </c>
      <c r="B195" s="7">
        <v>297000</v>
      </c>
      <c r="C195" s="8">
        <v>-1.980198019801982E-2</v>
      </c>
    </row>
    <row r="196" spans="1:3" x14ac:dyDescent="0.45">
      <c r="A196" s="2">
        <v>25816</v>
      </c>
      <c r="B196" s="7">
        <v>324000</v>
      </c>
      <c r="C196" s="8">
        <v>9.0909090909090828E-2</v>
      </c>
    </row>
    <row r="197" spans="1:3" x14ac:dyDescent="0.45">
      <c r="A197" s="2">
        <v>25823</v>
      </c>
      <c r="B197" s="7">
        <v>292000</v>
      </c>
      <c r="C197" s="8">
        <v>-9.8765432098765427E-2</v>
      </c>
    </row>
    <row r="198" spans="1:3" x14ac:dyDescent="0.45">
      <c r="A198" s="2">
        <v>25830</v>
      </c>
      <c r="B198" s="7">
        <v>325000</v>
      </c>
      <c r="C198" s="8">
        <v>0.11301369863013688</v>
      </c>
    </row>
    <row r="199" spans="1:3" x14ac:dyDescent="0.45">
      <c r="A199" s="2">
        <v>25837</v>
      </c>
      <c r="B199" s="7">
        <v>333000</v>
      </c>
      <c r="C199" s="8">
        <v>2.4615384615384706E-2</v>
      </c>
    </row>
    <row r="200" spans="1:3" x14ac:dyDescent="0.45">
      <c r="A200" s="2">
        <v>25844</v>
      </c>
      <c r="B200" s="7">
        <v>350000</v>
      </c>
      <c r="C200" s="8">
        <v>5.1051051051051122E-2</v>
      </c>
    </row>
    <row r="201" spans="1:3" x14ac:dyDescent="0.45">
      <c r="A201" s="2">
        <v>25851</v>
      </c>
      <c r="B201" s="7">
        <v>327000</v>
      </c>
      <c r="C201" s="8">
        <v>-6.5714285714285725E-2</v>
      </c>
    </row>
    <row r="202" spans="1:3" x14ac:dyDescent="0.45">
      <c r="A202" s="2">
        <v>25858</v>
      </c>
      <c r="B202" s="7">
        <v>334000</v>
      </c>
      <c r="C202" s="8">
        <v>2.1406727828746197E-2</v>
      </c>
    </row>
    <row r="203" spans="1:3" x14ac:dyDescent="0.45">
      <c r="A203" s="2">
        <v>25865</v>
      </c>
      <c r="B203" s="7">
        <v>330000</v>
      </c>
      <c r="C203" s="8">
        <v>-1.19760479041916E-2</v>
      </c>
    </row>
    <row r="204" spans="1:3" x14ac:dyDescent="0.45">
      <c r="A204" s="2">
        <v>25872</v>
      </c>
      <c r="B204" s="7">
        <v>327000</v>
      </c>
      <c r="C204" s="8">
        <v>-9.0909090909090384E-3</v>
      </c>
    </row>
    <row r="205" spans="1:3" x14ac:dyDescent="0.45">
      <c r="A205" s="2">
        <v>25879</v>
      </c>
      <c r="B205" s="7">
        <v>336000</v>
      </c>
      <c r="C205" s="8">
        <v>2.7522935779816571E-2</v>
      </c>
    </row>
    <row r="206" spans="1:3" x14ac:dyDescent="0.45">
      <c r="A206" s="2">
        <v>25886</v>
      </c>
      <c r="B206" s="7">
        <v>314000</v>
      </c>
      <c r="C206" s="8">
        <v>-6.5476190476190466E-2</v>
      </c>
    </row>
    <row r="207" spans="1:3" x14ac:dyDescent="0.45">
      <c r="A207" s="2">
        <v>25893</v>
      </c>
      <c r="B207" s="7">
        <v>314000</v>
      </c>
      <c r="C207" s="8">
        <v>0</v>
      </c>
    </row>
    <row r="208" spans="1:3" x14ac:dyDescent="0.45">
      <c r="A208" s="2">
        <v>25900</v>
      </c>
      <c r="B208" s="7">
        <v>337000</v>
      </c>
      <c r="C208" s="8">
        <v>7.3248407643312197E-2</v>
      </c>
    </row>
    <row r="209" spans="1:3" x14ac:dyDescent="0.45">
      <c r="A209" s="2">
        <v>25907</v>
      </c>
      <c r="B209" s="7">
        <v>308000</v>
      </c>
      <c r="C209" s="8">
        <v>-8.6053412462907986E-2</v>
      </c>
    </row>
    <row r="210" spans="1:3" x14ac:dyDescent="0.45">
      <c r="A210" s="2">
        <v>25914</v>
      </c>
      <c r="B210" s="7">
        <v>306000</v>
      </c>
      <c r="C210" s="8">
        <v>-6.4935064935064402E-3</v>
      </c>
    </row>
    <row r="211" spans="1:3" x14ac:dyDescent="0.45">
      <c r="A211" s="2">
        <v>25921</v>
      </c>
      <c r="B211" s="7">
        <v>289000</v>
      </c>
      <c r="C211" s="8">
        <v>-5.555555555555558E-2</v>
      </c>
    </row>
    <row r="212" spans="1:3" x14ac:dyDescent="0.45">
      <c r="A212" s="2">
        <v>25928</v>
      </c>
      <c r="B212" s="7">
        <v>321000</v>
      </c>
      <c r="C212" s="8">
        <v>0.11072664359861584</v>
      </c>
    </row>
    <row r="213" spans="1:3" x14ac:dyDescent="0.45">
      <c r="A213" s="2">
        <v>25935</v>
      </c>
      <c r="B213" s="7">
        <v>303000</v>
      </c>
      <c r="C213" s="8">
        <v>-5.6074766355140193E-2</v>
      </c>
    </row>
    <row r="214" spans="1:3" x14ac:dyDescent="0.45">
      <c r="A214" s="2">
        <v>25942</v>
      </c>
      <c r="B214" s="7">
        <v>288000</v>
      </c>
      <c r="C214" s="8">
        <v>-4.9504950495049549E-2</v>
      </c>
    </row>
    <row r="215" spans="1:3" x14ac:dyDescent="0.45">
      <c r="A215" s="2">
        <v>25949</v>
      </c>
      <c r="B215" s="7">
        <v>299000</v>
      </c>
      <c r="C215" s="8">
        <v>3.819444444444442E-2</v>
      </c>
    </row>
    <row r="216" spans="1:3" x14ac:dyDescent="0.45">
      <c r="A216" s="2">
        <v>25956</v>
      </c>
      <c r="B216" s="7">
        <v>312000</v>
      </c>
      <c r="C216" s="8">
        <v>4.3478260869565188E-2</v>
      </c>
    </row>
    <row r="217" spans="1:3" x14ac:dyDescent="0.45">
      <c r="A217" s="2">
        <v>25963</v>
      </c>
      <c r="B217" s="7">
        <v>292000</v>
      </c>
      <c r="C217" s="8">
        <v>-6.4102564102564097E-2</v>
      </c>
    </row>
    <row r="218" spans="1:3" x14ac:dyDescent="0.45">
      <c r="A218" s="2">
        <v>25970</v>
      </c>
      <c r="B218" s="7">
        <v>296000</v>
      </c>
      <c r="C218" s="8">
        <v>1.3698630136986356E-2</v>
      </c>
    </row>
    <row r="219" spans="1:3" x14ac:dyDescent="0.45">
      <c r="A219" s="2">
        <v>25977</v>
      </c>
      <c r="B219" s="7">
        <v>282000</v>
      </c>
      <c r="C219" s="8">
        <v>-4.7297297297297258E-2</v>
      </c>
    </row>
    <row r="220" spans="1:3" x14ac:dyDescent="0.45">
      <c r="A220" s="2">
        <v>25984</v>
      </c>
      <c r="B220" s="7">
        <v>268000</v>
      </c>
      <c r="C220" s="8">
        <v>-4.9645390070921946E-2</v>
      </c>
    </row>
    <row r="221" spans="1:3" x14ac:dyDescent="0.45">
      <c r="A221" s="2">
        <v>25991</v>
      </c>
      <c r="B221" s="7">
        <v>290000</v>
      </c>
      <c r="C221" s="8">
        <v>8.2089552238805874E-2</v>
      </c>
    </row>
    <row r="222" spans="1:3" x14ac:dyDescent="0.45">
      <c r="A222" s="2">
        <v>25998</v>
      </c>
      <c r="B222" s="7">
        <v>297000</v>
      </c>
      <c r="C222" s="8">
        <v>2.4137931034482696E-2</v>
      </c>
    </row>
    <row r="223" spans="1:3" x14ac:dyDescent="0.45">
      <c r="A223" s="2">
        <v>26005</v>
      </c>
      <c r="B223" s="7">
        <v>287000</v>
      </c>
      <c r="C223" s="8">
        <v>-3.3670033670033628E-2</v>
      </c>
    </row>
    <row r="224" spans="1:3" x14ac:dyDescent="0.45">
      <c r="A224" s="2">
        <v>26012</v>
      </c>
      <c r="B224" s="7">
        <v>291000</v>
      </c>
      <c r="C224" s="8">
        <v>1.3937282229965264E-2</v>
      </c>
    </row>
    <row r="225" spans="1:3" x14ac:dyDescent="0.45">
      <c r="A225" s="2">
        <v>26019</v>
      </c>
      <c r="B225" s="7">
        <v>300000</v>
      </c>
      <c r="C225" s="8">
        <v>3.0927835051546282E-2</v>
      </c>
    </row>
    <row r="226" spans="1:3" x14ac:dyDescent="0.45">
      <c r="A226" s="2">
        <v>26026</v>
      </c>
      <c r="B226" s="7">
        <v>299000</v>
      </c>
      <c r="C226" s="8">
        <v>-3.3333333333332993E-3</v>
      </c>
    </row>
    <row r="227" spans="1:3" x14ac:dyDescent="0.45">
      <c r="A227" s="2">
        <v>26033</v>
      </c>
      <c r="B227" s="7">
        <v>279000</v>
      </c>
      <c r="C227" s="8">
        <v>-6.6889632107023367E-2</v>
      </c>
    </row>
    <row r="228" spans="1:3" x14ac:dyDescent="0.45">
      <c r="A228" s="2">
        <v>26040</v>
      </c>
      <c r="B228" s="7">
        <v>284000</v>
      </c>
      <c r="C228" s="8">
        <v>1.7921146953405076E-2</v>
      </c>
    </row>
    <row r="229" spans="1:3" x14ac:dyDescent="0.45">
      <c r="A229" s="2">
        <v>26047</v>
      </c>
      <c r="B229" s="7">
        <v>288000</v>
      </c>
      <c r="C229" s="8">
        <v>1.4084507042253502E-2</v>
      </c>
    </row>
    <row r="230" spans="1:3" x14ac:dyDescent="0.45">
      <c r="A230" s="2">
        <v>26054</v>
      </c>
      <c r="B230" s="7">
        <v>290000</v>
      </c>
      <c r="C230" s="8">
        <v>6.9444444444444198E-3</v>
      </c>
    </row>
    <row r="231" spans="1:3" x14ac:dyDescent="0.45">
      <c r="A231" s="2">
        <v>26061</v>
      </c>
      <c r="B231" s="7">
        <v>293000</v>
      </c>
      <c r="C231" s="8">
        <v>1.0344827586206806E-2</v>
      </c>
    </row>
    <row r="232" spans="1:3" x14ac:dyDescent="0.45">
      <c r="A232" s="2">
        <v>26068</v>
      </c>
      <c r="B232" s="7">
        <v>284000</v>
      </c>
      <c r="C232" s="8">
        <v>-3.0716723549488067E-2</v>
      </c>
    </row>
    <row r="233" spans="1:3" x14ac:dyDescent="0.45">
      <c r="A233" s="2">
        <v>26075</v>
      </c>
      <c r="B233" s="7">
        <v>295000</v>
      </c>
      <c r="C233" s="8">
        <v>3.8732394366197243E-2</v>
      </c>
    </row>
    <row r="234" spans="1:3" x14ac:dyDescent="0.45">
      <c r="A234" s="2">
        <v>26082</v>
      </c>
      <c r="B234" s="7">
        <v>299000</v>
      </c>
      <c r="C234" s="8">
        <v>1.3559322033898313E-2</v>
      </c>
    </row>
    <row r="235" spans="1:3" x14ac:dyDescent="0.45">
      <c r="A235" s="2">
        <v>26089</v>
      </c>
      <c r="B235" s="7">
        <v>301000</v>
      </c>
      <c r="C235" s="8">
        <v>6.6889632107023367E-3</v>
      </c>
    </row>
    <row r="236" spans="1:3" x14ac:dyDescent="0.45">
      <c r="A236" s="2">
        <v>26096</v>
      </c>
      <c r="B236" s="7">
        <v>295000</v>
      </c>
      <c r="C236" s="8">
        <v>-1.9933554817275767E-2</v>
      </c>
    </row>
    <row r="237" spans="1:3" x14ac:dyDescent="0.45">
      <c r="A237" s="2">
        <v>26103</v>
      </c>
      <c r="B237" s="7">
        <v>299000</v>
      </c>
      <c r="C237" s="8">
        <v>1.3559322033898313E-2</v>
      </c>
    </row>
    <row r="238" spans="1:3" x14ac:dyDescent="0.45">
      <c r="A238" s="2">
        <v>26110</v>
      </c>
      <c r="B238" s="7">
        <v>291000</v>
      </c>
      <c r="C238" s="8">
        <v>-2.6755852842809347E-2</v>
      </c>
    </row>
    <row r="239" spans="1:3" x14ac:dyDescent="0.45">
      <c r="A239" s="2">
        <v>26117</v>
      </c>
      <c r="B239" s="7">
        <v>277000</v>
      </c>
      <c r="C239" s="8">
        <v>-4.8109965635738883E-2</v>
      </c>
    </row>
    <row r="240" spans="1:3" x14ac:dyDescent="0.45">
      <c r="A240" s="2">
        <v>26124</v>
      </c>
      <c r="B240" s="7">
        <v>264000</v>
      </c>
      <c r="C240" s="8">
        <v>-4.6931407942238268E-2</v>
      </c>
    </row>
    <row r="241" spans="1:3" x14ac:dyDescent="0.45">
      <c r="A241" s="2">
        <v>26131</v>
      </c>
      <c r="B241" s="7">
        <v>313000</v>
      </c>
      <c r="C241" s="8">
        <v>0.18560606060606055</v>
      </c>
    </row>
    <row r="242" spans="1:3" x14ac:dyDescent="0.45">
      <c r="A242" s="2">
        <v>26138</v>
      </c>
      <c r="B242" s="7">
        <v>304000</v>
      </c>
      <c r="C242" s="8">
        <v>-2.8753993610223683E-2</v>
      </c>
    </row>
    <row r="243" spans="1:3" x14ac:dyDescent="0.45">
      <c r="A243" s="2">
        <v>26145</v>
      </c>
      <c r="B243" s="7">
        <v>308000</v>
      </c>
      <c r="C243" s="8">
        <v>1.3157894736842035E-2</v>
      </c>
    </row>
    <row r="244" spans="1:3" x14ac:dyDescent="0.45">
      <c r="A244" s="2">
        <v>26152</v>
      </c>
      <c r="B244" s="7">
        <v>349000</v>
      </c>
      <c r="C244" s="8">
        <v>0.13311688311688319</v>
      </c>
    </row>
    <row r="245" spans="1:3" x14ac:dyDescent="0.45">
      <c r="A245" s="2">
        <v>26159</v>
      </c>
      <c r="B245" s="7">
        <v>325000</v>
      </c>
      <c r="C245" s="8">
        <v>-6.8767908309455561E-2</v>
      </c>
    </row>
    <row r="246" spans="1:3" x14ac:dyDescent="0.45">
      <c r="A246" s="2">
        <v>26166</v>
      </c>
      <c r="B246" s="7">
        <v>320000</v>
      </c>
      <c r="C246" s="8">
        <v>-1.538461538461533E-2</v>
      </c>
    </row>
    <row r="247" spans="1:3" x14ac:dyDescent="0.45">
      <c r="A247" s="2">
        <v>26173</v>
      </c>
      <c r="B247" s="7">
        <v>307000</v>
      </c>
      <c r="C247" s="8">
        <v>-4.0625000000000022E-2</v>
      </c>
    </row>
    <row r="248" spans="1:3" x14ac:dyDescent="0.45">
      <c r="A248" s="2">
        <v>26180</v>
      </c>
      <c r="B248" s="7">
        <v>359000</v>
      </c>
      <c r="C248" s="8">
        <v>0.16938110749185675</v>
      </c>
    </row>
    <row r="249" spans="1:3" x14ac:dyDescent="0.45">
      <c r="A249" s="2">
        <v>26187</v>
      </c>
      <c r="B249" s="7">
        <v>312000</v>
      </c>
      <c r="C249" s="8">
        <v>-0.13091922005571033</v>
      </c>
    </row>
    <row r="250" spans="1:3" x14ac:dyDescent="0.45">
      <c r="A250" s="2">
        <v>26194</v>
      </c>
      <c r="B250" s="7">
        <v>302000</v>
      </c>
      <c r="C250" s="8">
        <v>-3.2051282051282048E-2</v>
      </c>
    </row>
    <row r="251" spans="1:3" x14ac:dyDescent="0.45">
      <c r="A251" s="2">
        <v>26201</v>
      </c>
      <c r="B251" s="7">
        <v>308000</v>
      </c>
      <c r="C251" s="8">
        <v>1.9867549668874274E-2</v>
      </c>
    </row>
    <row r="252" spans="1:3" x14ac:dyDescent="0.45">
      <c r="A252" s="2">
        <v>26208</v>
      </c>
      <c r="B252" s="7">
        <v>299000</v>
      </c>
      <c r="C252" s="8">
        <v>-2.9220779220779258E-2</v>
      </c>
    </row>
    <row r="253" spans="1:3" x14ac:dyDescent="0.45">
      <c r="A253" s="2">
        <v>26215</v>
      </c>
      <c r="B253" s="7">
        <v>313000</v>
      </c>
      <c r="C253" s="8">
        <v>4.6822742474916357E-2</v>
      </c>
    </row>
    <row r="254" spans="1:3" x14ac:dyDescent="0.45">
      <c r="A254" s="2">
        <v>26222</v>
      </c>
      <c r="B254" s="7">
        <v>299000</v>
      </c>
      <c r="C254" s="8">
        <v>-4.4728434504792358E-2</v>
      </c>
    </row>
    <row r="255" spans="1:3" x14ac:dyDescent="0.45">
      <c r="A255" s="2">
        <v>26229</v>
      </c>
      <c r="B255" s="7">
        <v>294000</v>
      </c>
      <c r="C255" s="8">
        <v>-1.6722408026755842E-2</v>
      </c>
    </row>
    <row r="256" spans="1:3" x14ac:dyDescent="0.45">
      <c r="A256" s="2">
        <v>26236</v>
      </c>
      <c r="B256" s="7">
        <v>283000</v>
      </c>
      <c r="C256" s="8">
        <v>-3.7414965986394599E-2</v>
      </c>
    </row>
    <row r="257" spans="1:3" x14ac:dyDescent="0.45">
      <c r="A257" s="2">
        <v>26243</v>
      </c>
      <c r="B257" s="7">
        <v>301000</v>
      </c>
      <c r="C257" s="8">
        <v>6.360424028268552E-2</v>
      </c>
    </row>
    <row r="258" spans="1:3" x14ac:dyDescent="0.45">
      <c r="A258" s="2">
        <v>26250</v>
      </c>
      <c r="B258" s="7">
        <v>295000</v>
      </c>
      <c r="C258" s="8">
        <v>-1.9933554817275767E-2</v>
      </c>
    </row>
    <row r="259" spans="1:3" x14ac:dyDescent="0.45">
      <c r="A259" s="2">
        <v>26257</v>
      </c>
      <c r="B259" s="7">
        <v>274000</v>
      </c>
      <c r="C259" s="8">
        <v>-7.118644067796609E-2</v>
      </c>
    </row>
    <row r="260" spans="1:3" x14ac:dyDescent="0.45">
      <c r="A260" s="2">
        <v>26264</v>
      </c>
      <c r="B260" s="7">
        <v>278000</v>
      </c>
      <c r="C260" s="8">
        <v>1.4598540145985384E-2</v>
      </c>
    </row>
    <row r="261" spans="1:3" x14ac:dyDescent="0.45">
      <c r="A261" s="2">
        <v>26271</v>
      </c>
      <c r="B261" s="7">
        <v>299000</v>
      </c>
      <c r="C261" s="8">
        <v>7.5539568345323715E-2</v>
      </c>
    </row>
    <row r="262" spans="1:3" x14ac:dyDescent="0.45">
      <c r="A262" s="2">
        <v>26278</v>
      </c>
      <c r="B262" s="7">
        <v>280000</v>
      </c>
      <c r="C262" s="8">
        <v>-6.3545150501672198E-2</v>
      </c>
    </row>
    <row r="263" spans="1:3" x14ac:dyDescent="0.45">
      <c r="A263" s="2">
        <v>26285</v>
      </c>
      <c r="B263" s="7">
        <v>269000</v>
      </c>
      <c r="C263" s="8">
        <v>-3.9285714285714257E-2</v>
      </c>
    </row>
    <row r="264" spans="1:3" x14ac:dyDescent="0.45">
      <c r="A264" s="2">
        <v>26292</v>
      </c>
      <c r="B264" s="7">
        <v>244000</v>
      </c>
      <c r="C264" s="8">
        <v>-9.2936802973977661E-2</v>
      </c>
    </row>
    <row r="265" spans="1:3" x14ac:dyDescent="0.45">
      <c r="A265" s="2">
        <v>26299</v>
      </c>
      <c r="B265" s="7">
        <v>279000</v>
      </c>
      <c r="C265" s="8">
        <v>0.14344262295081966</v>
      </c>
    </row>
    <row r="266" spans="1:3" x14ac:dyDescent="0.45">
      <c r="A266" s="2">
        <v>26306</v>
      </c>
      <c r="B266" s="7">
        <v>295000</v>
      </c>
      <c r="C266" s="8">
        <v>5.7347670250896154E-2</v>
      </c>
    </row>
    <row r="267" spans="1:3" x14ac:dyDescent="0.45">
      <c r="A267" s="2">
        <v>26313</v>
      </c>
      <c r="B267" s="7">
        <v>250000</v>
      </c>
      <c r="C267" s="8">
        <v>-0.15254237288135597</v>
      </c>
    </row>
    <row r="268" spans="1:3" x14ac:dyDescent="0.45">
      <c r="A268" s="2">
        <v>26320</v>
      </c>
      <c r="B268" s="7">
        <v>263000</v>
      </c>
      <c r="C268" s="8">
        <v>5.2000000000000046E-2</v>
      </c>
    </row>
    <row r="269" spans="1:3" x14ac:dyDescent="0.45">
      <c r="A269" s="2">
        <v>26327</v>
      </c>
      <c r="B269" s="7">
        <v>269000</v>
      </c>
      <c r="C269" s="8">
        <v>2.281368821292773E-2</v>
      </c>
    </row>
    <row r="270" spans="1:3" x14ac:dyDescent="0.45">
      <c r="A270" s="2">
        <v>26334</v>
      </c>
      <c r="B270" s="7">
        <v>276000</v>
      </c>
      <c r="C270" s="8">
        <v>2.6022304832713727E-2</v>
      </c>
    </row>
    <row r="271" spans="1:3" x14ac:dyDescent="0.45">
      <c r="A271" s="2">
        <v>26341</v>
      </c>
      <c r="B271" s="7">
        <v>266000</v>
      </c>
      <c r="C271" s="8">
        <v>-3.6231884057971064E-2</v>
      </c>
    </row>
    <row r="272" spans="1:3" x14ac:dyDescent="0.45">
      <c r="A272" s="2">
        <v>26348</v>
      </c>
      <c r="B272" s="7">
        <v>258000</v>
      </c>
      <c r="C272" s="8">
        <v>-3.007518796992481E-2</v>
      </c>
    </row>
    <row r="273" spans="1:3" x14ac:dyDescent="0.45">
      <c r="A273" s="2">
        <v>26355</v>
      </c>
      <c r="B273" s="7">
        <v>254000</v>
      </c>
      <c r="C273" s="8">
        <v>-1.5503875968992276E-2</v>
      </c>
    </row>
    <row r="274" spans="1:3" x14ac:dyDescent="0.45">
      <c r="A274" s="2">
        <v>26362</v>
      </c>
      <c r="B274" s="7">
        <v>257000</v>
      </c>
      <c r="C274" s="8">
        <v>1.1811023622047223E-2</v>
      </c>
    </row>
    <row r="275" spans="1:3" x14ac:dyDescent="0.45">
      <c r="A275" s="2">
        <v>26369</v>
      </c>
      <c r="B275" s="7">
        <v>264000</v>
      </c>
      <c r="C275" s="8">
        <v>2.7237354085603016E-2</v>
      </c>
    </row>
    <row r="276" spans="1:3" x14ac:dyDescent="0.45">
      <c r="A276" s="2">
        <v>26376</v>
      </c>
      <c r="B276" s="7">
        <v>266000</v>
      </c>
      <c r="C276" s="8">
        <v>7.575757575757569E-3</v>
      </c>
    </row>
    <row r="277" spans="1:3" x14ac:dyDescent="0.45">
      <c r="A277" s="2">
        <v>26383</v>
      </c>
      <c r="B277" s="7">
        <v>264000</v>
      </c>
      <c r="C277" s="8">
        <v>-7.5187969924812581E-3</v>
      </c>
    </row>
    <row r="278" spans="1:3" x14ac:dyDescent="0.45">
      <c r="A278" s="2">
        <v>26390</v>
      </c>
      <c r="B278" s="7">
        <v>258000</v>
      </c>
      <c r="C278" s="8">
        <v>-2.2727272727272707E-2</v>
      </c>
    </row>
    <row r="279" spans="1:3" x14ac:dyDescent="0.45">
      <c r="A279" s="2">
        <v>26397</v>
      </c>
      <c r="B279" s="7">
        <v>274000</v>
      </c>
      <c r="C279" s="8">
        <v>6.2015503875969102E-2</v>
      </c>
    </row>
    <row r="280" spans="1:3" x14ac:dyDescent="0.45">
      <c r="A280" s="2">
        <v>26404</v>
      </c>
      <c r="B280" s="7">
        <v>259000</v>
      </c>
      <c r="C280" s="8">
        <v>-5.4744525547445244E-2</v>
      </c>
    </row>
    <row r="281" spans="1:3" x14ac:dyDescent="0.45">
      <c r="A281" s="2">
        <v>26411</v>
      </c>
      <c r="B281" s="7">
        <v>259000</v>
      </c>
      <c r="C281" s="8">
        <v>0</v>
      </c>
    </row>
    <row r="282" spans="1:3" x14ac:dyDescent="0.45">
      <c r="A282" s="2">
        <v>26418</v>
      </c>
      <c r="B282" s="7">
        <v>265000</v>
      </c>
      <c r="C282" s="8">
        <v>2.316602316602312E-2</v>
      </c>
    </row>
    <row r="283" spans="1:3" x14ac:dyDescent="0.45">
      <c r="A283" s="2">
        <v>26425</v>
      </c>
      <c r="B283" s="7">
        <v>271000</v>
      </c>
      <c r="C283" s="8">
        <v>2.2641509433962259E-2</v>
      </c>
    </row>
    <row r="284" spans="1:3" x14ac:dyDescent="0.45">
      <c r="A284" s="2">
        <v>26432</v>
      </c>
      <c r="B284" s="7">
        <v>266000</v>
      </c>
      <c r="C284" s="8">
        <v>-1.8450184501844991E-2</v>
      </c>
    </row>
    <row r="285" spans="1:3" x14ac:dyDescent="0.45">
      <c r="A285" s="2">
        <v>26439</v>
      </c>
      <c r="B285" s="7">
        <v>267000</v>
      </c>
      <c r="C285" s="8">
        <v>3.759398496240518E-3</v>
      </c>
    </row>
    <row r="286" spans="1:3" x14ac:dyDescent="0.45">
      <c r="A286" s="2">
        <v>26446</v>
      </c>
      <c r="B286" s="7">
        <v>267000</v>
      </c>
      <c r="C286" s="8">
        <v>0</v>
      </c>
    </row>
    <row r="287" spans="1:3" x14ac:dyDescent="0.45">
      <c r="A287" s="2">
        <v>26453</v>
      </c>
      <c r="B287" s="7">
        <v>264000</v>
      </c>
      <c r="C287" s="8">
        <v>-1.1235955056179803E-2</v>
      </c>
    </row>
    <row r="288" spans="1:3" x14ac:dyDescent="0.45">
      <c r="A288" s="2">
        <v>26460</v>
      </c>
      <c r="B288" s="7">
        <v>268000</v>
      </c>
      <c r="C288" s="8">
        <v>1.5151515151515138E-2</v>
      </c>
    </row>
    <row r="289" spans="1:3" x14ac:dyDescent="0.45">
      <c r="A289" s="2">
        <v>26467</v>
      </c>
      <c r="B289" s="7">
        <v>275000</v>
      </c>
      <c r="C289" s="8">
        <v>2.6119402985074647E-2</v>
      </c>
    </row>
    <row r="290" spans="1:3" x14ac:dyDescent="0.45">
      <c r="A290" s="2">
        <v>26474</v>
      </c>
      <c r="B290" s="7">
        <v>286000</v>
      </c>
      <c r="C290" s="8">
        <v>4.0000000000000036E-2</v>
      </c>
    </row>
    <row r="291" spans="1:3" x14ac:dyDescent="0.45">
      <c r="A291" s="2">
        <v>26481</v>
      </c>
      <c r="B291" s="7">
        <v>350000</v>
      </c>
      <c r="C291" s="8">
        <v>0.22377622377622375</v>
      </c>
    </row>
    <row r="292" spans="1:3" x14ac:dyDescent="0.45">
      <c r="A292" s="2">
        <v>26488</v>
      </c>
      <c r="B292" s="7">
        <v>297000</v>
      </c>
      <c r="C292" s="8">
        <v>-0.15142857142857147</v>
      </c>
    </row>
    <row r="293" spans="1:3" x14ac:dyDescent="0.45">
      <c r="A293" s="2">
        <v>26495</v>
      </c>
      <c r="B293" s="7">
        <v>318000</v>
      </c>
      <c r="C293" s="8">
        <v>7.0707070707070718E-2</v>
      </c>
    </row>
    <row r="294" spans="1:3" x14ac:dyDescent="0.45">
      <c r="A294" s="2">
        <v>26502</v>
      </c>
      <c r="B294" s="7">
        <v>276000</v>
      </c>
      <c r="C294" s="8">
        <v>-0.13207547169811318</v>
      </c>
    </row>
    <row r="295" spans="1:3" x14ac:dyDescent="0.45">
      <c r="A295" s="2">
        <v>26509</v>
      </c>
      <c r="B295" s="7">
        <v>247000</v>
      </c>
      <c r="C295" s="8">
        <v>-0.10507246376811596</v>
      </c>
    </row>
    <row r="296" spans="1:3" x14ac:dyDescent="0.45">
      <c r="A296" s="2">
        <v>26516</v>
      </c>
      <c r="B296" s="7">
        <v>250000</v>
      </c>
      <c r="C296" s="8">
        <v>1.2145748987854255E-2</v>
      </c>
    </row>
    <row r="297" spans="1:3" x14ac:dyDescent="0.45">
      <c r="A297" s="2">
        <v>26523</v>
      </c>
      <c r="B297" s="7">
        <v>246000</v>
      </c>
      <c r="C297" s="8">
        <v>-1.6000000000000014E-2</v>
      </c>
    </row>
    <row r="298" spans="1:3" x14ac:dyDescent="0.45">
      <c r="A298" s="2">
        <v>26530</v>
      </c>
      <c r="B298" s="7">
        <v>256000</v>
      </c>
      <c r="C298" s="8">
        <v>4.0650406504065151E-2</v>
      </c>
    </row>
    <row r="299" spans="1:3" x14ac:dyDescent="0.45">
      <c r="A299" s="2">
        <v>26537</v>
      </c>
      <c r="B299" s="7">
        <v>262000</v>
      </c>
      <c r="C299" s="8">
        <v>2.34375E-2</v>
      </c>
    </row>
    <row r="300" spans="1:3" x14ac:dyDescent="0.45">
      <c r="A300" s="2">
        <v>26544</v>
      </c>
      <c r="B300" s="7">
        <v>258000</v>
      </c>
      <c r="C300" s="8">
        <v>-1.5267175572519109E-2</v>
      </c>
    </row>
    <row r="301" spans="1:3" x14ac:dyDescent="0.45">
      <c r="A301" s="2">
        <v>26551</v>
      </c>
      <c r="B301" s="7">
        <v>259000</v>
      </c>
      <c r="C301" s="8">
        <v>3.8759689922480689E-3</v>
      </c>
    </row>
    <row r="302" spans="1:3" x14ac:dyDescent="0.45">
      <c r="A302" s="2">
        <v>26558</v>
      </c>
      <c r="B302" s="7">
        <v>258000</v>
      </c>
      <c r="C302" s="8">
        <v>-3.8610038610038533E-3</v>
      </c>
    </row>
    <row r="303" spans="1:3" x14ac:dyDescent="0.45">
      <c r="A303" s="2">
        <v>26565</v>
      </c>
      <c r="B303" s="7">
        <v>255000</v>
      </c>
      <c r="C303" s="8">
        <v>-1.1627906976744207E-2</v>
      </c>
    </row>
    <row r="304" spans="1:3" x14ac:dyDescent="0.45">
      <c r="A304" s="2">
        <v>26572</v>
      </c>
      <c r="B304" s="7">
        <v>251000</v>
      </c>
      <c r="C304" s="8">
        <v>-1.5686274509803977E-2</v>
      </c>
    </row>
    <row r="305" spans="1:3" x14ac:dyDescent="0.45">
      <c r="A305" s="2">
        <v>26579</v>
      </c>
      <c r="B305" s="7">
        <v>263000</v>
      </c>
      <c r="C305" s="8">
        <v>4.7808764940239001E-2</v>
      </c>
    </row>
    <row r="306" spans="1:3" x14ac:dyDescent="0.45">
      <c r="A306" s="2">
        <v>26586</v>
      </c>
      <c r="B306" s="7">
        <v>250000</v>
      </c>
      <c r="C306" s="8">
        <v>-4.9429657794676785E-2</v>
      </c>
    </row>
    <row r="307" spans="1:3" x14ac:dyDescent="0.45">
      <c r="A307" s="2">
        <v>26593</v>
      </c>
      <c r="B307" s="7">
        <v>257000</v>
      </c>
      <c r="C307" s="8">
        <v>2.8000000000000025E-2</v>
      </c>
    </row>
    <row r="308" spans="1:3" x14ac:dyDescent="0.45">
      <c r="A308" s="2">
        <v>26600</v>
      </c>
      <c r="B308" s="7">
        <v>234000</v>
      </c>
      <c r="C308" s="8">
        <v>-8.9494163424124529E-2</v>
      </c>
    </row>
    <row r="309" spans="1:3" x14ac:dyDescent="0.45">
      <c r="A309" s="2">
        <v>26607</v>
      </c>
      <c r="B309" s="7">
        <v>255000</v>
      </c>
      <c r="C309" s="8">
        <v>8.9743589743589647E-2</v>
      </c>
    </row>
    <row r="310" spans="1:3" x14ac:dyDescent="0.45">
      <c r="A310" s="2">
        <v>26614</v>
      </c>
      <c r="B310" s="7">
        <v>242000</v>
      </c>
      <c r="C310" s="8">
        <v>-5.0980392156862786E-2</v>
      </c>
    </row>
    <row r="311" spans="1:3" x14ac:dyDescent="0.45">
      <c r="A311" s="2">
        <v>26621</v>
      </c>
      <c r="B311" s="7">
        <v>271000</v>
      </c>
      <c r="C311" s="8">
        <v>0.11983471074380159</v>
      </c>
    </row>
    <row r="312" spans="1:3" x14ac:dyDescent="0.45">
      <c r="A312" s="2">
        <v>26628</v>
      </c>
      <c r="B312" s="7">
        <v>235000</v>
      </c>
      <c r="C312" s="8">
        <v>-0.13284132841328411</v>
      </c>
    </row>
    <row r="313" spans="1:3" x14ac:dyDescent="0.45">
      <c r="A313" s="2">
        <v>26635</v>
      </c>
      <c r="B313" s="7">
        <v>226000</v>
      </c>
      <c r="C313" s="8">
        <v>-3.8297872340425587E-2</v>
      </c>
    </row>
    <row r="314" spans="1:3" x14ac:dyDescent="0.45">
      <c r="A314" s="2">
        <v>26642</v>
      </c>
      <c r="B314" s="7">
        <v>252000</v>
      </c>
      <c r="C314" s="8">
        <v>0.11504424778761058</v>
      </c>
    </row>
    <row r="315" spans="1:3" x14ac:dyDescent="0.45">
      <c r="A315" s="2">
        <v>26649</v>
      </c>
      <c r="B315" s="7">
        <v>263000</v>
      </c>
      <c r="C315" s="8">
        <v>4.3650793650793718E-2</v>
      </c>
    </row>
    <row r="316" spans="1:3" x14ac:dyDescent="0.45">
      <c r="A316" s="2">
        <v>26656</v>
      </c>
      <c r="B316" s="7">
        <v>246000</v>
      </c>
      <c r="C316" s="8">
        <v>-6.4638783269961975E-2</v>
      </c>
    </row>
    <row r="317" spans="1:3" x14ac:dyDescent="0.45">
      <c r="A317" s="2">
        <v>26663</v>
      </c>
      <c r="B317" s="7">
        <v>225000</v>
      </c>
      <c r="C317" s="8">
        <v>-8.536585365853655E-2</v>
      </c>
    </row>
    <row r="318" spans="1:3" x14ac:dyDescent="0.45">
      <c r="A318" s="2">
        <v>26670</v>
      </c>
      <c r="B318" s="7">
        <v>226000</v>
      </c>
      <c r="C318" s="8">
        <v>4.4444444444444731E-3</v>
      </c>
    </row>
    <row r="319" spans="1:3" x14ac:dyDescent="0.45">
      <c r="A319" s="2">
        <v>26677</v>
      </c>
      <c r="B319" s="7">
        <v>245000</v>
      </c>
      <c r="C319" s="8">
        <v>8.4070796460177011E-2</v>
      </c>
    </row>
    <row r="320" spans="1:3" x14ac:dyDescent="0.45">
      <c r="A320" s="2">
        <v>26684</v>
      </c>
      <c r="B320" s="7">
        <v>229000</v>
      </c>
      <c r="C320" s="8">
        <v>-6.5306122448979598E-2</v>
      </c>
    </row>
    <row r="321" spans="1:3" x14ac:dyDescent="0.45">
      <c r="A321" s="2">
        <v>26691</v>
      </c>
      <c r="B321" s="7">
        <v>214000</v>
      </c>
      <c r="C321" s="8">
        <v>-6.5502183406113579E-2</v>
      </c>
    </row>
    <row r="322" spans="1:3" x14ac:dyDescent="0.45">
      <c r="A322" s="2">
        <v>26698</v>
      </c>
      <c r="B322" s="7">
        <v>228000</v>
      </c>
      <c r="C322" s="8">
        <v>6.5420560747663448E-2</v>
      </c>
    </row>
    <row r="323" spans="1:3" x14ac:dyDescent="0.45">
      <c r="A323" s="2">
        <v>26705</v>
      </c>
      <c r="B323" s="7">
        <v>226000</v>
      </c>
      <c r="C323" s="8">
        <v>-8.7719298245614308E-3</v>
      </c>
    </row>
    <row r="324" spans="1:3" x14ac:dyDescent="0.45">
      <c r="A324" s="2">
        <v>26712</v>
      </c>
      <c r="B324" s="7">
        <v>216000</v>
      </c>
      <c r="C324" s="8">
        <v>-4.4247787610619427E-2</v>
      </c>
    </row>
    <row r="325" spans="1:3" x14ac:dyDescent="0.45">
      <c r="A325" s="2">
        <v>26719</v>
      </c>
      <c r="B325" s="7">
        <v>218000</v>
      </c>
      <c r="C325" s="8">
        <v>9.2592592592593004E-3</v>
      </c>
    </row>
    <row r="326" spans="1:3" x14ac:dyDescent="0.45">
      <c r="A326" s="2">
        <v>26726</v>
      </c>
      <c r="B326" s="7">
        <v>225000</v>
      </c>
      <c r="C326" s="8">
        <v>3.2110091743119185E-2</v>
      </c>
    </row>
    <row r="327" spans="1:3" x14ac:dyDescent="0.45">
      <c r="A327" s="2">
        <v>26733</v>
      </c>
      <c r="B327" s="7">
        <v>229000</v>
      </c>
      <c r="C327" s="8">
        <v>1.777777777777767E-2</v>
      </c>
    </row>
    <row r="328" spans="1:3" x14ac:dyDescent="0.45">
      <c r="A328" s="2">
        <v>26740</v>
      </c>
      <c r="B328" s="7">
        <v>228000</v>
      </c>
      <c r="C328" s="8">
        <v>-4.366812227074246E-3</v>
      </c>
    </row>
    <row r="329" spans="1:3" x14ac:dyDescent="0.45">
      <c r="A329" s="2">
        <v>26747</v>
      </c>
      <c r="B329" s="7">
        <v>232000</v>
      </c>
      <c r="C329" s="8">
        <v>1.7543859649122862E-2</v>
      </c>
    </row>
    <row r="330" spans="1:3" x14ac:dyDescent="0.45">
      <c r="A330" s="2">
        <v>26754</v>
      </c>
      <c r="B330" s="7">
        <v>222000</v>
      </c>
      <c r="C330" s="8">
        <v>-4.31034482758621E-2</v>
      </c>
    </row>
    <row r="331" spans="1:3" x14ac:dyDescent="0.45">
      <c r="A331" s="2">
        <v>26761</v>
      </c>
      <c r="B331" s="7">
        <v>247000</v>
      </c>
      <c r="C331" s="8">
        <v>0.11261261261261257</v>
      </c>
    </row>
    <row r="332" spans="1:3" x14ac:dyDescent="0.45">
      <c r="A332" s="2">
        <v>26768</v>
      </c>
      <c r="B332" s="7">
        <v>230000</v>
      </c>
      <c r="C332" s="8">
        <v>-6.8825910931174072E-2</v>
      </c>
    </row>
    <row r="333" spans="1:3" x14ac:dyDescent="0.45">
      <c r="A333" s="2">
        <v>26775</v>
      </c>
      <c r="B333" s="7">
        <v>243000</v>
      </c>
      <c r="C333" s="8">
        <v>5.6521739130434678E-2</v>
      </c>
    </row>
    <row r="334" spans="1:3" x14ac:dyDescent="0.45">
      <c r="A334" s="2">
        <v>26782</v>
      </c>
      <c r="B334" s="7">
        <v>236000</v>
      </c>
      <c r="C334" s="8">
        <v>-2.8806584362139898E-2</v>
      </c>
    </row>
    <row r="335" spans="1:3" x14ac:dyDescent="0.45">
      <c r="A335" s="2">
        <v>26789</v>
      </c>
      <c r="B335" s="7">
        <v>248000</v>
      </c>
      <c r="C335" s="8">
        <v>5.0847457627118731E-2</v>
      </c>
    </row>
    <row r="336" spans="1:3" x14ac:dyDescent="0.45">
      <c r="A336" s="2">
        <v>26796</v>
      </c>
      <c r="B336" s="7">
        <v>238000</v>
      </c>
      <c r="C336" s="8">
        <v>-4.0322580645161255E-2</v>
      </c>
    </row>
    <row r="337" spans="1:3" x14ac:dyDescent="0.45">
      <c r="A337" s="2">
        <v>26803</v>
      </c>
      <c r="B337" s="7">
        <v>237000</v>
      </c>
      <c r="C337" s="8">
        <v>-4.2016806722688926E-3</v>
      </c>
    </row>
    <row r="338" spans="1:3" x14ac:dyDescent="0.45">
      <c r="A338" s="2">
        <v>26810</v>
      </c>
      <c r="B338" s="7">
        <v>238000</v>
      </c>
      <c r="C338" s="8">
        <v>4.2194092827003704E-3</v>
      </c>
    </row>
    <row r="339" spans="1:3" x14ac:dyDescent="0.45">
      <c r="A339" s="2">
        <v>26817</v>
      </c>
      <c r="B339" s="7">
        <v>232000</v>
      </c>
      <c r="C339" s="8">
        <v>-2.5210084033613467E-2</v>
      </c>
    </row>
    <row r="340" spans="1:3" x14ac:dyDescent="0.45">
      <c r="A340" s="2">
        <v>26824</v>
      </c>
      <c r="B340" s="7">
        <v>246000</v>
      </c>
      <c r="C340" s="8">
        <v>6.0344827586206851E-2</v>
      </c>
    </row>
    <row r="341" spans="1:3" x14ac:dyDescent="0.45">
      <c r="A341" s="2">
        <v>26831</v>
      </c>
      <c r="B341" s="7">
        <v>237000</v>
      </c>
      <c r="C341" s="8">
        <v>-3.6585365853658569E-2</v>
      </c>
    </row>
    <row r="342" spans="1:3" x14ac:dyDescent="0.45">
      <c r="A342" s="2">
        <v>26838</v>
      </c>
      <c r="B342" s="7">
        <v>242000</v>
      </c>
      <c r="C342" s="8">
        <v>2.1097046413502074E-2</v>
      </c>
    </row>
    <row r="343" spans="1:3" x14ac:dyDescent="0.45">
      <c r="A343" s="2">
        <v>26845</v>
      </c>
      <c r="B343" s="7">
        <v>237000</v>
      </c>
      <c r="C343" s="8">
        <v>-2.0661157024793431E-2</v>
      </c>
    </row>
    <row r="344" spans="1:3" x14ac:dyDescent="0.45">
      <c r="A344" s="2">
        <v>26852</v>
      </c>
      <c r="B344" s="7">
        <v>248000</v>
      </c>
      <c r="C344" s="8">
        <v>4.6413502109704741E-2</v>
      </c>
    </row>
    <row r="345" spans="1:3" x14ac:dyDescent="0.45">
      <c r="A345" s="2">
        <v>26859</v>
      </c>
      <c r="B345" s="7">
        <v>232000</v>
      </c>
      <c r="C345" s="8">
        <v>-6.4516129032258118E-2</v>
      </c>
    </row>
    <row r="346" spans="1:3" x14ac:dyDescent="0.45">
      <c r="A346" s="2">
        <v>26866</v>
      </c>
      <c r="B346" s="7">
        <v>241000</v>
      </c>
      <c r="C346" s="8">
        <v>3.8793103448275801E-2</v>
      </c>
    </row>
    <row r="347" spans="1:3" x14ac:dyDescent="0.45">
      <c r="A347" s="2">
        <v>26873</v>
      </c>
      <c r="B347" s="7">
        <v>250000</v>
      </c>
      <c r="C347" s="8">
        <v>3.7344398340249052E-2</v>
      </c>
    </row>
    <row r="348" spans="1:3" x14ac:dyDescent="0.45">
      <c r="A348" s="2">
        <v>26880</v>
      </c>
      <c r="B348" s="7">
        <v>256000</v>
      </c>
      <c r="C348" s="8">
        <v>2.4000000000000021E-2</v>
      </c>
    </row>
    <row r="349" spans="1:3" x14ac:dyDescent="0.45">
      <c r="A349" s="2">
        <v>26887</v>
      </c>
      <c r="B349" s="7">
        <v>265000</v>
      </c>
      <c r="C349" s="8">
        <v>3.515625E-2</v>
      </c>
    </row>
    <row r="350" spans="1:3" x14ac:dyDescent="0.45">
      <c r="A350" s="2">
        <v>26894</v>
      </c>
      <c r="B350" s="7">
        <v>258000</v>
      </c>
      <c r="C350" s="8">
        <v>-2.6415094339622636E-2</v>
      </c>
    </row>
    <row r="351" spans="1:3" x14ac:dyDescent="0.45">
      <c r="A351" s="2">
        <v>26901</v>
      </c>
      <c r="B351" s="7">
        <v>254000</v>
      </c>
      <c r="C351" s="8">
        <v>-1.5503875968992276E-2</v>
      </c>
    </row>
    <row r="352" spans="1:3" x14ac:dyDescent="0.45">
      <c r="A352" s="2">
        <v>26908</v>
      </c>
      <c r="B352" s="7">
        <v>242000</v>
      </c>
      <c r="C352" s="8">
        <v>-4.7244094488189003E-2</v>
      </c>
    </row>
    <row r="353" spans="1:3" x14ac:dyDescent="0.45">
      <c r="A353" s="2">
        <v>26915</v>
      </c>
      <c r="B353" s="7">
        <v>252000</v>
      </c>
      <c r="C353" s="8">
        <v>4.1322314049586861E-2</v>
      </c>
    </row>
    <row r="354" spans="1:3" x14ac:dyDescent="0.45">
      <c r="A354" s="2">
        <v>26922</v>
      </c>
      <c r="B354" s="7">
        <v>245000</v>
      </c>
      <c r="C354" s="8">
        <v>-2.777777777777779E-2</v>
      </c>
    </row>
    <row r="355" spans="1:3" x14ac:dyDescent="0.45">
      <c r="A355" s="2">
        <v>26929</v>
      </c>
      <c r="B355" s="7">
        <v>246000</v>
      </c>
      <c r="C355" s="8">
        <v>4.0816326530612734E-3</v>
      </c>
    </row>
    <row r="356" spans="1:3" x14ac:dyDescent="0.45">
      <c r="A356" s="2">
        <v>26936</v>
      </c>
      <c r="B356" s="7">
        <v>249000</v>
      </c>
      <c r="C356" s="8">
        <v>1.2195121951219523E-2</v>
      </c>
    </row>
    <row r="357" spans="1:3" x14ac:dyDescent="0.45">
      <c r="A357" s="2">
        <v>26943</v>
      </c>
      <c r="B357" s="7">
        <v>236000</v>
      </c>
      <c r="C357" s="8">
        <v>-5.2208835341365445E-2</v>
      </c>
    </row>
    <row r="358" spans="1:3" x14ac:dyDescent="0.45">
      <c r="A358" s="2">
        <v>26950</v>
      </c>
      <c r="B358" s="7">
        <v>246000</v>
      </c>
      <c r="C358" s="8">
        <v>4.2372881355932313E-2</v>
      </c>
    </row>
    <row r="359" spans="1:3" x14ac:dyDescent="0.45">
      <c r="A359" s="2">
        <v>26957</v>
      </c>
      <c r="B359" s="7">
        <v>249000</v>
      </c>
      <c r="C359" s="8">
        <v>1.2195121951219523E-2</v>
      </c>
    </row>
    <row r="360" spans="1:3" x14ac:dyDescent="0.45">
      <c r="A360" s="2">
        <v>26964</v>
      </c>
      <c r="B360" s="7">
        <v>235000</v>
      </c>
      <c r="C360" s="8">
        <v>-5.6224899598393607E-2</v>
      </c>
    </row>
    <row r="361" spans="1:3" x14ac:dyDescent="0.45">
      <c r="A361" s="2">
        <v>26971</v>
      </c>
      <c r="B361" s="7">
        <v>246000</v>
      </c>
      <c r="C361" s="8">
        <v>4.6808510638297829E-2</v>
      </c>
    </row>
    <row r="362" spans="1:3" x14ac:dyDescent="0.45">
      <c r="A362" s="2">
        <v>26978</v>
      </c>
      <c r="B362" s="7">
        <v>282000</v>
      </c>
      <c r="C362" s="8">
        <v>0.14634146341463405</v>
      </c>
    </row>
    <row r="363" spans="1:3" x14ac:dyDescent="0.45">
      <c r="A363" s="2">
        <v>26985</v>
      </c>
      <c r="B363" s="7">
        <v>254000</v>
      </c>
      <c r="C363" s="8">
        <v>-9.9290780141844004E-2</v>
      </c>
    </row>
    <row r="364" spans="1:3" x14ac:dyDescent="0.45">
      <c r="A364" s="2">
        <v>26992</v>
      </c>
      <c r="B364" s="7">
        <v>233000</v>
      </c>
      <c r="C364" s="8">
        <v>-8.2677165354330673E-2</v>
      </c>
    </row>
    <row r="365" spans="1:3" x14ac:dyDescent="0.45">
      <c r="A365" s="2">
        <v>26999</v>
      </c>
      <c r="B365" s="7">
        <v>256000</v>
      </c>
      <c r="C365" s="8">
        <v>9.8712446351931327E-2</v>
      </c>
    </row>
    <row r="366" spans="1:3" x14ac:dyDescent="0.45">
      <c r="A366" s="2">
        <v>27006</v>
      </c>
      <c r="B366" s="7">
        <v>266000</v>
      </c>
      <c r="C366" s="8">
        <v>3.90625E-2</v>
      </c>
    </row>
    <row r="367" spans="1:3" x14ac:dyDescent="0.45">
      <c r="A367" s="2">
        <v>27013</v>
      </c>
      <c r="B367" s="7">
        <v>272000</v>
      </c>
      <c r="C367" s="8">
        <v>2.2556390977443552E-2</v>
      </c>
    </row>
    <row r="368" spans="1:3" x14ac:dyDescent="0.45">
      <c r="A368" s="2">
        <v>27020</v>
      </c>
      <c r="B368" s="7">
        <v>326000</v>
      </c>
      <c r="C368" s="8">
        <v>0.19852941176470584</v>
      </c>
    </row>
    <row r="369" spans="1:3" x14ac:dyDescent="0.45">
      <c r="A369" s="2">
        <v>27027</v>
      </c>
      <c r="B369" s="7">
        <v>300000</v>
      </c>
      <c r="C369" s="8">
        <v>-7.9754601226993849E-2</v>
      </c>
    </row>
    <row r="370" spans="1:3" x14ac:dyDescent="0.45">
      <c r="A370" s="2">
        <v>27034</v>
      </c>
      <c r="B370" s="7">
        <v>269000</v>
      </c>
      <c r="C370" s="8">
        <v>-0.10333333333333339</v>
      </c>
    </row>
    <row r="371" spans="1:3" x14ac:dyDescent="0.45">
      <c r="A371" s="2">
        <v>27041</v>
      </c>
      <c r="B371" s="7">
        <v>340000</v>
      </c>
      <c r="C371" s="8">
        <v>0.26394052044609673</v>
      </c>
    </row>
    <row r="372" spans="1:3" x14ac:dyDescent="0.45">
      <c r="A372" s="2">
        <v>27048</v>
      </c>
      <c r="B372" s="7">
        <v>321000</v>
      </c>
      <c r="C372" s="8">
        <v>-5.5882352941176494E-2</v>
      </c>
    </row>
    <row r="373" spans="1:3" x14ac:dyDescent="0.45">
      <c r="A373" s="2">
        <v>27055</v>
      </c>
      <c r="B373" s="7">
        <v>291000</v>
      </c>
      <c r="C373" s="8">
        <v>-9.3457943925233655E-2</v>
      </c>
    </row>
    <row r="374" spans="1:3" x14ac:dyDescent="0.45">
      <c r="A374" s="2">
        <v>27062</v>
      </c>
      <c r="B374" s="7">
        <v>302000</v>
      </c>
      <c r="C374" s="8">
        <v>3.7800687285223455E-2</v>
      </c>
    </row>
    <row r="375" spans="1:3" x14ac:dyDescent="0.45">
      <c r="A375" s="2">
        <v>27069</v>
      </c>
      <c r="B375" s="7">
        <v>369000</v>
      </c>
      <c r="C375" s="8">
        <v>0.2218543046357615</v>
      </c>
    </row>
    <row r="376" spans="1:3" x14ac:dyDescent="0.45">
      <c r="A376" s="2">
        <v>27076</v>
      </c>
      <c r="B376" s="7">
        <v>311000</v>
      </c>
      <c r="C376" s="8">
        <v>-0.15718157181571812</v>
      </c>
    </row>
    <row r="377" spans="1:3" x14ac:dyDescent="0.45">
      <c r="A377" s="2">
        <v>27083</v>
      </c>
      <c r="B377" s="7">
        <v>292000</v>
      </c>
      <c r="C377" s="8">
        <v>-6.1093247588424382E-2</v>
      </c>
    </row>
    <row r="378" spans="1:3" x14ac:dyDescent="0.45">
      <c r="A378" s="2">
        <v>27090</v>
      </c>
      <c r="B378" s="7">
        <v>301000</v>
      </c>
      <c r="C378" s="8">
        <v>3.082191780821919E-2</v>
      </c>
    </row>
    <row r="379" spans="1:3" x14ac:dyDescent="0.45">
      <c r="A379" s="2">
        <v>27097</v>
      </c>
      <c r="B379" s="7">
        <v>305000</v>
      </c>
      <c r="C379" s="8">
        <v>1.3289036544850585E-2</v>
      </c>
    </row>
    <row r="380" spans="1:3" x14ac:dyDescent="0.45">
      <c r="A380" s="2">
        <v>27104</v>
      </c>
      <c r="B380" s="7">
        <v>315000</v>
      </c>
      <c r="C380" s="8">
        <v>3.2786885245901676E-2</v>
      </c>
    </row>
    <row r="381" spans="1:3" x14ac:dyDescent="0.45">
      <c r="A381" s="2">
        <v>27111</v>
      </c>
      <c r="B381" s="7">
        <v>314000</v>
      </c>
      <c r="C381" s="8">
        <v>-3.1746031746031633E-3</v>
      </c>
    </row>
    <row r="382" spans="1:3" x14ac:dyDescent="0.45">
      <c r="A382" s="2">
        <v>27118</v>
      </c>
      <c r="B382" s="7">
        <v>323000</v>
      </c>
      <c r="C382" s="8">
        <v>2.866242038216571E-2</v>
      </c>
    </row>
    <row r="383" spans="1:3" x14ac:dyDescent="0.45">
      <c r="A383" s="2">
        <v>27125</v>
      </c>
      <c r="B383" s="7">
        <v>296000</v>
      </c>
      <c r="C383" s="8">
        <v>-8.3591331269349811E-2</v>
      </c>
    </row>
    <row r="384" spans="1:3" x14ac:dyDescent="0.45">
      <c r="A384" s="2">
        <v>27132</v>
      </c>
      <c r="B384" s="7">
        <v>297000</v>
      </c>
      <c r="C384" s="8">
        <v>3.3783783783782884E-3</v>
      </c>
    </row>
    <row r="385" spans="1:3" x14ac:dyDescent="0.45">
      <c r="A385" s="2">
        <v>27139</v>
      </c>
      <c r="B385" s="7">
        <v>296000</v>
      </c>
      <c r="C385" s="8">
        <v>-3.3670033670033517E-3</v>
      </c>
    </row>
    <row r="386" spans="1:3" x14ac:dyDescent="0.45">
      <c r="A386" s="2">
        <v>27146</v>
      </c>
      <c r="B386" s="7">
        <v>283000</v>
      </c>
      <c r="C386" s="8">
        <v>-4.391891891891897E-2</v>
      </c>
    </row>
    <row r="387" spans="1:3" x14ac:dyDescent="0.45">
      <c r="A387" s="2">
        <v>27153</v>
      </c>
      <c r="B387" s="7">
        <v>287000</v>
      </c>
      <c r="C387" s="8">
        <v>1.4134275618374659E-2</v>
      </c>
    </row>
    <row r="388" spans="1:3" x14ac:dyDescent="0.45">
      <c r="A388" s="2">
        <v>27160</v>
      </c>
      <c r="B388" s="7">
        <v>296000</v>
      </c>
      <c r="C388" s="8">
        <v>3.1358885017421567E-2</v>
      </c>
    </row>
    <row r="389" spans="1:3" x14ac:dyDescent="0.45">
      <c r="A389" s="2">
        <v>27167</v>
      </c>
      <c r="B389" s="7">
        <v>298000</v>
      </c>
      <c r="C389" s="8">
        <v>6.7567567567567988E-3</v>
      </c>
    </row>
    <row r="390" spans="1:3" x14ac:dyDescent="0.45">
      <c r="A390" s="2">
        <v>27174</v>
      </c>
      <c r="B390" s="7">
        <v>309000</v>
      </c>
      <c r="C390" s="8">
        <v>3.691275167785224E-2</v>
      </c>
    </row>
    <row r="391" spans="1:3" x14ac:dyDescent="0.45">
      <c r="A391" s="2">
        <v>27181</v>
      </c>
      <c r="B391" s="7">
        <v>278000</v>
      </c>
      <c r="C391" s="8">
        <v>-0.10032362459546929</v>
      </c>
    </row>
    <row r="392" spans="1:3" x14ac:dyDescent="0.45">
      <c r="A392" s="2">
        <v>27188</v>
      </c>
      <c r="B392" s="7">
        <v>314000</v>
      </c>
      <c r="C392" s="8">
        <v>0.12949640287769792</v>
      </c>
    </row>
    <row r="393" spans="1:3" x14ac:dyDescent="0.45">
      <c r="A393" s="2">
        <v>27195</v>
      </c>
      <c r="B393" s="7">
        <v>303000</v>
      </c>
      <c r="C393" s="8">
        <v>-3.5031847133757954E-2</v>
      </c>
    </row>
    <row r="394" spans="1:3" x14ac:dyDescent="0.45">
      <c r="A394" s="2">
        <v>27202</v>
      </c>
      <c r="B394" s="7">
        <v>308000</v>
      </c>
      <c r="C394" s="8">
        <v>1.650165016501659E-2</v>
      </c>
    </row>
    <row r="395" spans="1:3" x14ac:dyDescent="0.45">
      <c r="A395" s="2">
        <v>27209</v>
      </c>
      <c r="B395" s="7">
        <v>325000</v>
      </c>
      <c r="C395" s="8">
        <v>5.5194805194805241E-2</v>
      </c>
    </row>
    <row r="396" spans="1:3" x14ac:dyDescent="0.45">
      <c r="A396" s="2">
        <v>27216</v>
      </c>
      <c r="B396" s="7">
        <v>311000</v>
      </c>
      <c r="C396" s="8">
        <v>-4.3076923076923124E-2</v>
      </c>
    </row>
    <row r="397" spans="1:3" x14ac:dyDescent="0.45">
      <c r="A397" s="2">
        <v>27223</v>
      </c>
      <c r="B397" s="7">
        <v>304000</v>
      </c>
      <c r="C397" s="8">
        <v>-2.2508038585209E-2</v>
      </c>
    </row>
    <row r="398" spans="1:3" x14ac:dyDescent="0.45">
      <c r="A398" s="2">
        <v>27230</v>
      </c>
      <c r="B398" s="7">
        <v>303000</v>
      </c>
      <c r="C398" s="8">
        <v>-3.2894736842105088E-3</v>
      </c>
    </row>
    <row r="399" spans="1:3" x14ac:dyDescent="0.45">
      <c r="A399" s="2">
        <v>27237</v>
      </c>
      <c r="B399" s="7">
        <v>320000</v>
      </c>
      <c r="C399" s="8">
        <v>5.6105610561056007E-2</v>
      </c>
    </row>
    <row r="400" spans="1:3" x14ac:dyDescent="0.45">
      <c r="A400" s="2">
        <v>27244</v>
      </c>
      <c r="B400" s="7">
        <v>335000</v>
      </c>
      <c r="C400" s="8">
        <v>4.6875E-2</v>
      </c>
    </row>
    <row r="401" spans="1:3" x14ac:dyDescent="0.45">
      <c r="A401" s="2">
        <v>27251</v>
      </c>
      <c r="B401" s="7">
        <v>347000</v>
      </c>
      <c r="C401" s="8">
        <v>3.5820895522387985E-2</v>
      </c>
    </row>
    <row r="402" spans="1:3" x14ac:dyDescent="0.45">
      <c r="A402" s="2">
        <v>27258</v>
      </c>
      <c r="B402" s="7">
        <v>332000</v>
      </c>
      <c r="C402" s="8">
        <v>-4.3227665706051854E-2</v>
      </c>
    </row>
    <row r="403" spans="1:3" x14ac:dyDescent="0.45">
      <c r="A403" s="2">
        <v>27265</v>
      </c>
      <c r="B403" s="7">
        <v>343000</v>
      </c>
      <c r="C403" s="8">
        <v>3.3132530120481896E-2</v>
      </c>
    </row>
    <row r="404" spans="1:3" x14ac:dyDescent="0.45">
      <c r="A404" s="2">
        <v>27272</v>
      </c>
      <c r="B404" s="7">
        <v>350000</v>
      </c>
      <c r="C404" s="8">
        <v>2.0408163265306145E-2</v>
      </c>
    </row>
    <row r="405" spans="1:3" x14ac:dyDescent="0.45">
      <c r="A405" s="2">
        <v>27279</v>
      </c>
      <c r="B405" s="7">
        <v>350000</v>
      </c>
      <c r="C405" s="8">
        <v>0</v>
      </c>
    </row>
    <row r="406" spans="1:3" x14ac:dyDescent="0.45">
      <c r="A406" s="2">
        <v>27286</v>
      </c>
      <c r="B406" s="7">
        <v>357000</v>
      </c>
      <c r="C406" s="8">
        <v>2.0000000000000018E-2</v>
      </c>
    </row>
    <row r="407" spans="1:3" x14ac:dyDescent="0.45">
      <c r="A407" s="2">
        <v>27293</v>
      </c>
      <c r="B407" s="7">
        <v>370000</v>
      </c>
      <c r="C407" s="8">
        <v>3.6414565826330625E-2</v>
      </c>
    </row>
    <row r="408" spans="1:3" x14ac:dyDescent="0.45">
      <c r="A408" s="2">
        <v>27300</v>
      </c>
      <c r="B408" s="7">
        <v>366000</v>
      </c>
      <c r="C408" s="8">
        <v>-1.0810810810810811E-2</v>
      </c>
    </row>
    <row r="409" spans="1:3" x14ac:dyDescent="0.45">
      <c r="A409" s="2">
        <v>27307</v>
      </c>
      <c r="B409" s="7">
        <v>371000</v>
      </c>
      <c r="C409" s="8">
        <v>1.3661202185792254E-2</v>
      </c>
    </row>
    <row r="410" spans="1:3" x14ac:dyDescent="0.45">
      <c r="A410" s="2">
        <v>27314</v>
      </c>
      <c r="B410" s="7">
        <v>413000</v>
      </c>
      <c r="C410" s="8">
        <v>0.1132075471698113</v>
      </c>
    </row>
    <row r="411" spans="1:3" x14ac:dyDescent="0.45">
      <c r="A411" s="2">
        <v>27321</v>
      </c>
      <c r="B411" s="7">
        <v>389000</v>
      </c>
      <c r="C411" s="8">
        <v>-5.8111380145278502E-2</v>
      </c>
    </row>
    <row r="412" spans="1:3" x14ac:dyDescent="0.45">
      <c r="A412" s="2">
        <v>27328</v>
      </c>
      <c r="B412" s="7">
        <v>414000</v>
      </c>
      <c r="C412" s="8">
        <v>6.4267352185090054E-2</v>
      </c>
    </row>
    <row r="413" spans="1:3" x14ac:dyDescent="0.45">
      <c r="A413" s="2">
        <v>27335</v>
      </c>
      <c r="B413" s="7">
        <v>406000</v>
      </c>
      <c r="C413" s="8">
        <v>-1.9323671497584516E-2</v>
      </c>
    </row>
    <row r="414" spans="1:3" x14ac:dyDescent="0.45">
      <c r="A414" s="2">
        <v>27342</v>
      </c>
      <c r="B414" s="7">
        <v>441000</v>
      </c>
      <c r="C414" s="8">
        <v>8.6206896551724199E-2</v>
      </c>
    </row>
    <row r="415" spans="1:3" x14ac:dyDescent="0.45">
      <c r="A415" s="2">
        <v>27349</v>
      </c>
      <c r="B415" s="7">
        <v>449000</v>
      </c>
      <c r="C415" s="8">
        <v>1.8140589569161092E-2</v>
      </c>
    </row>
    <row r="416" spans="1:3" x14ac:dyDescent="0.45">
      <c r="A416" s="2">
        <v>27356</v>
      </c>
      <c r="B416" s="7">
        <v>518000</v>
      </c>
      <c r="C416" s="8">
        <v>0.15367483296213802</v>
      </c>
    </row>
    <row r="417" spans="1:3" x14ac:dyDescent="0.45">
      <c r="A417" s="2">
        <v>27363</v>
      </c>
      <c r="B417" s="7">
        <v>474000</v>
      </c>
      <c r="C417" s="8">
        <v>-8.4942084942084994E-2</v>
      </c>
    </row>
    <row r="418" spans="1:3" x14ac:dyDescent="0.45">
      <c r="A418" s="2">
        <v>27370</v>
      </c>
      <c r="B418" s="7">
        <v>528000</v>
      </c>
      <c r="C418" s="8">
        <v>0.11392405063291133</v>
      </c>
    </row>
    <row r="419" spans="1:3" x14ac:dyDescent="0.45">
      <c r="A419" s="2">
        <v>27377</v>
      </c>
      <c r="B419" s="7">
        <v>510000</v>
      </c>
      <c r="C419" s="8">
        <v>-3.4090909090909061E-2</v>
      </c>
    </row>
    <row r="420" spans="1:3" x14ac:dyDescent="0.45">
      <c r="A420" s="2">
        <v>27384</v>
      </c>
      <c r="B420" s="7">
        <v>521000</v>
      </c>
      <c r="C420" s="8">
        <v>2.1568627450980316E-2</v>
      </c>
    </row>
    <row r="421" spans="1:3" x14ac:dyDescent="0.45">
      <c r="A421" s="2">
        <v>27391</v>
      </c>
      <c r="B421" s="7">
        <v>537000</v>
      </c>
      <c r="C421" s="8">
        <v>3.0710172744721653E-2</v>
      </c>
    </row>
    <row r="422" spans="1:3" x14ac:dyDescent="0.45">
      <c r="A422" s="2">
        <v>27398</v>
      </c>
      <c r="B422" s="7">
        <v>456000</v>
      </c>
      <c r="C422" s="8">
        <v>-0.15083798882681565</v>
      </c>
    </row>
    <row r="423" spans="1:3" x14ac:dyDescent="0.45">
      <c r="A423" s="2">
        <v>27405</v>
      </c>
      <c r="B423" s="7">
        <v>554000</v>
      </c>
      <c r="C423" s="8">
        <v>0.21491228070175428</v>
      </c>
    </row>
    <row r="424" spans="1:3" x14ac:dyDescent="0.45">
      <c r="A424" s="2">
        <v>27412</v>
      </c>
      <c r="B424" s="7">
        <v>575000</v>
      </c>
      <c r="C424" s="8">
        <v>3.7906137184115618E-2</v>
      </c>
    </row>
    <row r="425" spans="1:3" x14ac:dyDescent="0.45">
      <c r="A425" s="2">
        <v>27419</v>
      </c>
      <c r="B425" s="7">
        <v>555000</v>
      </c>
      <c r="C425" s="8">
        <v>-3.4782608695652195E-2</v>
      </c>
    </row>
    <row r="426" spans="1:3" x14ac:dyDescent="0.45">
      <c r="A426" s="2">
        <v>27426</v>
      </c>
      <c r="B426" s="7">
        <v>559000</v>
      </c>
      <c r="C426" s="8">
        <v>7.2072072072071336E-3</v>
      </c>
    </row>
    <row r="427" spans="1:3" x14ac:dyDescent="0.45">
      <c r="A427" s="2">
        <v>27433</v>
      </c>
      <c r="B427" s="7">
        <v>545000</v>
      </c>
      <c r="C427" s="8">
        <v>-2.5044722719141377E-2</v>
      </c>
    </row>
    <row r="428" spans="1:3" x14ac:dyDescent="0.45">
      <c r="A428" s="2">
        <v>27440</v>
      </c>
      <c r="B428" s="7">
        <v>530000</v>
      </c>
      <c r="C428" s="8">
        <v>-2.752293577981646E-2</v>
      </c>
    </row>
    <row r="429" spans="1:3" x14ac:dyDescent="0.45">
      <c r="A429" s="2">
        <v>27447</v>
      </c>
      <c r="B429" s="7">
        <v>544000</v>
      </c>
      <c r="C429" s="8">
        <v>2.6415094339622636E-2</v>
      </c>
    </row>
    <row r="430" spans="1:3" x14ac:dyDescent="0.45">
      <c r="A430" s="2">
        <v>27454</v>
      </c>
      <c r="B430" s="7">
        <v>546000</v>
      </c>
      <c r="C430" s="8">
        <v>3.6764705882352811E-3</v>
      </c>
    </row>
    <row r="431" spans="1:3" x14ac:dyDescent="0.45">
      <c r="A431" s="2">
        <v>27461</v>
      </c>
      <c r="B431" s="7">
        <v>551000</v>
      </c>
      <c r="C431" s="8">
        <v>9.157509157509125E-3</v>
      </c>
    </row>
    <row r="432" spans="1:3" x14ac:dyDescent="0.45">
      <c r="A432" s="2">
        <v>27468</v>
      </c>
      <c r="B432" s="7">
        <v>531000</v>
      </c>
      <c r="C432" s="8">
        <v>-3.6297640653357499E-2</v>
      </c>
    </row>
    <row r="433" spans="1:3" x14ac:dyDescent="0.45">
      <c r="A433" s="2">
        <v>27475</v>
      </c>
      <c r="B433" s="7">
        <v>550000</v>
      </c>
      <c r="C433" s="8">
        <v>3.5781544256120457E-2</v>
      </c>
    </row>
    <row r="434" spans="1:3" x14ac:dyDescent="0.45">
      <c r="A434" s="2">
        <v>27482</v>
      </c>
      <c r="B434" s="7">
        <v>555000</v>
      </c>
      <c r="C434" s="8">
        <v>9.0909090909090384E-3</v>
      </c>
    </row>
    <row r="435" spans="1:3" x14ac:dyDescent="0.45">
      <c r="A435" s="2">
        <v>27489</v>
      </c>
      <c r="B435" s="7">
        <v>537000</v>
      </c>
      <c r="C435" s="8">
        <v>-3.2432432432432434E-2</v>
      </c>
    </row>
    <row r="436" spans="1:3" x14ac:dyDescent="0.45">
      <c r="A436" s="2">
        <v>27496</v>
      </c>
      <c r="B436" s="7">
        <v>520000</v>
      </c>
      <c r="C436" s="8">
        <v>-3.1657355679702071E-2</v>
      </c>
    </row>
    <row r="437" spans="1:3" x14ac:dyDescent="0.45">
      <c r="A437" s="2">
        <v>27503</v>
      </c>
      <c r="B437" s="7">
        <v>531000</v>
      </c>
      <c r="C437" s="8">
        <v>2.1153846153846079E-2</v>
      </c>
    </row>
    <row r="438" spans="1:3" x14ac:dyDescent="0.45">
      <c r="A438" s="2">
        <v>27510</v>
      </c>
      <c r="B438" s="7">
        <v>513000</v>
      </c>
      <c r="C438" s="8">
        <v>-3.3898305084745783E-2</v>
      </c>
    </row>
    <row r="439" spans="1:3" x14ac:dyDescent="0.45">
      <c r="A439" s="2">
        <v>27517</v>
      </c>
      <c r="B439" s="7">
        <v>505000</v>
      </c>
      <c r="C439" s="8">
        <v>-1.5594541910331383E-2</v>
      </c>
    </row>
    <row r="440" spans="1:3" x14ac:dyDescent="0.45">
      <c r="A440" s="2">
        <v>27524</v>
      </c>
      <c r="B440" s="7">
        <v>507000</v>
      </c>
      <c r="C440" s="8">
        <v>3.9603960396039639E-3</v>
      </c>
    </row>
    <row r="441" spans="1:3" x14ac:dyDescent="0.45">
      <c r="A441" s="2">
        <v>27531</v>
      </c>
      <c r="B441" s="7">
        <v>514000</v>
      </c>
      <c r="C441" s="8">
        <v>1.3806706114398493E-2</v>
      </c>
    </row>
    <row r="442" spans="1:3" x14ac:dyDescent="0.45">
      <c r="A442" s="2">
        <v>27538</v>
      </c>
      <c r="B442" s="7">
        <v>493000</v>
      </c>
      <c r="C442" s="8">
        <v>-4.0856031128404635E-2</v>
      </c>
    </row>
    <row r="443" spans="1:3" x14ac:dyDescent="0.45">
      <c r="A443" s="2">
        <v>27545</v>
      </c>
      <c r="B443" s="7">
        <v>475000</v>
      </c>
      <c r="C443" s="8">
        <v>-3.6511156186612603E-2</v>
      </c>
    </row>
    <row r="444" spans="1:3" x14ac:dyDescent="0.45">
      <c r="A444" s="2">
        <v>27552</v>
      </c>
      <c r="B444" s="7">
        <v>529000</v>
      </c>
      <c r="C444" s="8">
        <v>0.11368421052631583</v>
      </c>
    </row>
    <row r="445" spans="1:3" x14ac:dyDescent="0.45">
      <c r="A445" s="2">
        <v>27559</v>
      </c>
      <c r="B445" s="7">
        <v>497000</v>
      </c>
      <c r="C445" s="8">
        <v>-6.0491493383742934E-2</v>
      </c>
    </row>
    <row r="446" spans="1:3" x14ac:dyDescent="0.45">
      <c r="A446" s="2">
        <v>27566</v>
      </c>
      <c r="B446" s="7">
        <v>497000</v>
      </c>
      <c r="C446" s="8">
        <v>0</v>
      </c>
    </row>
    <row r="447" spans="1:3" x14ac:dyDescent="0.45">
      <c r="A447" s="2">
        <v>27573</v>
      </c>
      <c r="B447" s="7">
        <v>459000</v>
      </c>
      <c r="C447" s="8">
        <v>-7.6458752515090489E-2</v>
      </c>
    </row>
    <row r="448" spans="1:3" x14ac:dyDescent="0.45">
      <c r="A448" s="2">
        <v>27580</v>
      </c>
      <c r="B448" s="7">
        <v>423000</v>
      </c>
      <c r="C448" s="8">
        <v>-7.8431372549019662E-2</v>
      </c>
    </row>
    <row r="449" spans="1:3" x14ac:dyDescent="0.45">
      <c r="A449" s="2">
        <v>27587</v>
      </c>
      <c r="B449" s="7">
        <v>446000</v>
      </c>
      <c r="C449" s="8">
        <v>5.4373522458628809E-2</v>
      </c>
    </row>
    <row r="450" spans="1:3" x14ac:dyDescent="0.45">
      <c r="A450" s="2">
        <v>27594</v>
      </c>
      <c r="B450" s="7">
        <v>445000</v>
      </c>
      <c r="C450" s="8">
        <v>-2.2421524663677195E-3</v>
      </c>
    </row>
    <row r="451" spans="1:3" x14ac:dyDescent="0.45">
      <c r="A451" s="2">
        <v>27601</v>
      </c>
      <c r="B451" s="7">
        <v>454000</v>
      </c>
      <c r="C451" s="8">
        <v>2.0224719101123556E-2</v>
      </c>
    </row>
    <row r="452" spans="1:3" x14ac:dyDescent="0.45">
      <c r="A452" s="2">
        <v>27608</v>
      </c>
      <c r="B452" s="7">
        <v>454000</v>
      </c>
      <c r="C452" s="8">
        <v>0</v>
      </c>
    </row>
    <row r="453" spans="1:3" x14ac:dyDescent="0.45">
      <c r="A453" s="2">
        <v>27615</v>
      </c>
      <c r="B453" s="7">
        <v>459000</v>
      </c>
      <c r="C453" s="8">
        <v>1.1013215859030812E-2</v>
      </c>
    </row>
    <row r="454" spans="1:3" x14ac:dyDescent="0.45">
      <c r="A454" s="2">
        <v>27622</v>
      </c>
      <c r="B454" s="7">
        <v>444000</v>
      </c>
      <c r="C454" s="8">
        <v>-3.2679738562091498E-2</v>
      </c>
    </row>
    <row r="455" spans="1:3" x14ac:dyDescent="0.45">
      <c r="A455" s="2">
        <v>27629</v>
      </c>
      <c r="B455" s="7">
        <v>457000</v>
      </c>
      <c r="C455" s="8">
        <v>2.9279279279279313E-2</v>
      </c>
    </row>
    <row r="456" spans="1:3" x14ac:dyDescent="0.45">
      <c r="A456" s="2">
        <v>27636</v>
      </c>
      <c r="B456" s="7">
        <v>446000</v>
      </c>
      <c r="C456" s="8">
        <v>-2.4070021881838044E-2</v>
      </c>
    </row>
    <row r="457" spans="1:3" x14ac:dyDescent="0.45">
      <c r="A457" s="2">
        <v>27643</v>
      </c>
      <c r="B457" s="7">
        <v>447000</v>
      </c>
      <c r="C457" s="8">
        <v>2.2421524663676085E-3</v>
      </c>
    </row>
    <row r="458" spans="1:3" x14ac:dyDescent="0.45">
      <c r="A458" s="2">
        <v>27650</v>
      </c>
      <c r="B458" s="7">
        <v>456000</v>
      </c>
      <c r="C458" s="8">
        <v>2.0134228187919545E-2</v>
      </c>
    </row>
    <row r="459" spans="1:3" x14ac:dyDescent="0.45">
      <c r="A459" s="2">
        <v>27657</v>
      </c>
      <c r="B459" s="7">
        <v>433000</v>
      </c>
      <c r="C459" s="8">
        <v>-5.043859649122806E-2</v>
      </c>
    </row>
    <row r="460" spans="1:3" x14ac:dyDescent="0.45">
      <c r="A460" s="2">
        <v>27664</v>
      </c>
      <c r="B460" s="7">
        <v>445000</v>
      </c>
      <c r="C460" s="8">
        <v>2.7713625866050862E-2</v>
      </c>
    </row>
    <row r="461" spans="1:3" x14ac:dyDescent="0.45">
      <c r="A461" s="2">
        <v>27671</v>
      </c>
      <c r="B461" s="7">
        <v>426000</v>
      </c>
      <c r="C461" s="8">
        <v>-4.2696629213483162E-2</v>
      </c>
    </row>
    <row r="462" spans="1:3" x14ac:dyDescent="0.45">
      <c r="A462" s="2">
        <v>27678</v>
      </c>
      <c r="B462" s="7">
        <v>429000</v>
      </c>
      <c r="C462" s="8">
        <v>7.0422535211267512E-3</v>
      </c>
    </row>
    <row r="463" spans="1:3" x14ac:dyDescent="0.45">
      <c r="A463" s="2">
        <v>27685</v>
      </c>
      <c r="B463" s="7">
        <v>404000</v>
      </c>
      <c r="C463" s="8">
        <v>-5.82750582750583E-2</v>
      </c>
    </row>
    <row r="464" spans="1:3" x14ac:dyDescent="0.45">
      <c r="A464" s="2">
        <v>27692</v>
      </c>
      <c r="B464" s="7">
        <v>426000</v>
      </c>
      <c r="C464" s="8">
        <v>5.4455445544554504E-2</v>
      </c>
    </row>
    <row r="465" spans="1:3" x14ac:dyDescent="0.45">
      <c r="A465" s="2">
        <v>27699</v>
      </c>
      <c r="B465" s="7">
        <v>414000</v>
      </c>
      <c r="C465" s="8">
        <v>-2.8169014084507005E-2</v>
      </c>
    </row>
    <row r="466" spans="1:3" x14ac:dyDescent="0.45">
      <c r="A466" s="2">
        <v>27706</v>
      </c>
      <c r="B466" s="7">
        <v>415000</v>
      </c>
      <c r="C466" s="8">
        <v>2.4154589371980784E-3</v>
      </c>
    </row>
    <row r="467" spans="1:3" x14ac:dyDescent="0.45">
      <c r="A467" s="2">
        <v>27713</v>
      </c>
      <c r="B467" s="7">
        <v>386000</v>
      </c>
      <c r="C467" s="8">
        <v>-6.9879518072289204E-2</v>
      </c>
    </row>
    <row r="468" spans="1:3" x14ac:dyDescent="0.45">
      <c r="A468" s="2">
        <v>27720</v>
      </c>
      <c r="B468" s="7">
        <v>401000</v>
      </c>
      <c r="C468" s="8">
        <v>3.8860103626942921E-2</v>
      </c>
    </row>
    <row r="469" spans="1:3" x14ac:dyDescent="0.45">
      <c r="A469" s="2">
        <v>27727</v>
      </c>
      <c r="B469" s="7">
        <v>387000</v>
      </c>
      <c r="C469" s="8">
        <v>-3.4912718204488824E-2</v>
      </c>
    </row>
    <row r="470" spans="1:3" x14ac:dyDescent="0.45">
      <c r="A470" s="2">
        <v>27734</v>
      </c>
      <c r="B470" s="7">
        <v>373000</v>
      </c>
      <c r="C470" s="8">
        <v>-3.6175710594315236E-2</v>
      </c>
    </row>
    <row r="471" spans="1:3" x14ac:dyDescent="0.45">
      <c r="A471" s="2">
        <v>27741</v>
      </c>
      <c r="B471" s="7">
        <v>368000</v>
      </c>
      <c r="C471" s="8">
        <v>-1.3404825737265424E-2</v>
      </c>
    </row>
    <row r="472" spans="1:3" x14ac:dyDescent="0.45">
      <c r="A472" s="2">
        <v>27748</v>
      </c>
      <c r="B472" s="7">
        <v>365000</v>
      </c>
      <c r="C472" s="8">
        <v>-8.152173913043459E-3</v>
      </c>
    </row>
    <row r="473" spans="1:3" x14ac:dyDescent="0.45">
      <c r="A473" s="2">
        <v>27755</v>
      </c>
      <c r="B473" s="7">
        <v>391000</v>
      </c>
      <c r="C473" s="8">
        <v>7.1232876712328697E-2</v>
      </c>
    </row>
    <row r="474" spans="1:3" x14ac:dyDescent="0.45">
      <c r="A474" s="2">
        <v>27762</v>
      </c>
      <c r="B474" s="7">
        <v>362000</v>
      </c>
      <c r="C474" s="8">
        <v>-7.4168797953964249E-2</v>
      </c>
    </row>
    <row r="475" spans="1:3" x14ac:dyDescent="0.45">
      <c r="A475" s="2">
        <v>27769</v>
      </c>
      <c r="B475" s="7">
        <v>402000</v>
      </c>
      <c r="C475" s="8">
        <v>0.11049723756906071</v>
      </c>
    </row>
    <row r="476" spans="1:3" x14ac:dyDescent="0.45">
      <c r="A476" s="2">
        <v>27776</v>
      </c>
      <c r="B476" s="7">
        <v>370000</v>
      </c>
      <c r="C476" s="8">
        <v>-7.9601990049751215E-2</v>
      </c>
    </row>
    <row r="477" spans="1:3" x14ac:dyDescent="0.45">
      <c r="A477" s="2">
        <v>27783</v>
      </c>
      <c r="B477" s="7">
        <v>363000</v>
      </c>
      <c r="C477" s="8">
        <v>-1.8918918918918948E-2</v>
      </c>
    </row>
    <row r="478" spans="1:3" x14ac:dyDescent="0.45">
      <c r="A478" s="2">
        <v>27790</v>
      </c>
      <c r="B478" s="7">
        <v>359000</v>
      </c>
      <c r="C478" s="8">
        <v>-1.1019283746556474E-2</v>
      </c>
    </row>
    <row r="479" spans="1:3" x14ac:dyDescent="0.45">
      <c r="A479" s="2">
        <v>27797</v>
      </c>
      <c r="B479" s="7">
        <v>353000</v>
      </c>
      <c r="C479" s="8">
        <v>-1.6713091922005541E-2</v>
      </c>
    </row>
    <row r="480" spans="1:3" x14ac:dyDescent="0.45">
      <c r="A480" s="2">
        <v>27804</v>
      </c>
      <c r="B480" s="7">
        <v>344000</v>
      </c>
      <c r="C480" s="8">
        <v>-2.5495750708215303E-2</v>
      </c>
    </row>
    <row r="481" spans="1:3" x14ac:dyDescent="0.45">
      <c r="A481" s="2">
        <v>27811</v>
      </c>
      <c r="B481" s="7">
        <v>347000</v>
      </c>
      <c r="C481" s="8">
        <v>8.720930232558155E-3</v>
      </c>
    </row>
    <row r="482" spans="1:3" x14ac:dyDescent="0.45">
      <c r="A482" s="2">
        <v>27818</v>
      </c>
      <c r="B482" s="7">
        <v>349000</v>
      </c>
      <c r="C482" s="8">
        <v>5.7636887608070175E-3</v>
      </c>
    </row>
    <row r="483" spans="1:3" x14ac:dyDescent="0.45">
      <c r="A483" s="2">
        <v>27825</v>
      </c>
      <c r="B483" s="7">
        <v>348000</v>
      </c>
      <c r="C483" s="8">
        <v>-2.8653295128939771E-3</v>
      </c>
    </row>
    <row r="484" spans="1:3" x14ac:dyDescent="0.45">
      <c r="A484" s="2">
        <v>27832</v>
      </c>
      <c r="B484" s="7">
        <v>360000</v>
      </c>
      <c r="C484" s="8">
        <v>3.4482758620689724E-2</v>
      </c>
    </row>
    <row r="485" spans="1:3" x14ac:dyDescent="0.45">
      <c r="A485" s="2">
        <v>27839</v>
      </c>
      <c r="B485" s="7">
        <v>368000</v>
      </c>
      <c r="C485" s="8">
        <v>2.2222222222222143E-2</v>
      </c>
    </row>
    <row r="486" spans="1:3" x14ac:dyDescent="0.45">
      <c r="A486" s="2">
        <v>27846</v>
      </c>
      <c r="B486" s="7">
        <v>366000</v>
      </c>
      <c r="C486" s="8">
        <v>-5.4347826086956763E-3</v>
      </c>
    </row>
    <row r="487" spans="1:3" x14ac:dyDescent="0.45">
      <c r="A487" s="2">
        <v>27853</v>
      </c>
      <c r="B487" s="7">
        <v>380000</v>
      </c>
      <c r="C487" s="8">
        <v>3.8251366120218622E-2</v>
      </c>
    </row>
    <row r="488" spans="1:3" x14ac:dyDescent="0.45">
      <c r="A488" s="2">
        <v>27860</v>
      </c>
      <c r="B488" s="7">
        <v>373000</v>
      </c>
      <c r="C488" s="8">
        <v>-1.8421052631578894E-2</v>
      </c>
    </row>
    <row r="489" spans="1:3" x14ac:dyDescent="0.45">
      <c r="A489" s="2">
        <v>27867</v>
      </c>
      <c r="B489" s="7">
        <v>361000</v>
      </c>
      <c r="C489" s="8">
        <v>-3.2171581769437019E-2</v>
      </c>
    </row>
    <row r="490" spans="1:3" x14ac:dyDescent="0.45">
      <c r="A490" s="2">
        <v>27874</v>
      </c>
      <c r="B490" s="7">
        <v>367000</v>
      </c>
      <c r="C490" s="8">
        <v>1.6620498614958512E-2</v>
      </c>
    </row>
    <row r="491" spans="1:3" x14ac:dyDescent="0.45">
      <c r="A491" s="2">
        <v>27881</v>
      </c>
      <c r="B491" s="7">
        <v>385000</v>
      </c>
      <c r="C491" s="8">
        <v>4.9046321525885617E-2</v>
      </c>
    </row>
    <row r="492" spans="1:3" x14ac:dyDescent="0.45">
      <c r="A492" s="2">
        <v>27888</v>
      </c>
      <c r="B492" s="7">
        <v>395000</v>
      </c>
      <c r="C492" s="8">
        <v>2.5974025974025983E-2</v>
      </c>
    </row>
    <row r="493" spans="1:3" x14ac:dyDescent="0.45">
      <c r="A493" s="2">
        <v>27895</v>
      </c>
      <c r="B493" s="7">
        <v>382000</v>
      </c>
      <c r="C493" s="8">
        <v>-3.2911392405063244E-2</v>
      </c>
    </row>
    <row r="494" spans="1:3" x14ac:dyDescent="0.45">
      <c r="A494" s="2">
        <v>27902</v>
      </c>
      <c r="B494" s="7">
        <v>394000</v>
      </c>
      <c r="C494" s="8">
        <v>3.1413612565444948E-2</v>
      </c>
    </row>
    <row r="495" spans="1:3" x14ac:dyDescent="0.45">
      <c r="A495" s="2">
        <v>27909</v>
      </c>
      <c r="B495" s="7">
        <v>402000</v>
      </c>
      <c r="C495" s="8">
        <v>2.0304568527918843E-2</v>
      </c>
    </row>
    <row r="496" spans="1:3" x14ac:dyDescent="0.45">
      <c r="A496" s="2">
        <v>27916</v>
      </c>
      <c r="B496" s="7">
        <v>382000</v>
      </c>
      <c r="C496" s="8">
        <v>-4.9751243781094523E-2</v>
      </c>
    </row>
    <row r="497" spans="1:3" x14ac:dyDescent="0.45">
      <c r="A497" s="2">
        <v>27923</v>
      </c>
      <c r="B497" s="7">
        <v>407000</v>
      </c>
      <c r="C497" s="8">
        <v>6.5445026178010401E-2</v>
      </c>
    </row>
    <row r="498" spans="1:3" x14ac:dyDescent="0.45">
      <c r="A498" s="2">
        <v>27930</v>
      </c>
      <c r="B498" s="7">
        <v>399000</v>
      </c>
      <c r="C498" s="8">
        <v>-1.9656019656019708E-2</v>
      </c>
    </row>
    <row r="499" spans="1:3" x14ac:dyDescent="0.45">
      <c r="A499" s="2">
        <v>27937</v>
      </c>
      <c r="B499" s="7">
        <v>387000</v>
      </c>
      <c r="C499" s="8">
        <v>-3.007518796992481E-2</v>
      </c>
    </row>
    <row r="500" spans="1:3" x14ac:dyDescent="0.45">
      <c r="A500" s="2">
        <v>27944</v>
      </c>
      <c r="B500" s="7">
        <v>394000</v>
      </c>
      <c r="C500" s="8">
        <v>1.8087855297157729E-2</v>
      </c>
    </row>
    <row r="501" spans="1:3" x14ac:dyDescent="0.45">
      <c r="A501" s="2">
        <v>27951</v>
      </c>
      <c r="B501" s="7">
        <v>372000</v>
      </c>
      <c r="C501" s="8">
        <v>-5.5837563451776595E-2</v>
      </c>
    </row>
    <row r="502" spans="1:3" x14ac:dyDescent="0.45">
      <c r="A502" s="2">
        <v>27958</v>
      </c>
      <c r="B502" s="7">
        <v>406000</v>
      </c>
      <c r="C502" s="8">
        <v>9.139784946236551E-2</v>
      </c>
    </row>
    <row r="503" spans="1:3" x14ac:dyDescent="0.45">
      <c r="A503" s="2">
        <v>27965</v>
      </c>
      <c r="B503" s="7">
        <v>394000</v>
      </c>
      <c r="C503" s="8">
        <v>-2.9556650246305383E-2</v>
      </c>
    </row>
    <row r="504" spans="1:3" x14ac:dyDescent="0.45">
      <c r="A504" s="2">
        <v>27972</v>
      </c>
      <c r="B504" s="7">
        <v>388000</v>
      </c>
      <c r="C504" s="8">
        <v>-1.5228426395939132E-2</v>
      </c>
    </row>
    <row r="505" spans="1:3" x14ac:dyDescent="0.45">
      <c r="A505" s="2">
        <v>27979</v>
      </c>
      <c r="B505" s="7">
        <v>378000</v>
      </c>
      <c r="C505" s="8">
        <v>-2.5773195876288679E-2</v>
      </c>
    </row>
    <row r="506" spans="1:3" x14ac:dyDescent="0.45">
      <c r="A506" s="2">
        <v>27986</v>
      </c>
      <c r="B506" s="7">
        <v>382000</v>
      </c>
      <c r="C506" s="8">
        <v>1.0582010582010692E-2</v>
      </c>
    </row>
    <row r="507" spans="1:3" x14ac:dyDescent="0.45">
      <c r="A507" s="2">
        <v>27993</v>
      </c>
      <c r="B507" s="7">
        <v>400000</v>
      </c>
      <c r="C507" s="8">
        <v>4.7120418848167533E-2</v>
      </c>
    </row>
    <row r="508" spans="1:3" x14ac:dyDescent="0.45">
      <c r="A508" s="2">
        <v>28000</v>
      </c>
      <c r="B508" s="7">
        <v>394000</v>
      </c>
      <c r="C508" s="8">
        <v>-1.5000000000000013E-2</v>
      </c>
    </row>
    <row r="509" spans="1:3" x14ac:dyDescent="0.45">
      <c r="A509" s="2">
        <v>28007</v>
      </c>
      <c r="B509" s="7">
        <v>421000</v>
      </c>
      <c r="C509" s="8">
        <v>6.8527918781725816E-2</v>
      </c>
    </row>
    <row r="510" spans="1:3" x14ac:dyDescent="0.45">
      <c r="A510" s="2">
        <v>28014</v>
      </c>
      <c r="B510" s="7">
        <v>383000</v>
      </c>
      <c r="C510" s="8">
        <v>-9.0261282660332509E-2</v>
      </c>
    </row>
    <row r="511" spans="1:3" x14ac:dyDescent="0.45">
      <c r="A511" s="2">
        <v>28021</v>
      </c>
      <c r="B511" s="7">
        <v>403000</v>
      </c>
      <c r="C511" s="8">
        <v>5.2219321148825104E-2</v>
      </c>
    </row>
    <row r="512" spans="1:3" x14ac:dyDescent="0.45">
      <c r="A512" s="2">
        <v>28028</v>
      </c>
      <c r="B512" s="7">
        <v>423000</v>
      </c>
      <c r="C512" s="8">
        <v>4.9627791563275458E-2</v>
      </c>
    </row>
    <row r="513" spans="1:3" x14ac:dyDescent="0.45">
      <c r="A513" s="2">
        <v>28035</v>
      </c>
      <c r="B513" s="7">
        <v>408000</v>
      </c>
      <c r="C513" s="8">
        <v>-3.546099290780147E-2</v>
      </c>
    </row>
    <row r="514" spans="1:3" x14ac:dyDescent="0.45">
      <c r="A514" s="2">
        <v>28042</v>
      </c>
      <c r="B514" s="7">
        <v>411000</v>
      </c>
      <c r="C514" s="8">
        <v>7.3529411764705621E-3</v>
      </c>
    </row>
    <row r="515" spans="1:3" x14ac:dyDescent="0.45">
      <c r="A515" s="2">
        <v>28049</v>
      </c>
      <c r="B515" s="7">
        <v>403000</v>
      </c>
      <c r="C515" s="8">
        <v>-1.9464720194647178E-2</v>
      </c>
    </row>
    <row r="516" spans="1:3" x14ac:dyDescent="0.45">
      <c r="A516" s="2">
        <v>28056</v>
      </c>
      <c r="B516" s="7">
        <v>409000</v>
      </c>
      <c r="C516" s="8">
        <v>1.4888337468982549E-2</v>
      </c>
    </row>
    <row r="517" spans="1:3" x14ac:dyDescent="0.45">
      <c r="A517" s="2">
        <v>28063</v>
      </c>
      <c r="B517" s="7">
        <v>414000</v>
      </c>
      <c r="C517" s="8">
        <v>1.2224938875305513E-2</v>
      </c>
    </row>
    <row r="518" spans="1:3" x14ac:dyDescent="0.45">
      <c r="A518" s="2">
        <v>28070</v>
      </c>
      <c r="B518" s="7">
        <v>390000</v>
      </c>
      <c r="C518" s="8">
        <v>-5.7971014492753659E-2</v>
      </c>
    </row>
    <row r="519" spans="1:3" x14ac:dyDescent="0.45">
      <c r="A519" s="2">
        <v>28077</v>
      </c>
      <c r="B519" s="7">
        <v>383000</v>
      </c>
      <c r="C519" s="8">
        <v>-1.7948717948717996E-2</v>
      </c>
    </row>
    <row r="520" spans="1:3" x14ac:dyDescent="0.45">
      <c r="A520" s="2">
        <v>28084</v>
      </c>
      <c r="B520" s="7">
        <v>408000</v>
      </c>
      <c r="C520" s="8">
        <v>6.5274151436031325E-2</v>
      </c>
    </row>
    <row r="521" spans="1:3" x14ac:dyDescent="0.45">
      <c r="A521" s="2">
        <v>28091</v>
      </c>
      <c r="B521" s="7">
        <v>377000</v>
      </c>
      <c r="C521" s="8">
        <v>-7.5980392156862697E-2</v>
      </c>
    </row>
    <row r="522" spans="1:3" x14ac:dyDescent="0.45">
      <c r="A522" s="2">
        <v>28098</v>
      </c>
      <c r="B522" s="7">
        <v>402000</v>
      </c>
      <c r="C522" s="8">
        <v>6.6312997347480085E-2</v>
      </c>
    </row>
    <row r="523" spans="1:3" x14ac:dyDescent="0.45">
      <c r="A523" s="2">
        <v>28105</v>
      </c>
      <c r="B523" s="7">
        <v>395000</v>
      </c>
      <c r="C523" s="8">
        <v>-1.7412935323383061E-2</v>
      </c>
    </row>
    <row r="524" spans="1:3" x14ac:dyDescent="0.45">
      <c r="A524" s="2">
        <v>28112</v>
      </c>
      <c r="B524" s="7">
        <v>365000</v>
      </c>
      <c r="C524" s="8">
        <v>-7.5949367088607556E-2</v>
      </c>
    </row>
    <row r="525" spans="1:3" x14ac:dyDescent="0.45">
      <c r="A525" s="2">
        <v>28119</v>
      </c>
      <c r="B525" s="7">
        <v>333000</v>
      </c>
      <c r="C525" s="8">
        <v>-8.7671232876712302E-2</v>
      </c>
    </row>
    <row r="526" spans="1:3" x14ac:dyDescent="0.45">
      <c r="A526" s="2">
        <v>28126</v>
      </c>
      <c r="B526" s="7">
        <v>380000</v>
      </c>
      <c r="C526" s="8">
        <v>0.14114114114114118</v>
      </c>
    </row>
    <row r="527" spans="1:3" x14ac:dyDescent="0.45">
      <c r="A527" s="2">
        <v>28133</v>
      </c>
      <c r="B527" s="7">
        <v>416000</v>
      </c>
      <c r="C527" s="8">
        <v>9.473684210526323E-2</v>
      </c>
    </row>
    <row r="528" spans="1:3" x14ac:dyDescent="0.45">
      <c r="A528" s="2">
        <v>28140</v>
      </c>
      <c r="B528" s="7">
        <v>368000</v>
      </c>
      <c r="C528" s="8">
        <v>-0.11538461538461542</v>
      </c>
    </row>
    <row r="529" spans="1:3" x14ac:dyDescent="0.45">
      <c r="A529" s="2">
        <v>28147</v>
      </c>
      <c r="B529" s="7">
        <v>423000</v>
      </c>
      <c r="C529" s="8">
        <v>0.14945652173913038</v>
      </c>
    </row>
    <row r="530" spans="1:3" x14ac:dyDescent="0.45">
      <c r="A530" s="2">
        <v>28154</v>
      </c>
      <c r="B530" s="7">
        <v>422000</v>
      </c>
      <c r="C530" s="8">
        <v>-2.3640661938534313E-3</v>
      </c>
    </row>
    <row r="531" spans="1:3" x14ac:dyDescent="0.45">
      <c r="A531" s="2">
        <v>28161</v>
      </c>
      <c r="B531" s="7">
        <v>565000</v>
      </c>
      <c r="C531" s="8">
        <v>0.33886255924170605</v>
      </c>
    </row>
    <row r="532" spans="1:3" x14ac:dyDescent="0.45">
      <c r="A532" s="2">
        <v>28168</v>
      </c>
      <c r="B532" s="7">
        <v>477000</v>
      </c>
      <c r="C532" s="8">
        <v>-0.15575221238938053</v>
      </c>
    </row>
    <row r="533" spans="1:3" x14ac:dyDescent="0.45">
      <c r="A533" s="2">
        <v>28175</v>
      </c>
      <c r="B533" s="7">
        <v>399000</v>
      </c>
      <c r="C533" s="8">
        <v>-0.16352201257861632</v>
      </c>
    </row>
    <row r="534" spans="1:3" x14ac:dyDescent="0.45">
      <c r="A534" s="2">
        <v>28182</v>
      </c>
      <c r="B534" s="7">
        <v>362000</v>
      </c>
      <c r="C534" s="8">
        <v>-9.2731829573934887E-2</v>
      </c>
    </row>
    <row r="535" spans="1:3" x14ac:dyDescent="0.45">
      <c r="A535" s="2">
        <v>28189</v>
      </c>
      <c r="B535" s="7">
        <v>361000</v>
      </c>
      <c r="C535" s="8">
        <v>-2.7624309392265678E-3</v>
      </c>
    </row>
    <row r="536" spans="1:3" x14ac:dyDescent="0.45">
      <c r="A536" s="2">
        <v>28196</v>
      </c>
      <c r="B536" s="7">
        <v>355000</v>
      </c>
      <c r="C536" s="8">
        <v>-1.6620498614958401E-2</v>
      </c>
    </row>
    <row r="537" spans="1:3" x14ac:dyDescent="0.45">
      <c r="A537" s="2">
        <v>28203</v>
      </c>
      <c r="B537" s="7">
        <v>369000</v>
      </c>
      <c r="C537" s="8">
        <v>3.9436619718309807E-2</v>
      </c>
    </row>
    <row r="538" spans="1:3" x14ac:dyDescent="0.45">
      <c r="A538" s="2">
        <v>28210</v>
      </c>
      <c r="B538" s="7">
        <v>356000</v>
      </c>
      <c r="C538" s="8">
        <v>-3.5230352303523005E-2</v>
      </c>
    </row>
    <row r="539" spans="1:3" x14ac:dyDescent="0.45">
      <c r="A539" s="2">
        <v>28217</v>
      </c>
      <c r="B539" s="7">
        <v>350000</v>
      </c>
      <c r="C539" s="8">
        <v>-1.6853932584269704E-2</v>
      </c>
    </row>
    <row r="540" spans="1:3" x14ac:dyDescent="0.45">
      <c r="A540" s="2">
        <v>28224</v>
      </c>
      <c r="B540" s="7">
        <v>376000</v>
      </c>
      <c r="C540" s="8">
        <v>7.4285714285714288E-2</v>
      </c>
    </row>
    <row r="541" spans="1:3" x14ac:dyDescent="0.45">
      <c r="A541" s="2">
        <v>28231</v>
      </c>
      <c r="B541" s="7">
        <v>361000</v>
      </c>
      <c r="C541" s="8">
        <v>-3.9893617021276584E-2</v>
      </c>
    </row>
    <row r="542" spans="1:3" x14ac:dyDescent="0.45">
      <c r="A542" s="2">
        <v>28238</v>
      </c>
      <c r="B542" s="7">
        <v>375000</v>
      </c>
      <c r="C542" s="8">
        <v>3.8781163434903121E-2</v>
      </c>
    </row>
    <row r="543" spans="1:3" x14ac:dyDescent="0.45">
      <c r="A543" s="2">
        <v>28245</v>
      </c>
      <c r="B543" s="7">
        <v>375000</v>
      </c>
      <c r="C543" s="8">
        <v>0</v>
      </c>
    </row>
    <row r="544" spans="1:3" x14ac:dyDescent="0.45">
      <c r="A544" s="2">
        <v>28252</v>
      </c>
      <c r="B544" s="7">
        <v>384000</v>
      </c>
      <c r="C544" s="8">
        <v>2.4000000000000021E-2</v>
      </c>
    </row>
    <row r="545" spans="1:3" x14ac:dyDescent="0.45">
      <c r="A545" s="2">
        <v>28259</v>
      </c>
      <c r="B545" s="7">
        <v>381000</v>
      </c>
      <c r="C545" s="8">
        <v>-7.8125E-3</v>
      </c>
    </row>
    <row r="546" spans="1:3" x14ac:dyDescent="0.45">
      <c r="A546" s="2">
        <v>28266</v>
      </c>
      <c r="B546" s="7">
        <v>375000</v>
      </c>
      <c r="C546" s="8">
        <v>-1.5748031496062964E-2</v>
      </c>
    </row>
    <row r="547" spans="1:3" x14ac:dyDescent="0.45">
      <c r="A547" s="2">
        <v>28273</v>
      </c>
      <c r="B547" s="7">
        <v>381000</v>
      </c>
      <c r="C547" s="8">
        <v>1.6000000000000014E-2</v>
      </c>
    </row>
    <row r="548" spans="1:3" x14ac:dyDescent="0.45">
      <c r="A548" s="2">
        <v>28280</v>
      </c>
      <c r="B548" s="7">
        <v>363000</v>
      </c>
      <c r="C548" s="8">
        <v>-4.7244094488189003E-2</v>
      </c>
    </row>
    <row r="549" spans="1:3" x14ac:dyDescent="0.45">
      <c r="A549" s="2">
        <v>28287</v>
      </c>
      <c r="B549" s="7">
        <v>358000</v>
      </c>
      <c r="C549" s="8">
        <v>-1.377410468319562E-2</v>
      </c>
    </row>
    <row r="550" spans="1:3" x14ac:dyDescent="0.45">
      <c r="A550" s="2">
        <v>28294</v>
      </c>
      <c r="B550" s="7">
        <v>359000</v>
      </c>
      <c r="C550" s="8">
        <v>2.7932960893854997E-3</v>
      </c>
    </row>
    <row r="551" spans="1:3" x14ac:dyDescent="0.45">
      <c r="A551" s="2">
        <v>28301</v>
      </c>
      <c r="B551" s="7">
        <v>365000</v>
      </c>
      <c r="C551" s="8">
        <v>1.6713091922005541E-2</v>
      </c>
    </row>
    <row r="552" spans="1:3" x14ac:dyDescent="0.45">
      <c r="A552" s="2">
        <v>28308</v>
      </c>
      <c r="B552" s="7">
        <v>350000</v>
      </c>
      <c r="C552" s="8">
        <v>-4.1095890410958957E-2</v>
      </c>
    </row>
    <row r="553" spans="1:3" x14ac:dyDescent="0.45">
      <c r="A553" s="2">
        <v>28315</v>
      </c>
      <c r="B553" s="7">
        <v>361000</v>
      </c>
      <c r="C553" s="8">
        <v>3.1428571428571361E-2</v>
      </c>
    </row>
    <row r="554" spans="1:3" x14ac:dyDescent="0.45">
      <c r="A554" s="2">
        <v>28322</v>
      </c>
      <c r="B554" s="7">
        <v>366000</v>
      </c>
      <c r="C554" s="8">
        <v>1.3850415512465464E-2</v>
      </c>
    </row>
    <row r="555" spans="1:3" x14ac:dyDescent="0.45">
      <c r="A555" s="2">
        <v>28329</v>
      </c>
      <c r="B555" s="7">
        <v>365000</v>
      </c>
      <c r="C555" s="8">
        <v>-2.732240437158473E-3</v>
      </c>
    </row>
    <row r="556" spans="1:3" x14ac:dyDescent="0.45">
      <c r="A556" s="2">
        <v>28336</v>
      </c>
      <c r="B556" s="7">
        <v>365000</v>
      </c>
      <c r="C556" s="8">
        <v>0</v>
      </c>
    </row>
    <row r="557" spans="1:3" x14ac:dyDescent="0.45">
      <c r="A557" s="2">
        <v>28343</v>
      </c>
      <c r="B557" s="7">
        <v>378000</v>
      </c>
      <c r="C557" s="8">
        <v>3.5616438356164348E-2</v>
      </c>
    </row>
    <row r="558" spans="1:3" x14ac:dyDescent="0.45">
      <c r="A558" s="2">
        <v>28350</v>
      </c>
      <c r="B558" s="7">
        <v>359000</v>
      </c>
      <c r="C558" s="8">
        <v>-5.0264550264550234E-2</v>
      </c>
    </row>
    <row r="559" spans="1:3" x14ac:dyDescent="0.45">
      <c r="A559" s="2">
        <v>28357</v>
      </c>
      <c r="B559" s="7">
        <v>367000</v>
      </c>
      <c r="C559" s="8">
        <v>2.2284122562674202E-2</v>
      </c>
    </row>
    <row r="560" spans="1:3" x14ac:dyDescent="0.45">
      <c r="A560" s="2">
        <v>28364</v>
      </c>
      <c r="B560" s="7">
        <v>365000</v>
      </c>
      <c r="C560" s="8">
        <v>-5.4495912806539204E-3</v>
      </c>
    </row>
    <row r="561" spans="1:3" x14ac:dyDescent="0.45">
      <c r="A561" s="2">
        <v>28371</v>
      </c>
      <c r="B561" s="7">
        <v>374000</v>
      </c>
      <c r="C561" s="8">
        <v>2.4657534246575352E-2</v>
      </c>
    </row>
    <row r="562" spans="1:3" x14ac:dyDescent="0.45">
      <c r="A562" s="2">
        <v>28378</v>
      </c>
      <c r="B562" s="7">
        <v>359000</v>
      </c>
      <c r="C562" s="8">
        <v>-4.0106951871657803E-2</v>
      </c>
    </row>
    <row r="563" spans="1:3" x14ac:dyDescent="0.45">
      <c r="A563" s="2">
        <v>28385</v>
      </c>
      <c r="B563" s="7">
        <v>362000</v>
      </c>
      <c r="C563" s="8">
        <v>8.3565459610028814E-3</v>
      </c>
    </row>
    <row r="564" spans="1:3" x14ac:dyDescent="0.45">
      <c r="A564" s="2">
        <v>28392</v>
      </c>
      <c r="B564" s="7">
        <v>380000</v>
      </c>
      <c r="C564" s="8">
        <v>4.9723756906077332E-2</v>
      </c>
    </row>
    <row r="565" spans="1:3" x14ac:dyDescent="0.45">
      <c r="A565" s="2">
        <v>28399</v>
      </c>
      <c r="B565" s="7">
        <v>348000</v>
      </c>
      <c r="C565" s="8">
        <v>-8.4210526315789513E-2</v>
      </c>
    </row>
    <row r="566" spans="1:3" x14ac:dyDescent="0.45">
      <c r="A566" s="2">
        <v>28406</v>
      </c>
      <c r="B566" s="7">
        <v>365000</v>
      </c>
      <c r="C566" s="8">
        <v>4.8850574712643757E-2</v>
      </c>
    </row>
    <row r="567" spans="1:3" x14ac:dyDescent="0.45">
      <c r="A567" s="2">
        <v>28413</v>
      </c>
      <c r="B567" s="7">
        <v>358000</v>
      </c>
      <c r="C567" s="8">
        <v>-1.9178082191780854E-2</v>
      </c>
    </row>
    <row r="568" spans="1:3" x14ac:dyDescent="0.45">
      <c r="A568" s="2">
        <v>28420</v>
      </c>
      <c r="B568" s="7">
        <v>375000</v>
      </c>
      <c r="C568" s="8">
        <v>4.748603351955305E-2</v>
      </c>
    </row>
    <row r="569" spans="1:3" x14ac:dyDescent="0.45">
      <c r="A569" s="2">
        <v>28427</v>
      </c>
      <c r="B569" s="7">
        <v>349000</v>
      </c>
      <c r="C569" s="8">
        <v>-6.9333333333333358E-2</v>
      </c>
    </row>
    <row r="570" spans="1:3" x14ac:dyDescent="0.45">
      <c r="A570" s="2">
        <v>28434</v>
      </c>
      <c r="B570" s="7">
        <v>366000</v>
      </c>
      <c r="C570" s="8">
        <v>4.871060171919761E-2</v>
      </c>
    </row>
    <row r="571" spans="1:3" x14ac:dyDescent="0.45">
      <c r="A571" s="2">
        <v>28441</v>
      </c>
      <c r="B571" s="7">
        <v>334000</v>
      </c>
      <c r="C571" s="8">
        <v>-8.7431693989071024E-2</v>
      </c>
    </row>
    <row r="572" spans="1:3" x14ac:dyDescent="0.45">
      <c r="A572" s="2">
        <v>28448</v>
      </c>
      <c r="B572" s="7">
        <v>360000</v>
      </c>
      <c r="C572" s="8">
        <v>7.7844311377245567E-2</v>
      </c>
    </row>
    <row r="573" spans="1:3" x14ac:dyDescent="0.45">
      <c r="A573" s="2">
        <v>28455</v>
      </c>
      <c r="B573" s="7">
        <v>354000</v>
      </c>
      <c r="C573" s="8">
        <v>-1.6666666666666718E-2</v>
      </c>
    </row>
    <row r="574" spans="1:3" x14ac:dyDescent="0.45">
      <c r="A574" s="2">
        <v>28462</v>
      </c>
      <c r="B574" s="7">
        <v>367000</v>
      </c>
      <c r="C574" s="8">
        <v>3.672316384180796E-2</v>
      </c>
    </row>
    <row r="575" spans="1:3" x14ac:dyDescent="0.45">
      <c r="A575" s="2">
        <v>28469</v>
      </c>
      <c r="B575" s="7">
        <v>364000</v>
      </c>
      <c r="C575" s="8">
        <v>-8.1743869209809361E-3</v>
      </c>
    </row>
    <row r="576" spans="1:3" x14ac:dyDescent="0.45">
      <c r="A576" s="2">
        <v>28476</v>
      </c>
      <c r="B576" s="7">
        <v>359000</v>
      </c>
      <c r="C576" s="8">
        <v>-1.3736263736263687E-2</v>
      </c>
    </row>
    <row r="577" spans="1:3" x14ac:dyDescent="0.45">
      <c r="A577" s="2">
        <v>28483</v>
      </c>
      <c r="B577" s="7">
        <v>344000</v>
      </c>
      <c r="C577" s="8">
        <v>-4.1782729805013963E-2</v>
      </c>
    </row>
    <row r="578" spans="1:3" x14ac:dyDescent="0.45">
      <c r="A578" s="2">
        <v>28490</v>
      </c>
      <c r="B578" s="7">
        <v>364000</v>
      </c>
      <c r="C578" s="8">
        <v>5.8139534883721034E-2</v>
      </c>
    </row>
    <row r="579" spans="1:3" x14ac:dyDescent="0.45">
      <c r="A579" s="2">
        <v>28497</v>
      </c>
      <c r="B579" s="7">
        <v>346000</v>
      </c>
      <c r="C579" s="8">
        <v>-4.9450549450549497E-2</v>
      </c>
    </row>
    <row r="580" spans="1:3" x14ac:dyDescent="0.45">
      <c r="A580" s="2">
        <v>28504</v>
      </c>
      <c r="B580" s="7">
        <v>343000</v>
      </c>
      <c r="C580" s="8">
        <v>-8.6705202312138407E-3</v>
      </c>
    </row>
    <row r="581" spans="1:3" x14ac:dyDescent="0.45">
      <c r="A581" s="2">
        <v>28511</v>
      </c>
      <c r="B581" s="7">
        <v>352000</v>
      </c>
      <c r="C581" s="8">
        <v>2.6239067055393583E-2</v>
      </c>
    </row>
    <row r="582" spans="1:3" x14ac:dyDescent="0.45">
      <c r="A582" s="2">
        <v>28518</v>
      </c>
      <c r="B582" s="7">
        <v>363000</v>
      </c>
      <c r="C582" s="8">
        <v>3.125E-2</v>
      </c>
    </row>
    <row r="583" spans="1:3" x14ac:dyDescent="0.45">
      <c r="A583" s="2">
        <v>28525</v>
      </c>
      <c r="B583" s="7">
        <v>360000</v>
      </c>
      <c r="C583" s="8">
        <v>-8.2644628099173278E-3</v>
      </c>
    </row>
    <row r="584" spans="1:3" x14ac:dyDescent="0.45">
      <c r="A584" s="2">
        <v>28532</v>
      </c>
      <c r="B584" s="7">
        <v>373000</v>
      </c>
      <c r="C584" s="8">
        <v>3.6111111111111205E-2</v>
      </c>
    </row>
    <row r="585" spans="1:3" x14ac:dyDescent="0.45">
      <c r="A585" s="2">
        <v>28539</v>
      </c>
      <c r="B585" s="7">
        <v>429000</v>
      </c>
      <c r="C585" s="8">
        <v>0.15013404825737275</v>
      </c>
    </row>
    <row r="586" spans="1:3" x14ac:dyDescent="0.45">
      <c r="A586" s="2">
        <v>28546</v>
      </c>
      <c r="B586" s="7">
        <v>371000</v>
      </c>
      <c r="C586" s="8">
        <v>-0.13519813519813517</v>
      </c>
    </row>
    <row r="587" spans="1:3" x14ac:dyDescent="0.45">
      <c r="A587" s="2">
        <v>28553</v>
      </c>
      <c r="B587" s="7">
        <v>355000</v>
      </c>
      <c r="C587" s="8">
        <v>-4.3126684636118573E-2</v>
      </c>
    </row>
    <row r="588" spans="1:3" x14ac:dyDescent="0.45">
      <c r="A588" s="2">
        <v>28560</v>
      </c>
      <c r="B588" s="7">
        <v>359000</v>
      </c>
      <c r="C588" s="8">
        <v>1.1267605633802802E-2</v>
      </c>
    </row>
    <row r="589" spans="1:3" x14ac:dyDescent="0.45">
      <c r="A589" s="2">
        <v>28567</v>
      </c>
      <c r="B589" s="7">
        <v>347000</v>
      </c>
      <c r="C589" s="8">
        <v>-3.3426183844011192E-2</v>
      </c>
    </row>
    <row r="590" spans="1:3" x14ac:dyDescent="0.45">
      <c r="A590" s="2">
        <v>28574</v>
      </c>
      <c r="B590" s="7">
        <v>335000</v>
      </c>
      <c r="C590" s="8">
        <v>-3.458213256484155E-2</v>
      </c>
    </row>
    <row r="591" spans="1:3" x14ac:dyDescent="0.45">
      <c r="A591" s="2">
        <v>28581</v>
      </c>
      <c r="B591" s="7">
        <v>333000</v>
      </c>
      <c r="C591" s="8">
        <v>-5.9701492537312939E-3</v>
      </c>
    </row>
    <row r="592" spans="1:3" x14ac:dyDescent="0.45">
      <c r="A592" s="2">
        <v>28588</v>
      </c>
      <c r="B592" s="7">
        <v>345000</v>
      </c>
      <c r="C592" s="8">
        <v>3.6036036036036112E-2</v>
      </c>
    </row>
    <row r="593" spans="1:3" x14ac:dyDescent="0.45">
      <c r="A593" s="2">
        <v>28595</v>
      </c>
      <c r="B593" s="7">
        <v>309000</v>
      </c>
      <c r="C593" s="8">
        <v>-0.10434782608695647</v>
      </c>
    </row>
    <row r="594" spans="1:3" x14ac:dyDescent="0.45">
      <c r="A594" s="2">
        <v>28602</v>
      </c>
      <c r="B594" s="7">
        <v>319000</v>
      </c>
      <c r="C594" s="8">
        <v>3.2362459546925626E-2</v>
      </c>
    </row>
    <row r="595" spans="1:3" x14ac:dyDescent="0.45">
      <c r="A595" s="2">
        <v>28609</v>
      </c>
      <c r="B595" s="7">
        <v>324000</v>
      </c>
      <c r="C595" s="8">
        <v>1.5673981191222541E-2</v>
      </c>
    </row>
    <row r="596" spans="1:3" x14ac:dyDescent="0.45">
      <c r="A596" s="2">
        <v>28616</v>
      </c>
      <c r="B596" s="7">
        <v>334000</v>
      </c>
      <c r="C596" s="8">
        <v>3.0864197530864113E-2</v>
      </c>
    </row>
    <row r="597" spans="1:3" x14ac:dyDescent="0.45">
      <c r="A597" s="2">
        <v>28623</v>
      </c>
      <c r="B597" s="7">
        <v>322000</v>
      </c>
      <c r="C597" s="8">
        <v>-3.59281437125748E-2</v>
      </c>
    </row>
    <row r="598" spans="1:3" x14ac:dyDescent="0.45">
      <c r="A598" s="2">
        <v>28630</v>
      </c>
      <c r="B598" s="7">
        <v>334000</v>
      </c>
      <c r="C598" s="8">
        <v>3.7267080745341685E-2</v>
      </c>
    </row>
    <row r="599" spans="1:3" x14ac:dyDescent="0.45">
      <c r="A599" s="2">
        <v>28637</v>
      </c>
      <c r="B599" s="7">
        <v>318000</v>
      </c>
      <c r="C599" s="8">
        <v>-4.7904191616766512E-2</v>
      </c>
    </row>
    <row r="600" spans="1:3" x14ac:dyDescent="0.45">
      <c r="A600" s="2">
        <v>28644</v>
      </c>
      <c r="B600" s="7">
        <v>310000</v>
      </c>
      <c r="C600" s="8">
        <v>-2.515723270440251E-2</v>
      </c>
    </row>
    <row r="601" spans="1:3" x14ac:dyDescent="0.45">
      <c r="A601" s="2">
        <v>28651</v>
      </c>
      <c r="B601" s="7">
        <v>331000</v>
      </c>
      <c r="C601" s="8">
        <v>6.7741935483870863E-2</v>
      </c>
    </row>
    <row r="602" spans="1:3" x14ac:dyDescent="0.45">
      <c r="A602" s="2">
        <v>28658</v>
      </c>
      <c r="B602" s="7">
        <v>326000</v>
      </c>
      <c r="C602" s="8">
        <v>-1.5105740181268867E-2</v>
      </c>
    </row>
    <row r="603" spans="1:3" x14ac:dyDescent="0.45">
      <c r="A603" s="2">
        <v>28665</v>
      </c>
      <c r="B603" s="7">
        <v>330000</v>
      </c>
      <c r="C603" s="8">
        <v>1.2269938650306678E-2</v>
      </c>
    </row>
    <row r="604" spans="1:3" x14ac:dyDescent="0.45">
      <c r="A604" s="2">
        <v>28672</v>
      </c>
      <c r="B604" s="7">
        <v>348000</v>
      </c>
      <c r="C604" s="8">
        <v>5.4545454545454453E-2</v>
      </c>
    </row>
    <row r="605" spans="1:3" x14ac:dyDescent="0.45">
      <c r="A605" s="2">
        <v>28679</v>
      </c>
      <c r="B605" s="7">
        <v>356000</v>
      </c>
      <c r="C605" s="8">
        <v>2.2988505747126409E-2</v>
      </c>
    </row>
    <row r="606" spans="1:3" x14ac:dyDescent="0.45">
      <c r="A606" s="2">
        <v>28686</v>
      </c>
      <c r="B606" s="7">
        <v>352000</v>
      </c>
      <c r="C606" s="8">
        <v>-1.1235955056179803E-2</v>
      </c>
    </row>
    <row r="607" spans="1:3" x14ac:dyDescent="0.45">
      <c r="A607" s="2">
        <v>28693</v>
      </c>
      <c r="B607" s="7">
        <v>349000</v>
      </c>
      <c r="C607" s="8">
        <v>-8.5227272727272929E-3</v>
      </c>
    </row>
    <row r="608" spans="1:3" x14ac:dyDescent="0.45">
      <c r="A608" s="2">
        <v>28700</v>
      </c>
      <c r="B608" s="7">
        <v>346000</v>
      </c>
      <c r="C608" s="8">
        <v>-8.5959885386819312E-3</v>
      </c>
    </row>
    <row r="609" spans="1:3" x14ac:dyDescent="0.45">
      <c r="A609" s="2">
        <v>28707</v>
      </c>
      <c r="B609" s="7">
        <v>365000</v>
      </c>
      <c r="C609" s="8">
        <v>5.4913294797687806E-2</v>
      </c>
    </row>
    <row r="610" spans="1:3" x14ac:dyDescent="0.45">
      <c r="A610" s="2">
        <v>28714</v>
      </c>
      <c r="B610" s="7">
        <v>354000</v>
      </c>
      <c r="C610" s="8">
        <v>-3.013698630136985E-2</v>
      </c>
    </row>
    <row r="611" spans="1:3" x14ac:dyDescent="0.45">
      <c r="A611" s="2">
        <v>28721</v>
      </c>
      <c r="B611" s="7">
        <v>343000</v>
      </c>
      <c r="C611" s="8">
        <v>-3.1073446327683607E-2</v>
      </c>
    </row>
    <row r="612" spans="1:3" x14ac:dyDescent="0.45">
      <c r="A612" s="2">
        <v>28728</v>
      </c>
      <c r="B612" s="7">
        <v>333000</v>
      </c>
      <c r="C612" s="8">
        <v>-2.9154518950437303E-2</v>
      </c>
    </row>
    <row r="613" spans="1:3" x14ac:dyDescent="0.45">
      <c r="A613" s="2">
        <v>28735</v>
      </c>
      <c r="B613" s="7">
        <v>313000</v>
      </c>
      <c r="C613" s="8">
        <v>-6.0060060060060039E-2</v>
      </c>
    </row>
    <row r="614" spans="1:3" x14ac:dyDescent="0.45">
      <c r="A614" s="2">
        <v>28742</v>
      </c>
      <c r="B614" s="7">
        <v>337000</v>
      </c>
      <c r="C614" s="8">
        <v>7.667731629392982E-2</v>
      </c>
    </row>
    <row r="615" spans="1:3" x14ac:dyDescent="0.45">
      <c r="A615" s="2">
        <v>28749</v>
      </c>
      <c r="B615" s="7">
        <v>322000</v>
      </c>
      <c r="C615" s="8">
        <v>-4.451038575667654E-2</v>
      </c>
    </row>
    <row r="616" spans="1:3" x14ac:dyDescent="0.45">
      <c r="A616" s="2">
        <v>28756</v>
      </c>
      <c r="B616" s="7">
        <v>323000</v>
      </c>
      <c r="C616" s="8">
        <v>3.1055900621117516E-3</v>
      </c>
    </row>
    <row r="617" spans="1:3" x14ac:dyDescent="0.45">
      <c r="A617" s="2">
        <v>28763</v>
      </c>
      <c r="B617" s="7">
        <v>318000</v>
      </c>
      <c r="C617" s="8">
        <v>-1.5479876160990669E-2</v>
      </c>
    </row>
    <row r="618" spans="1:3" x14ac:dyDescent="0.45">
      <c r="A618" s="2">
        <v>28770</v>
      </c>
      <c r="B618" s="7">
        <v>343000</v>
      </c>
      <c r="C618" s="8">
        <v>7.8616352201257955E-2</v>
      </c>
    </row>
    <row r="619" spans="1:3" x14ac:dyDescent="0.45">
      <c r="A619" s="2">
        <v>28777</v>
      </c>
      <c r="B619" s="7">
        <v>316000</v>
      </c>
      <c r="C619" s="8">
        <v>-7.871720116618075E-2</v>
      </c>
    </row>
    <row r="620" spans="1:3" x14ac:dyDescent="0.45">
      <c r="A620" s="2">
        <v>28784</v>
      </c>
      <c r="B620" s="7">
        <v>338000</v>
      </c>
      <c r="C620" s="8">
        <v>6.9620253164556889E-2</v>
      </c>
    </row>
    <row r="621" spans="1:3" x14ac:dyDescent="0.45">
      <c r="A621" s="2">
        <v>28791</v>
      </c>
      <c r="B621" s="7">
        <v>316000</v>
      </c>
      <c r="C621" s="8">
        <v>-6.5088757396449703E-2</v>
      </c>
    </row>
    <row r="622" spans="1:3" x14ac:dyDescent="0.45">
      <c r="A622" s="2">
        <v>28798</v>
      </c>
      <c r="B622" s="7">
        <v>317000</v>
      </c>
      <c r="C622" s="8">
        <v>3.1645569620253333E-3</v>
      </c>
    </row>
    <row r="623" spans="1:3" x14ac:dyDescent="0.45">
      <c r="A623" s="2">
        <v>28805</v>
      </c>
      <c r="B623" s="7">
        <v>304000</v>
      </c>
      <c r="C623" s="8">
        <v>-4.1009463722397443E-2</v>
      </c>
    </row>
    <row r="624" spans="1:3" x14ac:dyDescent="0.45">
      <c r="A624" s="2">
        <v>28812</v>
      </c>
      <c r="B624" s="7">
        <v>342000</v>
      </c>
      <c r="C624" s="8">
        <v>0.125</v>
      </c>
    </row>
    <row r="625" spans="1:3" x14ac:dyDescent="0.45">
      <c r="A625" s="2">
        <v>28819</v>
      </c>
      <c r="B625" s="7">
        <v>359000</v>
      </c>
      <c r="C625" s="8">
        <v>4.9707602339181367E-2</v>
      </c>
    </row>
    <row r="626" spans="1:3" x14ac:dyDescent="0.45">
      <c r="A626" s="2">
        <v>28826</v>
      </c>
      <c r="B626" s="7">
        <v>377000</v>
      </c>
      <c r="C626" s="8">
        <v>5.0139275766016622E-2</v>
      </c>
    </row>
    <row r="627" spans="1:3" x14ac:dyDescent="0.45">
      <c r="A627" s="2">
        <v>28833</v>
      </c>
      <c r="B627" s="7">
        <v>344000</v>
      </c>
      <c r="C627" s="8">
        <v>-8.753315649867377E-2</v>
      </c>
    </row>
    <row r="628" spans="1:3" x14ac:dyDescent="0.45">
      <c r="A628" s="2">
        <v>28840</v>
      </c>
      <c r="B628" s="7">
        <v>347000</v>
      </c>
      <c r="C628" s="8">
        <v>8.720930232558155E-3</v>
      </c>
    </row>
    <row r="629" spans="1:3" x14ac:dyDescent="0.45">
      <c r="A629" s="2">
        <v>28847</v>
      </c>
      <c r="B629" s="7">
        <v>352000</v>
      </c>
      <c r="C629" s="8">
        <v>1.4409221902017322E-2</v>
      </c>
    </row>
    <row r="630" spans="1:3" x14ac:dyDescent="0.45">
      <c r="A630" s="2">
        <v>28854</v>
      </c>
      <c r="B630" s="7">
        <v>358000</v>
      </c>
      <c r="C630" s="8">
        <v>1.7045454545454586E-2</v>
      </c>
    </row>
    <row r="631" spans="1:3" x14ac:dyDescent="0.45">
      <c r="A631" s="2">
        <v>28861</v>
      </c>
      <c r="B631" s="7">
        <v>359000</v>
      </c>
      <c r="C631" s="8">
        <v>2.7932960893854997E-3</v>
      </c>
    </row>
    <row r="632" spans="1:3" x14ac:dyDescent="0.45">
      <c r="A632" s="2">
        <v>28868</v>
      </c>
      <c r="B632" s="7">
        <v>392000</v>
      </c>
      <c r="C632" s="8">
        <v>9.1922005571030585E-2</v>
      </c>
    </row>
    <row r="633" spans="1:3" x14ac:dyDescent="0.45">
      <c r="A633" s="2">
        <v>28875</v>
      </c>
      <c r="B633" s="7">
        <v>337000</v>
      </c>
      <c r="C633" s="8">
        <v>-0.14030612244897955</v>
      </c>
    </row>
    <row r="634" spans="1:3" x14ac:dyDescent="0.45">
      <c r="A634" s="2">
        <v>28882</v>
      </c>
      <c r="B634" s="7">
        <v>342000</v>
      </c>
      <c r="C634" s="8">
        <v>1.4836795252225476E-2</v>
      </c>
    </row>
    <row r="635" spans="1:3" x14ac:dyDescent="0.45">
      <c r="A635" s="2">
        <v>28889</v>
      </c>
      <c r="B635" s="7">
        <v>348000</v>
      </c>
      <c r="C635" s="8">
        <v>1.7543859649122862E-2</v>
      </c>
    </row>
    <row r="636" spans="1:3" x14ac:dyDescent="0.45">
      <c r="A636" s="2">
        <v>28896</v>
      </c>
      <c r="B636" s="7">
        <v>359000</v>
      </c>
      <c r="C636" s="8">
        <v>3.1609195402298784E-2</v>
      </c>
    </row>
    <row r="637" spans="1:3" x14ac:dyDescent="0.45">
      <c r="A637" s="2">
        <v>28903</v>
      </c>
      <c r="B637" s="7">
        <v>367000</v>
      </c>
      <c r="C637" s="8">
        <v>2.2284122562674202E-2</v>
      </c>
    </row>
    <row r="638" spans="1:3" x14ac:dyDescent="0.45">
      <c r="A638" s="2">
        <v>28910</v>
      </c>
      <c r="B638" s="7">
        <v>360000</v>
      </c>
      <c r="C638" s="8">
        <v>-1.9073569482288777E-2</v>
      </c>
    </row>
    <row r="639" spans="1:3" x14ac:dyDescent="0.45">
      <c r="A639" s="2">
        <v>28917</v>
      </c>
      <c r="B639" s="7">
        <v>355000</v>
      </c>
      <c r="C639" s="8">
        <v>-1.388888888888884E-2</v>
      </c>
    </row>
    <row r="640" spans="1:3" x14ac:dyDescent="0.45">
      <c r="A640" s="2">
        <v>28924</v>
      </c>
      <c r="B640" s="7">
        <v>363000</v>
      </c>
      <c r="C640" s="8">
        <v>2.2535211267605604E-2</v>
      </c>
    </row>
    <row r="641" spans="1:3" x14ac:dyDescent="0.45">
      <c r="A641" s="2">
        <v>28931</v>
      </c>
      <c r="B641" s="7">
        <v>359000</v>
      </c>
      <c r="C641" s="8">
        <v>-1.1019283746556474E-2</v>
      </c>
    </row>
    <row r="642" spans="1:3" x14ac:dyDescent="0.45">
      <c r="A642" s="2">
        <v>28938</v>
      </c>
      <c r="B642" s="7">
        <v>353000</v>
      </c>
      <c r="C642" s="8">
        <v>-1.6713091922005541E-2</v>
      </c>
    </row>
    <row r="643" spans="1:3" x14ac:dyDescent="0.45">
      <c r="A643" s="2">
        <v>28945</v>
      </c>
      <c r="B643" s="7">
        <v>360000</v>
      </c>
      <c r="C643" s="8">
        <v>1.9830028328611915E-2</v>
      </c>
    </row>
    <row r="644" spans="1:3" x14ac:dyDescent="0.45">
      <c r="A644" s="2">
        <v>28952</v>
      </c>
      <c r="B644" s="7">
        <v>465000</v>
      </c>
      <c r="C644" s="8">
        <v>0.29166666666666674</v>
      </c>
    </row>
    <row r="645" spans="1:3" x14ac:dyDescent="0.45">
      <c r="A645" s="2">
        <v>28959</v>
      </c>
      <c r="B645" s="7">
        <v>457000</v>
      </c>
      <c r="C645" s="8">
        <v>-1.7204301075268824E-2</v>
      </c>
    </row>
    <row r="646" spans="1:3" x14ac:dyDescent="0.45">
      <c r="A646" s="2">
        <v>28966</v>
      </c>
      <c r="B646" s="7">
        <v>383000</v>
      </c>
      <c r="C646" s="8">
        <v>-0.16192560175054704</v>
      </c>
    </row>
    <row r="647" spans="1:3" x14ac:dyDescent="0.45">
      <c r="A647" s="2">
        <v>28973</v>
      </c>
      <c r="B647" s="7">
        <v>357000</v>
      </c>
      <c r="C647" s="8">
        <v>-6.7885117493472591E-2</v>
      </c>
    </row>
    <row r="648" spans="1:3" x14ac:dyDescent="0.45">
      <c r="A648" s="2">
        <v>28980</v>
      </c>
      <c r="B648" s="7">
        <v>353000</v>
      </c>
      <c r="C648" s="8">
        <v>-1.1204481792717047E-2</v>
      </c>
    </row>
    <row r="649" spans="1:3" x14ac:dyDescent="0.45">
      <c r="A649" s="2">
        <v>28987</v>
      </c>
      <c r="B649" s="7">
        <v>344000</v>
      </c>
      <c r="C649" s="8">
        <v>-2.5495750708215303E-2</v>
      </c>
    </row>
    <row r="650" spans="1:3" x14ac:dyDescent="0.45">
      <c r="A650" s="2">
        <v>28994</v>
      </c>
      <c r="B650" s="7">
        <v>346000</v>
      </c>
      <c r="C650" s="8">
        <v>5.8139534883721034E-3</v>
      </c>
    </row>
    <row r="651" spans="1:3" x14ac:dyDescent="0.45">
      <c r="A651" s="2">
        <v>29001</v>
      </c>
      <c r="B651" s="7">
        <v>349000</v>
      </c>
      <c r="C651" s="8">
        <v>8.6705202312138407E-3</v>
      </c>
    </row>
    <row r="652" spans="1:3" x14ac:dyDescent="0.45">
      <c r="A652" s="2">
        <v>29008</v>
      </c>
      <c r="B652" s="7">
        <v>336000</v>
      </c>
      <c r="C652" s="8">
        <v>-3.7249283667621813E-2</v>
      </c>
    </row>
    <row r="653" spans="1:3" x14ac:dyDescent="0.45">
      <c r="A653" s="2">
        <v>29015</v>
      </c>
      <c r="B653" s="7">
        <v>365000</v>
      </c>
      <c r="C653" s="8">
        <v>8.6309523809523725E-2</v>
      </c>
    </row>
    <row r="654" spans="1:3" x14ac:dyDescent="0.45">
      <c r="A654" s="2">
        <v>29022</v>
      </c>
      <c r="B654" s="7">
        <v>351000</v>
      </c>
      <c r="C654" s="8">
        <v>-3.8356164383561597E-2</v>
      </c>
    </row>
    <row r="655" spans="1:3" x14ac:dyDescent="0.45">
      <c r="A655" s="2">
        <v>29029</v>
      </c>
      <c r="B655" s="7">
        <v>379000</v>
      </c>
      <c r="C655" s="8">
        <v>7.9772079772079785E-2</v>
      </c>
    </row>
    <row r="656" spans="1:3" x14ac:dyDescent="0.45">
      <c r="A656" s="2">
        <v>29036</v>
      </c>
      <c r="B656" s="7">
        <v>369000</v>
      </c>
      <c r="C656" s="8">
        <v>-2.6385224274406371E-2</v>
      </c>
    </row>
    <row r="657" spans="1:3" x14ac:dyDescent="0.45">
      <c r="A657" s="2">
        <v>29043</v>
      </c>
      <c r="B657" s="7">
        <v>368000</v>
      </c>
      <c r="C657" s="8">
        <v>-2.7100271002710175E-3</v>
      </c>
    </row>
    <row r="658" spans="1:3" x14ac:dyDescent="0.45">
      <c r="A658" s="2">
        <v>29050</v>
      </c>
      <c r="B658" s="7">
        <v>368000</v>
      </c>
      <c r="C658" s="8">
        <v>0</v>
      </c>
    </row>
    <row r="659" spans="1:3" x14ac:dyDescent="0.45">
      <c r="A659" s="2">
        <v>29057</v>
      </c>
      <c r="B659" s="7">
        <v>395000</v>
      </c>
      <c r="C659" s="8">
        <v>7.3369565217391353E-2</v>
      </c>
    </row>
    <row r="660" spans="1:3" x14ac:dyDescent="0.45">
      <c r="A660" s="2">
        <v>29064</v>
      </c>
      <c r="B660" s="7">
        <v>386000</v>
      </c>
      <c r="C660" s="8">
        <v>-2.2784810126582289E-2</v>
      </c>
    </row>
    <row r="661" spans="1:3" x14ac:dyDescent="0.45">
      <c r="A661" s="2">
        <v>29071</v>
      </c>
      <c r="B661" s="7">
        <v>412000</v>
      </c>
      <c r="C661" s="8">
        <v>6.7357512953367893E-2</v>
      </c>
    </row>
    <row r="662" spans="1:3" x14ac:dyDescent="0.45">
      <c r="A662" s="2">
        <v>29078</v>
      </c>
      <c r="B662" s="7">
        <v>386000</v>
      </c>
      <c r="C662" s="8">
        <v>-6.3106796116504826E-2</v>
      </c>
    </row>
    <row r="663" spans="1:3" x14ac:dyDescent="0.45">
      <c r="A663" s="2">
        <v>29085</v>
      </c>
      <c r="B663" s="7">
        <v>387000</v>
      </c>
      <c r="C663" s="8">
        <v>2.5906735751295429E-3</v>
      </c>
    </row>
    <row r="664" spans="1:3" x14ac:dyDescent="0.45">
      <c r="A664" s="2">
        <v>29092</v>
      </c>
      <c r="B664" s="7">
        <v>390000</v>
      </c>
      <c r="C664" s="8">
        <v>7.7519379844961378E-3</v>
      </c>
    </row>
    <row r="665" spans="1:3" x14ac:dyDescent="0.45">
      <c r="A665" s="2">
        <v>29099</v>
      </c>
      <c r="B665" s="7">
        <v>389000</v>
      </c>
      <c r="C665" s="8">
        <v>-2.564102564102555E-3</v>
      </c>
    </row>
    <row r="666" spans="1:3" x14ac:dyDescent="0.45">
      <c r="A666" s="2">
        <v>29106</v>
      </c>
      <c r="B666" s="7">
        <v>378000</v>
      </c>
      <c r="C666" s="8">
        <v>-2.8277634961439535E-2</v>
      </c>
    </row>
    <row r="667" spans="1:3" x14ac:dyDescent="0.45">
      <c r="A667" s="2">
        <v>29113</v>
      </c>
      <c r="B667" s="7">
        <v>384000</v>
      </c>
      <c r="C667" s="8">
        <v>1.5873015873015817E-2</v>
      </c>
    </row>
    <row r="668" spans="1:3" x14ac:dyDescent="0.45">
      <c r="A668" s="2">
        <v>29120</v>
      </c>
      <c r="B668" s="7">
        <v>388000</v>
      </c>
      <c r="C668" s="8">
        <v>1.0416666666666741E-2</v>
      </c>
    </row>
    <row r="669" spans="1:3" x14ac:dyDescent="0.45">
      <c r="A669" s="2">
        <v>29127</v>
      </c>
      <c r="B669" s="7">
        <v>390000</v>
      </c>
      <c r="C669" s="8">
        <v>5.1546391752577136E-3</v>
      </c>
    </row>
    <row r="670" spans="1:3" x14ac:dyDescent="0.45">
      <c r="A670" s="2">
        <v>29134</v>
      </c>
      <c r="B670" s="7">
        <v>412000</v>
      </c>
      <c r="C670" s="8">
        <v>5.6410256410256432E-2</v>
      </c>
    </row>
    <row r="671" spans="1:3" x14ac:dyDescent="0.45">
      <c r="A671" s="2">
        <v>29141</v>
      </c>
      <c r="B671" s="7">
        <v>393000</v>
      </c>
      <c r="C671" s="8">
        <v>-4.6116504854368912E-2</v>
      </c>
    </row>
    <row r="672" spans="1:3" x14ac:dyDescent="0.45">
      <c r="A672" s="2">
        <v>29148</v>
      </c>
      <c r="B672" s="7">
        <v>406000</v>
      </c>
      <c r="C672" s="8">
        <v>3.30788804071247E-2</v>
      </c>
    </row>
    <row r="673" spans="1:3" x14ac:dyDescent="0.45">
      <c r="A673" s="2">
        <v>29155</v>
      </c>
      <c r="B673" s="7">
        <v>398000</v>
      </c>
      <c r="C673" s="8">
        <v>-1.9704433497536922E-2</v>
      </c>
    </row>
    <row r="674" spans="1:3" x14ac:dyDescent="0.45">
      <c r="A674" s="2">
        <v>29162</v>
      </c>
      <c r="B674" s="7">
        <v>395000</v>
      </c>
      <c r="C674" s="8">
        <v>-7.5376884422110324E-3</v>
      </c>
    </row>
    <row r="675" spans="1:3" x14ac:dyDescent="0.45">
      <c r="A675" s="2">
        <v>29169</v>
      </c>
      <c r="B675" s="7">
        <v>414000</v>
      </c>
      <c r="C675" s="8">
        <v>4.8101265822784844E-2</v>
      </c>
    </row>
    <row r="676" spans="1:3" x14ac:dyDescent="0.45">
      <c r="A676" s="2">
        <v>29176</v>
      </c>
      <c r="B676" s="7">
        <v>430000</v>
      </c>
      <c r="C676" s="8">
        <v>3.8647342995169032E-2</v>
      </c>
    </row>
    <row r="677" spans="1:3" x14ac:dyDescent="0.45">
      <c r="A677" s="2">
        <v>29183</v>
      </c>
      <c r="B677" s="7">
        <v>414000</v>
      </c>
      <c r="C677" s="8">
        <v>-3.7209302325581395E-2</v>
      </c>
    </row>
    <row r="678" spans="1:3" x14ac:dyDescent="0.45">
      <c r="A678" s="2">
        <v>29190</v>
      </c>
      <c r="B678" s="7">
        <v>416000</v>
      </c>
      <c r="C678" s="8">
        <v>4.8309178743961567E-3</v>
      </c>
    </row>
    <row r="679" spans="1:3" x14ac:dyDescent="0.45">
      <c r="A679" s="2">
        <v>29197</v>
      </c>
      <c r="B679" s="7">
        <v>415000</v>
      </c>
      <c r="C679" s="8">
        <v>-2.4038461538461453E-3</v>
      </c>
    </row>
    <row r="680" spans="1:3" x14ac:dyDescent="0.45">
      <c r="A680" s="2">
        <v>29204</v>
      </c>
      <c r="B680" s="7">
        <v>411000</v>
      </c>
      <c r="C680" s="8">
        <v>-9.6385542168674343E-3</v>
      </c>
    </row>
    <row r="681" spans="1:3" x14ac:dyDescent="0.45">
      <c r="A681" s="2">
        <v>29211</v>
      </c>
      <c r="B681" s="7">
        <v>471000</v>
      </c>
      <c r="C681" s="8">
        <v>0.14598540145985406</v>
      </c>
    </row>
    <row r="682" spans="1:3" x14ac:dyDescent="0.45">
      <c r="A682" s="2">
        <v>29218</v>
      </c>
      <c r="B682" s="7">
        <v>428000</v>
      </c>
      <c r="C682" s="8">
        <v>-9.1295116772823759E-2</v>
      </c>
    </row>
    <row r="683" spans="1:3" x14ac:dyDescent="0.45">
      <c r="A683" s="2">
        <v>29225</v>
      </c>
      <c r="B683" s="7">
        <v>394000</v>
      </c>
      <c r="C683" s="8">
        <v>-7.9439252336448551E-2</v>
      </c>
    </row>
    <row r="684" spans="1:3" x14ac:dyDescent="0.45">
      <c r="A684" s="2">
        <v>29232</v>
      </c>
      <c r="B684" s="7">
        <v>405000</v>
      </c>
      <c r="C684" s="8">
        <v>2.7918781725888353E-2</v>
      </c>
    </row>
    <row r="685" spans="1:3" x14ac:dyDescent="0.45">
      <c r="A685" s="2">
        <v>29239</v>
      </c>
      <c r="B685" s="7">
        <v>446000</v>
      </c>
      <c r="C685" s="8">
        <v>0.10123456790123453</v>
      </c>
    </row>
    <row r="686" spans="1:3" x14ac:dyDescent="0.45">
      <c r="A686" s="2">
        <v>29246</v>
      </c>
      <c r="B686" s="7">
        <v>412000</v>
      </c>
      <c r="C686" s="8">
        <v>-7.623318385650224E-2</v>
      </c>
    </row>
    <row r="687" spans="1:3" x14ac:dyDescent="0.45">
      <c r="A687" s="2">
        <v>29253</v>
      </c>
      <c r="B687" s="7">
        <v>404000</v>
      </c>
      <c r="C687" s="8">
        <v>-1.9417475728155331E-2</v>
      </c>
    </row>
    <row r="688" spans="1:3" x14ac:dyDescent="0.45">
      <c r="A688" s="2">
        <v>29260</v>
      </c>
      <c r="B688" s="7">
        <v>425000</v>
      </c>
      <c r="C688" s="8">
        <v>5.1980198019802026E-2</v>
      </c>
    </row>
    <row r="689" spans="1:3" x14ac:dyDescent="0.45">
      <c r="A689" s="2">
        <v>29267</v>
      </c>
      <c r="B689" s="7">
        <v>415000</v>
      </c>
      <c r="C689" s="8">
        <v>-2.352941176470591E-2</v>
      </c>
    </row>
    <row r="690" spans="1:3" x14ac:dyDescent="0.45">
      <c r="A690" s="2">
        <v>29274</v>
      </c>
      <c r="B690" s="7">
        <v>428000</v>
      </c>
      <c r="C690" s="8">
        <v>3.1325301204819356E-2</v>
      </c>
    </row>
    <row r="691" spans="1:3" x14ac:dyDescent="0.45">
      <c r="A691" s="2">
        <v>29281</v>
      </c>
      <c r="B691" s="7">
        <v>409000</v>
      </c>
      <c r="C691" s="8">
        <v>-4.4392523364485958E-2</v>
      </c>
    </row>
    <row r="692" spans="1:3" x14ac:dyDescent="0.45">
      <c r="A692" s="2">
        <v>29288</v>
      </c>
      <c r="B692" s="7">
        <v>418000</v>
      </c>
      <c r="C692" s="8">
        <v>2.2004889975550057E-2</v>
      </c>
    </row>
    <row r="693" spans="1:3" x14ac:dyDescent="0.45">
      <c r="A693" s="2">
        <v>29295</v>
      </c>
      <c r="B693" s="7">
        <v>432000</v>
      </c>
      <c r="C693" s="8">
        <v>3.3492822966507241E-2</v>
      </c>
    </row>
    <row r="694" spans="1:3" x14ac:dyDescent="0.45">
      <c r="A694" s="2">
        <v>29302</v>
      </c>
      <c r="B694" s="7">
        <v>435000</v>
      </c>
      <c r="C694" s="8">
        <v>6.9444444444444198E-3</v>
      </c>
    </row>
    <row r="695" spans="1:3" x14ac:dyDescent="0.45">
      <c r="A695" s="2">
        <v>29309</v>
      </c>
      <c r="B695" s="7">
        <v>475000</v>
      </c>
      <c r="C695" s="8">
        <v>9.1954022988505857E-2</v>
      </c>
    </row>
    <row r="696" spans="1:3" x14ac:dyDescent="0.45">
      <c r="A696" s="2">
        <v>29316</v>
      </c>
      <c r="B696" s="7">
        <v>464000</v>
      </c>
      <c r="C696" s="8">
        <v>-2.3157894736842155E-2</v>
      </c>
    </row>
    <row r="697" spans="1:3" x14ac:dyDescent="0.45">
      <c r="A697" s="2">
        <v>29323</v>
      </c>
      <c r="B697" s="7">
        <v>544000</v>
      </c>
      <c r="C697" s="8">
        <v>0.17241379310344818</v>
      </c>
    </row>
    <row r="698" spans="1:3" x14ac:dyDescent="0.45">
      <c r="A698" s="2">
        <v>29330</v>
      </c>
      <c r="B698" s="7">
        <v>548000</v>
      </c>
      <c r="C698" s="8">
        <v>7.3529411764705621E-3</v>
      </c>
    </row>
    <row r="699" spans="1:3" x14ac:dyDescent="0.45">
      <c r="A699" s="2">
        <v>29337</v>
      </c>
      <c r="B699" s="7">
        <v>563000</v>
      </c>
      <c r="C699" s="8">
        <v>2.7372262773722733E-2</v>
      </c>
    </row>
    <row r="700" spans="1:3" x14ac:dyDescent="0.45">
      <c r="A700" s="2">
        <v>29344</v>
      </c>
      <c r="B700" s="7">
        <v>572000</v>
      </c>
      <c r="C700" s="8">
        <v>1.5985790408525657E-2</v>
      </c>
    </row>
    <row r="701" spans="1:3" x14ac:dyDescent="0.45">
      <c r="A701" s="2">
        <v>29351</v>
      </c>
      <c r="B701" s="7">
        <v>601000</v>
      </c>
      <c r="C701" s="8">
        <v>5.069930069930062E-2</v>
      </c>
    </row>
    <row r="702" spans="1:3" x14ac:dyDescent="0.45">
      <c r="A702" s="2">
        <v>29358</v>
      </c>
      <c r="B702" s="7">
        <v>642000</v>
      </c>
      <c r="C702" s="8">
        <v>6.821963394342756E-2</v>
      </c>
    </row>
    <row r="703" spans="1:3" x14ac:dyDescent="0.45">
      <c r="A703" s="2">
        <v>29365</v>
      </c>
      <c r="B703" s="7">
        <v>627000</v>
      </c>
      <c r="C703" s="8">
        <v>-2.3364485981308358E-2</v>
      </c>
    </row>
    <row r="704" spans="1:3" x14ac:dyDescent="0.45">
      <c r="A704" s="2">
        <v>29372</v>
      </c>
      <c r="B704" s="7">
        <v>637000</v>
      </c>
      <c r="C704" s="8">
        <v>1.5948963317384379E-2</v>
      </c>
    </row>
    <row r="705" spans="1:3" x14ac:dyDescent="0.45">
      <c r="A705" s="2">
        <v>29379</v>
      </c>
      <c r="B705" s="7">
        <v>610000</v>
      </c>
      <c r="C705" s="8">
        <v>-4.2386185243328045E-2</v>
      </c>
    </row>
    <row r="706" spans="1:3" x14ac:dyDescent="0.45">
      <c r="A706" s="2">
        <v>29386</v>
      </c>
      <c r="B706" s="7">
        <v>592000</v>
      </c>
      <c r="C706" s="8">
        <v>-2.9508196721311442E-2</v>
      </c>
    </row>
    <row r="707" spans="1:3" x14ac:dyDescent="0.45">
      <c r="A707" s="2">
        <v>29393</v>
      </c>
      <c r="B707" s="7">
        <v>599000</v>
      </c>
      <c r="C707" s="8">
        <v>1.1824324324324342E-2</v>
      </c>
    </row>
    <row r="708" spans="1:3" x14ac:dyDescent="0.45">
      <c r="A708" s="2">
        <v>29400</v>
      </c>
      <c r="B708" s="7">
        <v>627000</v>
      </c>
      <c r="C708" s="8">
        <v>4.6744574290484175E-2</v>
      </c>
    </row>
    <row r="709" spans="1:3" x14ac:dyDescent="0.45">
      <c r="A709" s="2">
        <v>29407</v>
      </c>
      <c r="B709" s="7">
        <v>579000</v>
      </c>
      <c r="C709" s="8">
        <v>-7.6555023923444931E-2</v>
      </c>
    </row>
    <row r="710" spans="1:3" x14ac:dyDescent="0.45">
      <c r="A710" s="2">
        <v>29414</v>
      </c>
      <c r="B710" s="7">
        <v>533000</v>
      </c>
      <c r="C710" s="8">
        <v>-7.9447322970639056E-2</v>
      </c>
    </row>
    <row r="711" spans="1:3" x14ac:dyDescent="0.45">
      <c r="A711" s="2">
        <v>29421</v>
      </c>
      <c r="B711" s="7">
        <v>567000</v>
      </c>
      <c r="C711" s="8">
        <v>6.3789868667917471E-2</v>
      </c>
    </row>
    <row r="712" spans="1:3" x14ac:dyDescent="0.45">
      <c r="A712" s="2">
        <v>29428</v>
      </c>
      <c r="B712" s="7">
        <v>558000</v>
      </c>
      <c r="C712" s="8">
        <v>-1.5873015873015928E-2</v>
      </c>
    </row>
    <row r="713" spans="1:3" x14ac:dyDescent="0.45">
      <c r="A713" s="2">
        <v>29435</v>
      </c>
      <c r="B713" s="7">
        <v>569000</v>
      </c>
      <c r="C713" s="8">
        <v>1.9713261648745428E-2</v>
      </c>
    </row>
    <row r="714" spans="1:3" x14ac:dyDescent="0.45">
      <c r="A714" s="2">
        <v>29442</v>
      </c>
      <c r="B714" s="7">
        <v>533000</v>
      </c>
      <c r="C714" s="8">
        <v>-6.3268892794376086E-2</v>
      </c>
    </row>
    <row r="715" spans="1:3" x14ac:dyDescent="0.45">
      <c r="A715" s="2">
        <v>29449</v>
      </c>
      <c r="B715" s="7">
        <v>525000</v>
      </c>
      <c r="C715" s="8">
        <v>-1.5009380863039379E-2</v>
      </c>
    </row>
    <row r="716" spans="1:3" x14ac:dyDescent="0.45">
      <c r="A716" s="2">
        <v>29456</v>
      </c>
      <c r="B716" s="7">
        <v>512000</v>
      </c>
      <c r="C716" s="8">
        <v>-2.4761904761904763E-2</v>
      </c>
    </row>
    <row r="717" spans="1:3" x14ac:dyDescent="0.45">
      <c r="A717" s="2">
        <v>29463</v>
      </c>
      <c r="B717" s="7">
        <v>502000</v>
      </c>
      <c r="C717" s="8">
        <v>-1.953125E-2</v>
      </c>
    </row>
    <row r="718" spans="1:3" x14ac:dyDescent="0.45">
      <c r="A718" s="2">
        <v>29470</v>
      </c>
      <c r="B718" s="7">
        <v>511000</v>
      </c>
      <c r="C718" s="8">
        <v>1.7928286852589626E-2</v>
      </c>
    </row>
    <row r="719" spans="1:3" x14ac:dyDescent="0.45">
      <c r="A719" s="2">
        <v>29477</v>
      </c>
      <c r="B719" s="7">
        <v>492000</v>
      </c>
      <c r="C719" s="8">
        <v>-3.7181996086105729E-2</v>
      </c>
    </row>
    <row r="720" spans="1:3" x14ac:dyDescent="0.45">
      <c r="A720" s="2">
        <v>29484</v>
      </c>
      <c r="B720" s="7">
        <v>465000</v>
      </c>
      <c r="C720" s="8">
        <v>-5.4878048780487854E-2</v>
      </c>
    </row>
    <row r="721" spans="1:3" x14ac:dyDescent="0.45">
      <c r="A721" s="2">
        <v>29491</v>
      </c>
      <c r="B721" s="7">
        <v>463000</v>
      </c>
      <c r="C721" s="8">
        <v>-4.3010752688171783E-3</v>
      </c>
    </row>
    <row r="722" spans="1:3" x14ac:dyDescent="0.45">
      <c r="A722" s="2">
        <v>29498</v>
      </c>
      <c r="B722" s="7">
        <v>462000</v>
      </c>
      <c r="C722" s="8">
        <v>-2.1598272138229069E-3</v>
      </c>
    </row>
    <row r="723" spans="1:3" x14ac:dyDescent="0.45">
      <c r="A723" s="2">
        <v>29505</v>
      </c>
      <c r="B723" s="7">
        <v>447000</v>
      </c>
      <c r="C723" s="8">
        <v>-3.2467532467532423E-2</v>
      </c>
    </row>
    <row r="724" spans="1:3" x14ac:dyDescent="0.45">
      <c r="A724" s="2">
        <v>29512</v>
      </c>
      <c r="B724" s="7">
        <v>425000</v>
      </c>
      <c r="C724" s="8">
        <v>-4.9217002237136431E-2</v>
      </c>
    </row>
    <row r="725" spans="1:3" x14ac:dyDescent="0.45">
      <c r="A725" s="2">
        <v>29519</v>
      </c>
      <c r="B725" s="7">
        <v>418000</v>
      </c>
      <c r="C725" s="8">
        <v>-1.6470588235294126E-2</v>
      </c>
    </row>
    <row r="726" spans="1:3" x14ac:dyDescent="0.45">
      <c r="A726" s="2">
        <v>29526</v>
      </c>
      <c r="B726" s="7">
        <v>419000</v>
      </c>
      <c r="C726" s="8">
        <v>2.3923444976077235E-3</v>
      </c>
    </row>
    <row r="727" spans="1:3" x14ac:dyDescent="0.45">
      <c r="A727" s="2">
        <v>29533</v>
      </c>
      <c r="B727" s="7">
        <v>407000</v>
      </c>
      <c r="C727" s="8">
        <v>-2.863961813842486E-2</v>
      </c>
    </row>
    <row r="728" spans="1:3" x14ac:dyDescent="0.45">
      <c r="A728" s="2">
        <v>29540</v>
      </c>
      <c r="B728" s="7">
        <v>427000</v>
      </c>
      <c r="C728" s="8">
        <v>4.9140049140049102E-2</v>
      </c>
    </row>
    <row r="729" spans="1:3" x14ac:dyDescent="0.45">
      <c r="A729" s="2">
        <v>29547</v>
      </c>
      <c r="B729" s="7">
        <v>398000</v>
      </c>
      <c r="C729" s="8">
        <v>-6.7915690866510503E-2</v>
      </c>
    </row>
    <row r="730" spans="1:3" x14ac:dyDescent="0.45">
      <c r="A730" s="2">
        <v>29554</v>
      </c>
      <c r="B730" s="7">
        <v>412000</v>
      </c>
      <c r="C730" s="8">
        <v>3.5175879396984966E-2</v>
      </c>
    </row>
    <row r="731" spans="1:3" x14ac:dyDescent="0.45">
      <c r="A731" s="2">
        <v>29561</v>
      </c>
      <c r="B731" s="7">
        <v>416000</v>
      </c>
      <c r="C731" s="8">
        <v>9.7087378640776656E-3</v>
      </c>
    </row>
    <row r="732" spans="1:3" x14ac:dyDescent="0.45">
      <c r="A732" s="2">
        <v>29568</v>
      </c>
      <c r="B732" s="7">
        <v>413000</v>
      </c>
      <c r="C732" s="8">
        <v>-7.2115384615384359E-3</v>
      </c>
    </row>
    <row r="733" spans="1:3" x14ac:dyDescent="0.45">
      <c r="A733" s="2">
        <v>29575</v>
      </c>
      <c r="B733" s="7">
        <v>412000</v>
      </c>
      <c r="C733" s="8">
        <v>-2.421307506053294E-3</v>
      </c>
    </row>
    <row r="734" spans="1:3" x14ac:dyDescent="0.45">
      <c r="A734" s="2">
        <v>29582</v>
      </c>
      <c r="B734" s="7">
        <v>399000</v>
      </c>
      <c r="C734" s="8">
        <v>-3.1553398058252413E-2</v>
      </c>
    </row>
    <row r="735" spans="1:3" x14ac:dyDescent="0.45">
      <c r="A735" s="2">
        <v>29589</v>
      </c>
      <c r="B735" s="7">
        <v>410000</v>
      </c>
      <c r="C735" s="8">
        <v>2.7568922305764465E-2</v>
      </c>
    </row>
    <row r="736" spans="1:3" x14ac:dyDescent="0.45">
      <c r="A736" s="2">
        <v>29596</v>
      </c>
      <c r="B736" s="7">
        <v>419000</v>
      </c>
      <c r="C736" s="8">
        <v>2.1951219512195141E-2</v>
      </c>
    </row>
    <row r="737" spans="1:3" x14ac:dyDescent="0.45">
      <c r="A737" s="2">
        <v>29603</v>
      </c>
      <c r="B737" s="7">
        <v>421000</v>
      </c>
      <c r="C737" s="8">
        <v>4.7732696897375693E-3</v>
      </c>
    </row>
    <row r="738" spans="1:3" x14ac:dyDescent="0.45">
      <c r="A738" s="2">
        <v>29610</v>
      </c>
      <c r="B738" s="7">
        <v>396000</v>
      </c>
      <c r="C738" s="8">
        <v>-5.9382422802850332E-2</v>
      </c>
    </row>
    <row r="739" spans="1:3" x14ac:dyDescent="0.45">
      <c r="A739" s="2">
        <v>29617</v>
      </c>
      <c r="B739" s="7">
        <v>419000</v>
      </c>
      <c r="C739" s="8">
        <v>5.8080808080808177E-2</v>
      </c>
    </row>
    <row r="740" spans="1:3" x14ac:dyDescent="0.45">
      <c r="A740" s="2">
        <v>29624</v>
      </c>
      <c r="B740" s="7">
        <v>420000</v>
      </c>
      <c r="C740" s="8">
        <v>2.3866348448686736E-3</v>
      </c>
    </row>
    <row r="741" spans="1:3" x14ac:dyDescent="0.45">
      <c r="A741" s="2">
        <v>29631</v>
      </c>
      <c r="B741" s="7">
        <v>423000</v>
      </c>
      <c r="C741" s="8">
        <v>7.1428571428571175E-3</v>
      </c>
    </row>
    <row r="742" spans="1:3" x14ac:dyDescent="0.45">
      <c r="A742" s="2">
        <v>29638</v>
      </c>
      <c r="B742" s="7">
        <v>438000</v>
      </c>
      <c r="C742" s="8">
        <v>3.5460992907801359E-2</v>
      </c>
    </row>
    <row r="743" spans="1:3" x14ac:dyDescent="0.45">
      <c r="A743" s="2">
        <v>29645</v>
      </c>
      <c r="B743" s="7">
        <v>434000</v>
      </c>
      <c r="C743" s="8">
        <v>-9.1324200913242004E-3</v>
      </c>
    </row>
    <row r="744" spans="1:3" x14ac:dyDescent="0.45">
      <c r="A744" s="2">
        <v>29652</v>
      </c>
      <c r="B744" s="7">
        <v>409000</v>
      </c>
      <c r="C744" s="8">
        <v>-5.7603686635944729E-2</v>
      </c>
    </row>
    <row r="745" spans="1:3" x14ac:dyDescent="0.45">
      <c r="A745" s="2">
        <v>29659</v>
      </c>
      <c r="B745" s="7">
        <v>408000</v>
      </c>
      <c r="C745" s="8">
        <v>-2.4449877750610804E-3</v>
      </c>
    </row>
    <row r="746" spans="1:3" x14ac:dyDescent="0.45">
      <c r="A746" s="2">
        <v>29666</v>
      </c>
      <c r="B746" s="7">
        <v>401000</v>
      </c>
      <c r="C746" s="8">
        <v>-1.7156862745098089E-2</v>
      </c>
    </row>
    <row r="747" spans="1:3" x14ac:dyDescent="0.45">
      <c r="A747" s="2">
        <v>29673</v>
      </c>
      <c r="B747" s="7">
        <v>412000</v>
      </c>
      <c r="C747" s="8">
        <v>2.7431421446383997E-2</v>
      </c>
    </row>
    <row r="748" spans="1:3" x14ac:dyDescent="0.45">
      <c r="A748" s="2">
        <v>29680</v>
      </c>
      <c r="B748" s="7">
        <v>417000</v>
      </c>
      <c r="C748" s="8">
        <v>1.2135922330097193E-2</v>
      </c>
    </row>
    <row r="749" spans="1:3" x14ac:dyDescent="0.45">
      <c r="A749" s="2">
        <v>29687</v>
      </c>
      <c r="B749" s="7">
        <v>396000</v>
      </c>
      <c r="C749" s="8">
        <v>-5.0359712230215847E-2</v>
      </c>
    </row>
    <row r="750" spans="1:3" x14ac:dyDescent="0.45">
      <c r="A750" s="2">
        <v>29694</v>
      </c>
      <c r="B750" s="7">
        <v>392000</v>
      </c>
      <c r="C750" s="8">
        <v>-1.0101010101010055E-2</v>
      </c>
    </row>
    <row r="751" spans="1:3" x14ac:dyDescent="0.45">
      <c r="A751" s="2">
        <v>29701</v>
      </c>
      <c r="B751" s="7">
        <v>436000</v>
      </c>
      <c r="C751" s="8">
        <v>0.11224489795918369</v>
      </c>
    </row>
    <row r="752" spans="1:3" x14ac:dyDescent="0.45">
      <c r="A752" s="2">
        <v>29708</v>
      </c>
      <c r="B752" s="7">
        <v>413000</v>
      </c>
      <c r="C752" s="8">
        <v>-5.2752293577981613E-2</v>
      </c>
    </row>
    <row r="753" spans="1:3" x14ac:dyDescent="0.45">
      <c r="A753" s="2">
        <v>29715</v>
      </c>
      <c r="B753" s="7">
        <v>423000</v>
      </c>
      <c r="C753" s="8">
        <v>2.4213075060532718E-2</v>
      </c>
    </row>
    <row r="754" spans="1:3" x14ac:dyDescent="0.45">
      <c r="A754" s="2">
        <v>29722</v>
      </c>
      <c r="B754" s="7">
        <v>414000</v>
      </c>
      <c r="C754" s="8">
        <v>-2.1276595744680882E-2</v>
      </c>
    </row>
    <row r="755" spans="1:3" x14ac:dyDescent="0.45">
      <c r="A755" s="2">
        <v>29729</v>
      </c>
      <c r="B755" s="7">
        <v>415000</v>
      </c>
      <c r="C755" s="8">
        <v>2.4154589371980784E-3</v>
      </c>
    </row>
    <row r="756" spans="1:3" x14ac:dyDescent="0.45">
      <c r="A756" s="2">
        <v>29736</v>
      </c>
      <c r="B756" s="7">
        <v>417000</v>
      </c>
      <c r="C756" s="8">
        <v>4.8192771084336616E-3</v>
      </c>
    </row>
    <row r="757" spans="1:3" x14ac:dyDescent="0.45">
      <c r="A757" s="2">
        <v>29743</v>
      </c>
      <c r="B757" s="7">
        <v>428000</v>
      </c>
      <c r="C757" s="8">
        <v>2.6378896882494063E-2</v>
      </c>
    </row>
    <row r="758" spans="1:3" x14ac:dyDescent="0.45">
      <c r="A758" s="2">
        <v>29750</v>
      </c>
      <c r="B758" s="7">
        <v>425000</v>
      </c>
      <c r="C758" s="8">
        <v>-7.0093457943924964E-3</v>
      </c>
    </row>
    <row r="759" spans="1:3" x14ac:dyDescent="0.45">
      <c r="A759" s="2">
        <v>29757</v>
      </c>
      <c r="B759" s="7">
        <v>435000</v>
      </c>
      <c r="C759" s="8">
        <v>2.3529411764705799E-2</v>
      </c>
    </row>
    <row r="760" spans="1:3" x14ac:dyDescent="0.45">
      <c r="A760" s="2">
        <v>29764</v>
      </c>
      <c r="B760" s="7">
        <v>444000</v>
      </c>
      <c r="C760" s="8">
        <v>2.0689655172413834E-2</v>
      </c>
    </row>
    <row r="761" spans="1:3" x14ac:dyDescent="0.45">
      <c r="A761" s="2">
        <v>29771</v>
      </c>
      <c r="B761" s="7">
        <v>460000</v>
      </c>
      <c r="C761" s="8">
        <v>3.6036036036036112E-2</v>
      </c>
    </row>
    <row r="762" spans="1:3" x14ac:dyDescent="0.45">
      <c r="A762" s="2">
        <v>29778</v>
      </c>
      <c r="B762" s="7">
        <v>426000</v>
      </c>
      <c r="C762" s="8">
        <v>-7.3913043478260887E-2</v>
      </c>
    </row>
    <row r="763" spans="1:3" x14ac:dyDescent="0.45">
      <c r="A763" s="2">
        <v>29785</v>
      </c>
      <c r="B763" s="7">
        <v>430000</v>
      </c>
      <c r="C763" s="8">
        <v>9.3896713615022609E-3</v>
      </c>
    </row>
    <row r="764" spans="1:3" x14ac:dyDescent="0.45">
      <c r="A764" s="2">
        <v>29792</v>
      </c>
      <c r="B764" s="7">
        <v>407000</v>
      </c>
      <c r="C764" s="8">
        <v>-5.3488372093023262E-2</v>
      </c>
    </row>
    <row r="765" spans="1:3" x14ac:dyDescent="0.45">
      <c r="A765" s="2">
        <v>29799</v>
      </c>
      <c r="B765" s="7">
        <v>476000</v>
      </c>
      <c r="C765" s="8">
        <v>0.16953316953316944</v>
      </c>
    </row>
    <row r="766" spans="1:3" x14ac:dyDescent="0.45">
      <c r="A766" s="2">
        <v>29806</v>
      </c>
      <c r="B766" s="7">
        <v>448000</v>
      </c>
      <c r="C766" s="8">
        <v>-5.8823529411764719E-2</v>
      </c>
    </row>
    <row r="767" spans="1:3" x14ac:dyDescent="0.45">
      <c r="A767" s="2">
        <v>29813</v>
      </c>
      <c r="B767" s="7">
        <v>442000</v>
      </c>
      <c r="C767" s="8">
        <v>-1.3392857142857095E-2</v>
      </c>
    </row>
    <row r="768" spans="1:3" x14ac:dyDescent="0.45">
      <c r="A768" s="2">
        <v>29820</v>
      </c>
      <c r="B768" s="7">
        <v>434000</v>
      </c>
      <c r="C768" s="8">
        <v>-1.8099547511312264E-2</v>
      </c>
    </row>
    <row r="769" spans="1:3" x14ac:dyDescent="0.45">
      <c r="A769" s="2">
        <v>29827</v>
      </c>
      <c r="B769" s="7">
        <v>451000</v>
      </c>
      <c r="C769" s="8">
        <v>3.9170506912442393E-2</v>
      </c>
    </row>
    <row r="770" spans="1:3" x14ac:dyDescent="0.45">
      <c r="A770" s="2">
        <v>29834</v>
      </c>
      <c r="B770" s="7">
        <v>473000</v>
      </c>
      <c r="C770" s="8">
        <v>4.8780487804878092E-2</v>
      </c>
    </row>
    <row r="771" spans="1:3" x14ac:dyDescent="0.45">
      <c r="A771" s="2">
        <v>29841</v>
      </c>
      <c r="B771" s="7">
        <v>454000</v>
      </c>
      <c r="C771" s="8">
        <v>-4.0169133192389017E-2</v>
      </c>
    </row>
    <row r="772" spans="1:3" x14ac:dyDescent="0.45">
      <c r="A772" s="2">
        <v>29848</v>
      </c>
      <c r="B772" s="7">
        <v>475000</v>
      </c>
      <c r="C772" s="8">
        <v>4.6255506607929542E-2</v>
      </c>
    </row>
    <row r="773" spans="1:3" x14ac:dyDescent="0.45">
      <c r="A773" s="2">
        <v>29855</v>
      </c>
      <c r="B773" s="7">
        <v>491000</v>
      </c>
      <c r="C773" s="8">
        <v>3.3684210526315761E-2</v>
      </c>
    </row>
    <row r="774" spans="1:3" x14ac:dyDescent="0.45">
      <c r="A774" s="2">
        <v>29862</v>
      </c>
      <c r="B774" s="7">
        <v>489000</v>
      </c>
      <c r="C774" s="8">
        <v>-4.0733197556007683E-3</v>
      </c>
    </row>
    <row r="775" spans="1:3" x14ac:dyDescent="0.45">
      <c r="A775" s="2">
        <v>29869</v>
      </c>
      <c r="B775" s="7">
        <v>491000</v>
      </c>
      <c r="C775" s="8">
        <v>4.0899795501021519E-3</v>
      </c>
    </row>
    <row r="776" spans="1:3" x14ac:dyDescent="0.45">
      <c r="A776" s="2">
        <v>29876</v>
      </c>
      <c r="B776" s="7">
        <v>487000</v>
      </c>
      <c r="C776" s="8">
        <v>-8.1466395112016476E-3</v>
      </c>
    </row>
    <row r="777" spans="1:3" x14ac:dyDescent="0.45">
      <c r="A777" s="2">
        <v>29883</v>
      </c>
      <c r="B777" s="7">
        <v>483000</v>
      </c>
      <c r="C777" s="8">
        <v>-8.2135523613963146E-3</v>
      </c>
    </row>
    <row r="778" spans="1:3" x14ac:dyDescent="0.45">
      <c r="A778" s="2">
        <v>29890</v>
      </c>
      <c r="B778" s="7">
        <v>514000</v>
      </c>
      <c r="C778" s="8">
        <v>6.4182194616977162E-2</v>
      </c>
    </row>
    <row r="779" spans="1:3" x14ac:dyDescent="0.45">
      <c r="A779" s="2">
        <v>29897</v>
      </c>
      <c r="B779" s="7">
        <v>514000</v>
      </c>
      <c r="C779" s="8">
        <v>0</v>
      </c>
    </row>
    <row r="780" spans="1:3" x14ac:dyDescent="0.45">
      <c r="A780" s="2">
        <v>29904</v>
      </c>
      <c r="B780" s="7">
        <v>517000</v>
      </c>
      <c r="C780" s="8">
        <v>5.8365758754863606E-3</v>
      </c>
    </row>
    <row r="781" spans="1:3" x14ac:dyDescent="0.45">
      <c r="A781" s="2">
        <v>29911</v>
      </c>
      <c r="B781" s="7">
        <v>464000</v>
      </c>
      <c r="C781" s="8">
        <v>-0.10251450676982587</v>
      </c>
    </row>
    <row r="782" spans="1:3" x14ac:dyDescent="0.45">
      <c r="A782" s="2">
        <v>29918</v>
      </c>
      <c r="B782" s="7">
        <v>552000</v>
      </c>
      <c r="C782" s="8">
        <v>0.18965517241379315</v>
      </c>
    </row>
    <row r="783" spans="1:3" x14ac:dyDescent="0.45">
      <c r="A783" s="2">
        <v>29925</v>
      </c>
      <c r="B783" s="7">
        <v>558000</v>
      </c>
      <c r="C783" s="8">
        <v>1.0869565217391353E-2</v>
      </c>
    </row>
    <row r="784" spans="1:3" x14ac:dyDescent="0.45">
      <c r="A784" s="2">
        <v>29932</v>
      </c>
      <c r="B784" s="7">
        <v>551000</v>
      </c>
      <c r="C784" s="8">
        <v>-1.2544802867383464E-2</v>
      </c>
    </row>
    <row r="785" spans="1:3" x14ac:dyDescent="0.45">
      <c r="A785" s="2">
        <v>29939</v>
      </c>
      <c r="B785" s="7">
        <v>539000</v>
      </c>
      <c r="C785" s="8">
        <v>-2.1778584392014522E-2</v>
      </c>
    </row>
    <row r="786" spans="1:3" x14ac:dyDescent="0.45">
      <c r="A786" s="2">
        <v>29946</v>
      </c>
      <c r="B786" s="7">
        <v>556000</v>
      </c>
      <c r="C786" s="8">
        <v>3.153988868274582E-2</v>
      </c>
    </row>
    <row r="787" spans="1:3" x14ac:dyDescent="0.45">
      <c r="A787" s="2">
        <v>29953</v>
      </c>
      <c r="B787" s="7">
        <v>495000</v>
      </c>
      <c r="C787" s="8">
        <v>-0.10971223021582732</v>
      </c>
    </row>
    <row r="788" spans="1:3" x14ac:dyDescent="0.45">
      <c r="A788" s="2">
        <v>29960</v>
      </c>
      <c r="B788" s="7">
        <v>545000</v>
      </c>
      <c r="C788" s="8">
        <v>0.10101010101010099</v>
      </c>
    </row>
    <row r="789" spans="1:3" x14ac:dyDescent="0.45">
      <c r="A789" s="2">
        <v>29967</v>
      </c>
      <c r="B789" s="7">
        <v>489000</v>
      </c>
      <c r="C789" s="8">
        <v>-0.10275229357798166</v>
      </c>
    </row>
    <row r="790" spans="1:3" x14ac:dyDescent="0.45">
      <c r="A790" s="2">
        <v>29974</v>
      </c>
      <c r="B790" s="7">
        <v>564000</v>
      </c>
      <c r="C790" s="8">
        <v>0.15337423312883436</v>
      </c>
    </row>
    <row r="791" spans="1:3" x14ac:dyDescent="0.45">
      <c r="A791" s="2">
        <v>29981</v>
      </c>
      <c r="B791" s="7">
        <v>583000</v>
      </c>
      <c r="C791" s="8">
        <v>3.3687943262411313E-2</v>
      </c>
    </row>
    <row r="792" spans="1:3" x14ac:dyDescent="0.45">
      <c r="A792" s="2">
        <v>29988</v>
      </c>
      <c r="B792" s="7">
        <v>556000</v>
      </c>
      <c r="C792" s="8">
        <v>-4.6312178387650116E-2</v>
      </c>
    </row>
    <row r="793" spans="1:3" x14ac:dyDescent="0.45">
      <c r="A793" s="2">
        <v>29995</v>
      </c>
      <c r="B793" s="7">
        <v>507000</v>
      </c>
      <c r="C793" s="8">
        <v>-8.8129496402877705E-2</v>
      </c>
    </row>
    <row r="794" spans="1:3" x14ac:dyDescent="0.45">
      <c r="A794" s="2">
        <v>30002</v>
      </c>
      <c r="B794" s="7">
        <v>544000</v>
      </c>
      <c r="C794" s="8">
        <v>7.2978303747534445E-2</v>
      </c>
    </row>
    <row r="795" spans="1:3" x14ac:dyDescent="0.45">
      <c r="A795" s="2">
        <v>30009</v>
      </c>
      <c r="B795" s="7">
        <v>528000</v>
      </c>
      <c r="C795" s="8">
        <v>-2.9411764705882359E-2</v>
      </c>
    </row>
    <row r="796" spans="1:3" x14ac:dyDescent="0.45">
      <c r="A796" s="2">
        <v>30016</v>
      </c>
      <c r="B796" s="7">
        <v>556000</v>
      </c>
      <c r="C796" s="8">
        <v>5.3030303030302983E-2</v>
      </c>
    </row>
    <row r="797" spans="1:3" x14ac:dyDescent="0.45">
      <c r="A797" s="2">
        <v>30023</v>
      </c>
      <c r="B797" s="7">
        <v>539000</v>
      </c>
      <c r="C797" s="8">
        <v>-3.0575539568345356E-2</v>
      </c>
    </row>
    <row r="798" spans="1:3" x14ac:dyDescent="0.45">
      <c r="A798" s="2">
        <v>30030</v>
      </c>
      <c r="B798" s="7">
        <v>557000</v>
      </c>
      <c r="C798" s="8">
        <v>3.3395176252319025E-2</v>
      </c>
    </row>
    <row r="799" spans="1:3" x14ac:dyDescent="0.45">
      <c r="A799" s="2">
        <v>30037</v>
      </c>
      <c r="B799" s="7">
        <v>574000</v>
      </c>
      <c r="C799" s="8">
        <v>3.0520646319569078E-2</v>
      </c>
    </row>
    <row r="800" spans="1:3" x14ac:dyDescent="0.45">
      <c r="A800" s="2">
        <v>30044</v>
      </c>
      <c r="B800" s="7">
        <v>578000</v>
      </c>
      <c r="C800" s="8">
        <v>6.9686411149825211E-3</v>
      </c>
    </row>
    <row r="801" spans="1:3" x14ac:dyDescent="0.45">
      <c r="A801" s="2">
        <v>30051</v>
      </c>
      <c r="B801" s="7">
        <v>585000</v>
      </c>
      <c r="C801" s="8">
        <v>1.211072664359869E-2</v>
      </c>
    </row>
    <row r="802" spans="1:3" x14ac:dyDescent="0.45">
      <c r="A802" s="2">
        <v>30058</v>
      </c>
      <c r="B802" s="7">
        <v>597000</v>
      </c>
      <c r="C802" s="8">
        <v>2.051282051282044E-2</v>
      </c>
    </row>
    <row r="803" spans="1:3" x14ac:dyDescent="0.45">
      <c r="A803" s="2">
        <v>30065</v>
      </c>
      <c r="B803" s="7">
        <v>588000</v>
      </c>
      <c r="C803" s="8">
        <v>-1.5075376884422065E-2</v>
      </c>
    </row>
    <row r="804" spans="1:3" x14ac:dyDescent="0.45">
      <c r="A804" s="2">
        <v>30072</v>
      </c>
      <c r="B804" s="7">
        <v>576000</v>
      </c>
      <c r="C804" s="8">
        <v>-2.0408163265306145E-2</v>
      </c>
    </row>
    <row r="805" spans="1:3" x14ac:dyDescent="0.45">
      <c r="A805" s="2">
        <v>30079</v>
      </c>
      <c r="B805" s="7">
        <v>584000</v>
      </c>
      <c r="C805" s="8">
        <v>1.388888888888884E-2</v>
      </c>
    </row>
    <row r="806" spans="1:3" x14ac:dyDescent="0.45">
      <c r="A806" s="2">
        <v>30086</v>
      </c>
      <c r="B806" s="7">
        <v>585000</v>
      </c>
      <c r="C806" s="8">
        <v>1.712328767123239E-3</v>
      </c>
    </row>
    <row r="807" spans="1:3" x14ac:dyDescent="0.45">
      <c r="A807" s="2">
        <v>30093</v>
      </c>
      <c r="B807" s="7">
        <v>586000</v>
      </c>
      <c r="C807" s="8">
        <v>1.7094017094017033E-3</v>
      </c>
    </row>
    <row r="808" spans="1:3" x14ac:dyDescent="0.45">
      <c r="A808" s="2">
        <v>30100</v>
      </c>
      <c r="B808" s="7">
        <v>588000</v>
      </c>
      <c r="C808" s="8">
        <v>3.4129692832765013E-3</v>
      </c>
    </row>
    <row r="809" spans="1:3" x14ac:dyDescent="0.45">
      <c r="A809" s="2">
        <v>30107</v>
      </c>
      <c r="B809" s="7">
        <v>611000</v>
      </c>
      <c r="C809" s="8">
        <v>3.9115646258503389E-2</v>
      </c>
    </row>
    <row r="810" spans="1:3" x14ac:dyDescent="0.45">
      <c r="A810" s="2">
        <v>30114</v>
      </c>
      <c r="B810" s="7">
        <v>614000</v>
      </c>
      <c r="C810" s="8">
        <v>4.9099836333879043E-3</v>
      </c>
    </row>
    <row r="811" spans="1:3" x14ac:dyDescent="0.45">
      <c r="A811" s="2">
        <v>30121</v>
      </c>
      <c r="B811" s="7">
        <v>591000</v>
      </c>
      <c r="C811" s="8">
        <v>-3.7459283387622166E-2</v>
      </c>
    </row>
    <row r="812" spans="1:3" x14ac:dyDescent="0.45">
      <c r="A812" s="2">
        <v>30128</v>
      </c>
      <c r="B812" s="7">
        <v>582000</v>
      </c>
      <c r="C812" s="8">
        <v>-1.5228426395939132E-2</v>
      </c>
    </row>
    <row r="813" spans="1:3" x14ac:dyDescent="0.45">
      <c r="A813" s="2">
        <v>30135</v>
      </c>
      <c r="B813" s="7">
        <v>600000</v>
      </c>
      <c r="C813" s="8">
        <v>3.0927835051546282E-2</v>
      </c>
    </row>
    <row r="814" spans="1:3" x14ac:dyDescent="0.45">
      <c r="A814" s="2">
        <v>30142</v>
      </c>
      <c r="B814" s="7">
        <v>572000</v>
      </c>
      <c r="C814" s="8">
        <v>-4.6666666666666634E-2</v>
      </c>
    </row>
    <row r="815" spans="1:3" x14ac:dyDescent="0.45">
      <c r="A815" s="2">
        <v>30149</v>
      </c>
      <c r="B815" s="7">
        <v>567000</v>
      </c>
      <c r="C815" s="8">
        <v>-8.7412587412587506E-3</v>
      </c>
    </row>
    <row r="816" spans="1:3" x14ac:dyDescent="0.45">
      <c r="A816" s="2">
        <v>30156</v>
      </c>
      <c r="B816" s="7">
        <v>536000</v>
      </c>
      <c r="C816" s="8">
        <v>-5.467372134038806E-2</v>
      </c>
    </row>
    <row r="817" spans="1:3" x14ac:dyDescent="0.45">
      <c r="A817" s="2">
        <v>30163</v>
      </c>
      <c r="B817" s="7">
        <v>605000</v>
      </c>
      <c r="C817" s="8">
        <v>0.12873134328358216</v>
      </c>
    </row>
    <row r="818" spans="1:3" x14ac:dyDescent="0.45">
      <c r="A818" s="2">
        <v>30170</v>
      </c>
      <c r="B818" s="7">
        <v>606000</v>
      </c>
      <c r="C818" s="8">
        <v>1.6528925619834212E-3</v>
      </c>
    </row>
    <row r="819" spans="1:3" x14ac:dyDescent="0.45">
      <c r="A819" s="2">
        <v>30177</v>
      </c>
      <c r="B819" s="7">
        <v>637000</v>
      </c>
      <c r="C819" s="8">
        <v>5.1155115511551053E-2</v>
      </c>
    </row>
    <row r="820" spans="1:3" x14ac:dyDescent="0.45">
      <c r="A820" s="2">
        <v>30184</v>
      </c>
      <c r="B820" s="7">
        <v>628000</v>
      </c>
      <c r="C820" s="8">
        <v>-1.4128728414442682E-2</v>
      </c>
    </row>
    <row r="821" spans="1:3" x14ac:dyDescent="0.45">
      <c r="A821" s="2">
        <v>30191</v>
      </c>
      <c r="B821" s="7">
        <v>647000</v>
      </c>
      <c r="C821" s="8">
        <v>3.0254777070063632E-2</v>
      </c>
    </row>
    <row r="822" spans="1:3" x14ac:dyDescent="0.45">
      <c r="A822" s="2">
        <v>30198</v>
      </c>
      <c r="B822" s="7">
        <v>651000</v>
      </c>
      <c r="C822" s="8">
        <v>6.1823802163833985E-3</v>
      </c>
    </row>
    <row r="823" spans="1:3" x14ac:dyDescent="0.45">
      <c r="A823" s="2">
        <v>30205</v>
      </c>
      <c r="B823" s="7">
        <v>641000</v>
      </c>
      <c r="C823" s="8">
        <v>-1.5360983102918557E-2</v>
      </c>
    </row>
    <row r="824" spans="1:3" x14ac:dyDescent="0.45">
      <c r="A824" s="2">
        <v>30212</v>
      </c>
      <c r="B824" s="7">
        <v>680000</v>
      </c>
      <c r="C824" s="8">
        <v>6.0842433697347875E-2</v>
      </c>
    </row>
    <row r="825" spans="1:3" x14ac:dyDescent="0.45">
      <c r="A825" s="2">
        <v>30219</v>
      </c>
      <c r="B825" s="7">
        <v>671000</v>
      </c>
      <c r="C825" s="8">
        <v>-1.3235294117647012E-2</v>
      </c>
    </row>
    <row r="826" spans="1:3" x14ac:dyDescent="0.45">
      <c r="A826" s="2">
        <v>30226</v>
      </c>
      <c r="B826" s="7">
        <v>695000</v>
      </c>
      <c r="C826" s="8">
        <v>3.5767511177347222E-2</v>
      </c>
    </row>
    <row r="827" spans="1:3" x14ac:dyDescent="0.45">
      <c r="A827" s="2">
        <v>30233</v>
      </c>
      <c r="B827" s="7">
        <v>651000</v>
      </c>
      <c r="C827" s="8">
        <v>-6.330935251798564E-2</v>
      </c>
    </row>
    <row r="828" spans="1:3" x14ac:dyDescent="0.45">
      <c r="A828" s="2">
        <v>30240</v>
      </c>
      <c r="B828" s="7">
        <v>656000</v>
      </c>
      <c r="C828" s="8">
        <v>7.6804915514592231E-3</v>
      </c>
    </row>
    <row r="829" spans="1:3" x14ac:dyDescent="0.45">
      <c r="A829" s="2">
        <v>30247</v>
      </c>
      <c r="B829" s="7">
        <v>623000</v>
      </c>
      <c r="C829" s="8">
        <v>-5.0304878048780477E-2</v>
      </c>
    </row>
    <row r="830" spans="1:3" x14ac:dyDescent="0.45">
      <c r="A830" s="2">
        <v>30254</v>
      </c>
      <c r="B830" s="7">
        <v>637000</v>
      </c>
      <c r="C830" s="8">
        <v>2.2471910112359605E-2</v>
      </c>
    </row>
    <row r="831" spans="1:3" x14ac:dyDescent="0.45">
      <c r="A831" s="2">
        <v>30261</v>
      </c>
      <c r="B831" s="7">
        <v>589000</v>
      </c>
      <c r="C831" s="8">
        <v>-7.5353218210361117E-2</v>
      </c>
    </row>
    <row r="832" spans="1:3" x14ac:dyDescent="0.45">
      <c r="A832" s="2">
        <v>30268</v>
      </c>
      <c r="B832" s="7">
        <v>599000</v>
      </c>
      <c r="C832" s="8">
        <v>1.6977928692699429E-2</v>
      </c>
    </row>
    <row r="833" spans="1:3" x14ac:dyDescent="0.45">
      <c r="A833" s="2">
        <v>30275</v>
      </c>
      <c r="B833" s="7">
        <v>577000</v>
      </c>
      <c r="C833" s="8">
        <v>-3.6727879799666074E-2</v>
      </c>
    </row>
    <row r="834" spans="1:3" x14ac:dyDescent="0.45">
      <c r="A834" s="2">
        <v>30282</v>
      </c>
      <c r="B834" s="7">
        <v>612000</v>
      </c>
      <c r="C834" s="8">
        <v>6.0658578856152445E-2</v>
      </c>
    </row>
    <row r="835" spans="1:3" x14ac:dyDescent="0.45">
      <c r="A835" s="2">
        <v>30289</v>
      </c>
      <c r="B835" s="7">
        <v>557000</v>
      </c>
      <c r="C835" s="8">
        <v>-8.9869281045751648E-2</v>
      </c>
    </row>
    <row r="836" spans="1:3" x14ac:dyDescent="0.45">
      <c r="A836" s="2">
        <v>30296</v>
      </c>
      <c r="B836" s="7">
        <v>533000</v>
      </c>
      <c r="C836" s="8">
        <v>-4.3087971274685777E-2</v>
      </c>
    </row>
    <row r="837" spans="1:3" x14ac:dyDescent="0.45">
      <c r="A837" s="2">
        <v>30303</v>
      </c>
      <c r="B837" s="7">
        <v>516000</v>
      </c>
      <c r="C837" s="8">
        <v>-3.1894934333958735E-2</v>
      </c>
    </row>
    <row r="838" spans="1:3" x14ac:dyDescent="0.45">
      <c r="A838" s="2">
        <v>30310</v>
      </c>
      <c r="B838" s="7">
        <v>489000</v>
      </c>
      <c r="C838" s="8">
        <v>-5.2325581395348819E-2</v>
      </c>
    </row>
    <row r="839" spans="1:3" x14ac:dyDescent="0.45">
      <c r="A839" s="2">
        <v>30317</v>
      </c>
      <c r="B839" s="7">
        <v>534000</v>
      </c>
      <c r="C839" s="8">
        <v>9.2024539877300526E-2</v>
      </c>
    </row>
    <row r="840" spans="1:3" x14ac:dyDescent="0.45">
      <c r="A840" s="2">
        <v>30324</v>
      </c>
      <c r="B840" s="7">
        <v>510000</v>
      </c>
      <c r="C840" s="8">
        <v>-4.49438202247191E-2</v>
      </c>
    </row>
    <row r="841" spans="1:3" x14ac:dyDescent="0.45">
      <c r="A841" s="2">
        <v>30331</v>
      </c>
      <c r="B841" s="7">
        <v>479000</v>
      </c>
      <c r="C841" s="8">
        <v>-6.0784313725490202E-2</v>
      </c>
    </row>
    <row r="842" spans="1:3" x14ac:dyDescent="0.45">
      <c r="A842" s="2">
        <v>30338</v>
      </c>
      <c r="B842" s="7">
        <v>479000</v>
      </c>
      <c r="C842" s="8">
        <v>0</v>
      </c>
    </row>
    <row r="843" spans="1:3" x14ac:dyDescent="0.45">
      <c r="A843" s="2">
        <v>30345</v>
      </c>
      <c r="B843" s="7">
        <v>503000</v>
      </c>
      <c r="C843" s="8">
        <v>5.0104384133611735E-2</v>
      </c>
    </row>
    <row r="844" spans="1:3" x14ac:dyDescent="0.45">
      <c r="A844" s="2">
        <v>30352</v>
      </c>
      <c r="B844" s="7">
        <v>501000</v>
      </c>
      <c r="C844" s="8">
        <v>-3.9761431411531323E-3</v>
      </c>
    </row>
    <row r="845" spans="1:3" x14ac:dyDescent="0.45">
      <c r="A845" s="2">
        <v>30359</v>
      </c>
      <c r="B845" s="7">
        <v>486000</v>
      </c>
      <c r="C845" s="8">
        <v>-2.9940119760479056E-2</v>
      </c>
    </row>
    <row r="846" spans="1:3" x14ac:dyDescent="0.45">
      <c r="A846" s="2">
        <v>30366</v>
      </c>
      <c r="B846" s="7">
        <v>487000</v>
      </c>
      <c r="C846" s="8">
        <v>2.057613168724215E-3</v>
      </c>
    </row>
    <row r="847" spans="1:3" x14ac:dyDescent="0.45">
      <c r="A847" s="2">
        <v>30373</v>
      </c>
      <c r="B847" s="7">
        <v>481000</v>
      </c>
      <c r="C847" s="8">
        <v>-1.2320328542094416E-2</v>
      </c>
    </row>
    <row r="848" spans="1:3" x14ac:dyDescent="0.45">
      <c r="A848" s="2">
        <v>30380</v>
      </c>
      <c r="B848" s="7">
        <v>495000</v>
      </c>
      <c r="C848" s="8">
        <v>2.9106029106028997E-2</v>
      </c>
    </row>
    <row r="849" spans="1:3" x14ac:dyDescent="0.45">
      <c r="A849" s="2">
        <v>30387</v>
      </c>
      <c r="B849" s="7">
        <v>475000</v>
      </c>
      <c r="C849" s="8">
        <v>-4.0404040404040442E-2</v>
      </c>
    </row>
    <row r="850" spans="1:3" x14ac:dyDescent="0.45">
      <c r="A850" s="2">
        <v>30394</v>
      </c>
      <c r="B850" s="7">
        <v>470000</v>
      </c>
      <c r="C850" s="8">
        <v>-1.0526315789473717E-2</v>
      </c>
    </row>
    <row r="851" spans="1:3" x14ac:dyDescent="0.45">
      <c r="A851" s="2">
        <v>30401</v>
      </c>
      <c r="B851" s="7">
        <v>481000</v>
      </c>
      <c r="C851" s="8">
        <v>2.3404255319148914E-2</v>
      </c>
    </row>
    <row r="852" spans="1:3" x14ac:dyDescent="0.45">
      <c r="A852" s="2">
        <v>30408</v>
      </c>
      <c r="B852" s="7">
        <v>491000</v>
      </c>
      <c r="C852" s="8">
        <v>2.079002079002068E-2</v>
      </c>
    </row>
    <row r="853" spans="1:3" x14ac:dyDescent="0.45">
      <c r="A853" s="2">
        <v>30415</v>
      </c>
      <c r="B853" s="7">
        <v>496000</v>
      </c>
      <c r="C853" s="8">
        <v>1.0183299389002087E-2</v>
      </c>
    </row>
    <row r="854" spans="1:3" x14ac:dyDescent="0.45">
      <c r="A854" s="2">
        <v>30422</v>
      </c>
      <c r="B854" s="7">
        <v>515000</v>
      </c>
      <c r="C854" s="8">
        <v>3.8306451612903247E-2</v>
      </c>
    </row>
    <row r="855" spans="1:3" x14ac:dyDescent="0.45">
      <c r="A855" s="2">
        <v>30429</v>
      </c>
      <c r="B855" s="7">
        <v>488000</v>
      </c>
      <c r="C855" s="8">
        <v>-5.2427184466019461E-2</v>
      </c>
    </row>
    <row r="856" spans="1:3" x14ac:dyDescent="0.45">
      <c r="A856" s="2">
        <v>30436</v>
      </c>
      <c r="B856" s="7">
        <v>490000</v>
      </c>
      <c r="C856" s="8">
        <v>4.098360655737654E-3</v>
      </c>
    </row>
    <row r="857" spans="1:3" x14ac:dyDescent="0.45">
      <c r="A857" s="2">
        <v>30443</v>
      </c>
      <c r="B857" s="7">
        <v>494000</v>
      </c>
      <c r="C857" s="8">
        <v>8.1632653061225469E-3</v>
      </c>
    </row>
    <row r="858" spans="1:3" x14ac:dyDescent="0.45">
      <c r="A858" s="2">
        <v>30450</v>
      </c>
      <c r="B858" s="7">
        <v>464000</v>
      </c>
      <c r="C858" s="8">
        <v>-6.0728744939271273E-2</v>
      </c>
    </row>
    <row r="859" spans="1:3" x14ac:dyDescent="0.45">
      <c r="A859" s="2">
        <v>30457</v>
      </c>
      <c r="B859" s="7">
        <v>460000</v>
      </c>
      <c r="C859" s="8">
        <v>-8.6206896551723755E-3</v>
      </c>
    </row>
    <row r="860" spans="1:3" x14ac:dyDescent="0.45">
      <c r="A860" s="2">
        <v>30464</v>
      </c>
      <c r="B860" s="7">
        <v>454000</v>
      </c>
      <c r="C860" s="8">
        <v>-1.3043478260869601E-2</v>
      </c>
    </row>
    <row r="861" spans="1:3" x14ac:dyDescent="0.45">
      <c r="A861" s="2">
        <v>30471</v>
      </c>
      <c r="B861" s="7">
        <v>459000</v>
      </c>
      <c r="C861" s="8">
        <v>1.1013215859030812E-2</v>
      </c>
    </row>
    <row r="862" spans="1:3" x14ac:dyDescent="0.45">
      <c r="A862" s="2">
        <v>30478</v>
      </c>
      <c r="B862" s="7">
        <v>442000</v>
      </c>
      <c r="C862" s="8">
        <v>-3.703703703703709E-2</v>
      </c>
    </row>
    <row r="863" spans="1:3" x14ac:dyDescent="0.45">
      <c r="A863" s="2">
        <v>30485</v>
      </c>
      <c r="B863" s="7">
        <v>434000</v>
      </c>
      <c r="C863" s="8">
        <v>-1.8099547511312264E-2</v>
      </c>
    </row>
    <row r="864" spans="1:3" x14ac:dyDescent="0.45">
      <c r="A864" s="2">
        <v>30492</v>
      </c>
      <c r="B864" s="7">
        <v>442000</v>
      </c>
      <c r="C864" s="8">
        <v>1.8433179723502224E-2</v>
      </c>
    </row>
    <row r="865" spans="1:3" x14ac:dyDescent="0.45">
      <c r="A865" s="2">
        <v>30499</v>
      </c>
      <c r="B865" s="7">
        <v>422000</v>
      </c>
      <c r="C865" s="8">
        <v>-4.5248868778280493E-2</v>
      </c>
    </row>
    <row r="866" spans="1:3" x14ac:dyDescent="0.45">
      <c r="A866" s="2">
        <v>30506</v>
      </c>
      <c r="B866" s="7">
        <v>412000</v>
      </c>
      <c r="C866" s="8">
        <v>-2.3696682464454999E-2</v>
      </c>
    </row>
    <row r="867" spans="1:3" x14ac:dyDescent="0.45">
      <c r="A867" s="2">
        <v>30513</v>
      </c>
      <c r="B867" s="7">
        <v>396000</v>
      </c>
      <c r="C867" s="8">
        <v>-3.8834951456310662E-2</v>
      </c>
    </row>
    <row r="868" spans="1:3" x14ac:dyDescent="0.45">
      <c r="A868" s="2">
        <v>30520</v>
      </c>
      <c r="B868" s="7">
        <v>395000</v>
      </c>
      <c r="C868" s="8">
        <v>-2.525252525252486E-3</v>
      </c>
    </row>
    <row r="869" spans="1:3" x14ac:dyDescent="0.45">
      <c r="A869" s="2">
        <v>30527</v>
      </c>
      <c r="B869" s="7">
        <v>415000</v>
      </c>
      <c r="C869" s="8">
        <v>5.0632911392405111E-2</v>
      </c>
    </row>
    <row r="870" spans="1:3" x14ac:dyDescent="0.45">
      <c r="A870" s="2">
        <v>30534</v>
      </c>
      <c r="B870" s="7">
        <v>415000</v>
      </c>
      <c r="C870" s="8">
        <v>0</v>
      </c>
    </row>
    <row r="871" spans="1:3" x14ac:dyDescent="0.45">
      <c r="A871" s="2">
        <v>30541</v>
      </c>
      <c r="B871" s="7">
        <v>457000</v>
      </c>
      <c r="C871" s="8">
        <v>0.10120481927710845</v>
      </c>
    </row>
    <row r="872" spans="1:3" x14ac:dyDescent="0.45">
      <c r="A872" s="2">
        <v>30548</v>
      </c>
      <c r="B872" s="7">
        <v>445000</v>
      </c>
      <c r="C872" s="8">
        <v>-2.6258205689277947E-2</v>
      </c>
    </row>
    <row r="873" spans="1:3" x14ac:dyDescent="0.45">
      <c r="A873" s="2">
        <v>30555</v>
      </c>
      <c r="B873" s="7">
        <v>426000</v>
      </c>
      <c r="C873" s="8">
        <v>-4.2696629213483162E-2</v>
      </c>
    </row>
    <row r="874" spans="1:3" x14ac:dyDescent="0.45">
      <c r="A874" s="2">
        <v>30562</v>
      </c>
      <c r="B874" s="7">
        <v>411000</v>
      </c>
      <c r="C874" s="8">
        <v>-3.5211267605633756E-2</v>
      </c>
    </row>
    <row r="875" spans="1:3" x14ac:dyDescent="0.45">
      <c r="A875" s="2">
        <v>30569</v>
      </c>
      <c r="B875" s="7">
        <v>403000</v>
      </c>
      <c r="C875" s="8">
        <v>-1.9464720194647178E-2</v>
      </c>
    </row>
    <row r="876" spans="1:3" x14ac:dyDescent="0.45">
      <c r="A876" s="2">
        <v>30576</v>
      </c>
      <c r="B876" s="7">
        <v>405000</v>
      </c>
      <c r="C876" s="8">
        <v>4.9627791563275903E-3</v>
      </c>
    </row>
    <row r="877" spans="1:3" x14ac:dyDescent="0.45">
      <c r="A877" s="2">
        <v>30583</v>
      </c>
      <c r="B877" s="7">
        <v>416000</v>
      </c>
      <c r="C877" s="8">
        <v>2.716049382716057E-2</v>
      </c>
    </row>
    <row r="878" spans="1:3" x14ac:dyDescent="0.45">
      <c r="A878" s="2">
        <v>30590</v>
      </c>
      <c r="B878" s="7">
        <v>413000</v>
      </c>
      <c r="C878" s="8">
        <v>-7.2115384615384359E-3</v>
      </c>
    </row>
    <row r="879" spans="1:3" x14ac:dyDescent="0.45">
      <c r="A879" s="2">
        <v>30597</v>
      </c>
      <c r="B879" s="7">
        <v>406000</v>
      </c>
      <c r="C879" s="8">
        <v>-1.6949152542372836E-2</v>
      </c>
    </row>
    <row r="880" spans="1:3" x14ac:dyDescent="0.45">
      <c r="A880" s="2">
        <v>30604</v>
      </c>
      <c r="B880" s="7">
        <v>394000</v>
      </c>
      <c r="C880" s="8">
        <v>-2.9556650246305383E-2</v>
      </c>
    </row>
    <row r="881" spans="1:3" x14ac:dyDescent="0.45">
      <c r="A881" s="2">
        <v>30611</v>
      </c>
      <c r="B881" s="7">
        <v>394000</v>
      </c>
      <c r="C881" s="8">
        <v>0</v>
      </c>
    </row>
    <row r="882" spans="1:3" x14ac:dyDescent="0.45">
      <c r="A882" s="2">
        <v>30618</v>
      </c>
      <c r="B882" s="7">
        <v>404000</v>
      </c>
      <c r="C882" s="8">
        <v>2.5380710659898442E-2</v>
      </c>
    </row>
    <row r="883" spans="1:3" x14ac:dyDescent="0.45">
      <c r="A883" s="2">
        <v>30625</v>
      </c>
      <c r="B883" s="7">
        <v>395000</v>
      </c>
      <c r="C883" s="8">
        <v>-2.2277227722772297E-2</v>
      </c>
    </row>
    <row r="884" spans="1:3" x14ac:dyDescent="0.45">
      <c r="A884" s="2">
        <v>30632</v>
      </c>
      <c r="B884" s="7">
        <v>390000</v>
      </c>
      <c r="C884" s="8">
        <v>-1.2658227848101222E-2</v>
      </c>
    </row>
    <row r="885" spans="1:3" x14ac:dyDescent="0.45">
      <c r="A885" s="2">
        <v>30639</v>
      </c>
      <c r="B885" s="7">
        <v>387000</v>
      </c>
      <c r="C885" s="8">
        <v>-7.692307692307665E-3</v>
      </c>
    </row>
    <row r="886" spans="1:3" x14ac:dyDescent="0.45">
      <c r="A886" s="2">
        <v>30646</v>
      </c>
      <c r="B886" s="7">
        <v>398000</v>
      </c>
      <c r="C886" s="8">
        <v>2.8423772609819098E-2</v>
      </c>
    </row>
    <row r="887" spans="1:3" x14ac:dyDescent="0.45">
      <c r="A887" s="2">
        <v>30653</v>
      </c>
      <c r="B887" s="7">
        <v>365000</v>
      </c>
      <c r="C887" s="8">
        <v>-8.2914572864321578E-2</v>
      </c>
    </row>
    <row r="888" spans="1:3" x14ac:dyDescent="0.45">
      <c r="A888" s="2">
        <v>30660</v>
      </c>
      <c r="B888" s="7">
        <v>368000</v>
      </c>
      <c r="C888" s="8">
        <v>8.2191780821918581E-3</v>
      </c>
    </row>
    <row r="889" spans="1:3" x14ac:dyDescent="0.45">
      <c r="A889" s="2">
        <v>30667</v>
      </c>
      <c r="B889" s="7">
        <v>362000</v>
      </c>
      <c r="C889" s="8">
        <v>-1.6304347826086918E-2</v>
      </c>
    </row>
    <row r="890" spans="1:3" x14ac:dyDescent="0.45">
      <c r="A890" s="2">
        <v>30674</v>
      </c>
      <c r="B890" s="7">
        <v>377000</v>
      </c>
      <c r="C890" s="8">
        <v>4.143646408839774E-2</v>
      </c>
    </row>
    <row r="891" spans="1:3" x14ac:dyDescent="0.45">
      <c r="A891" s="2">
        <v>30681</v>
      </c>
      <c r="B891" s="7">
        <v>372000</v>
      </c>
      <c r="C891" s="8">
        <v>-1.3262599469496039E-2</v>
      </c>
    </row>
    <row r="892" spans="1:3" x14ac:dyDescent="0.45">
      <c r="A892" s="2">
        <v>30688</v>
      </c>
      <c r="B892" s="7">
        <v>356000</v>
      </c>
      <c r="C892" s="8">
        <v>-4.3010752688172005E-2</v>
      </c>
    </row>
    <row r="893" spans="1:3" x14ac:dyDescent="0.45">
      <c r="A893" s="2">
        <v>30695</v>
      </c>
      <c r="B893" s="7">
        <v>351000</v>
      </c>
      <c r="C893" s="8">
        <v>-1.4044943820224698E-2</v>
      </c>
    </row>
    <row r="894" spans="1:3" x14ac:dyDescent="0.45">
      <c r="A894" s="2">
        <v>30702</v>
      </c>
      <c r="B894" s="7">
        <v>333000</v>
      </c>
      <c r="C894" s="8">
        <v>-5.1282051282051322E-2</v>
      </c>
    </row>
    <row r="895" spans="1:3" x14ac:dyDescent="0.45">
      <c r="A895" s="2">
        <v>30709</v>
      </c>
      <c r="B895" s="7">
        <v>364000</v>
      </c>
      <c r="C895" s="8">
        <v>9.3093093093093104E-2</v>
      </c>
    </row>
    <row r="896" spans="1:3" x14ac:dyDescent="0.45">
      <c r="A896" s="2">
        <v>30716</v>
      </c>
      <c r="B896" s="7">
        <v>342000</v>
      </c>
      <c r="C896" s="8">
        <v>-6.0439560439560447E-2</v>
      </c>
    </row>
    <row r="897" spans="1:3" x14ac:dyDescent="0.45">
      <c r="A897" s="2">
        <v>30723</v>
      </c>
      <c r="B897" s="7">
        <v>338000</v>
      </c>
      <c r="C897" s="8">
        <v>-1.1695906432748537E-2</v>
      </c>
    </row>
    <row r="898" spans="1:3" x14ac:dyDescent="0.45">
      <c r="A898" s="2">
        <v>30730</v>
      </c>
      <c r="B898" s="7">
        <v>334000</v>
      </c>
      <c r="C898" s="8">
        <v>-1.1834319526627168E-2</v>
      </c>
    </row>
    <row r="899" spans="1:3" x14ac:dyDescent="0.45">
      <c r="A899" s="2">
        <v>30737</v>
      </c>
      <c r="B899" s="7">
        <v>343000</v>
      </c>
      <c r="C899" s="8">
        <v>2.6946107784431073E-2</v>
      </c>
    </row>
    <row r="900" spans="1:3" x14ac:dyDescent="0.45">
      <c r="A900" s="2">
        <v>30744</v>
      </c>
      <c r="B900" s="7">
        <v>347000</v>
      </c>
      <c r="C900" s="8">
        <v>1.1661807580174877E-2</v>
      </c>
    </row>
    <row r="901" spans="1:3" x14ac:dyDescent="0.45">
      <c r="A901" s="2">
        <v>30751</v>
      </c>
      <c r="B901" s="7">
        <v>346000</v>
      </c>
      <c r="C901" s="8">
        <v>-2.8818443804035088E-3</v>
      </c>
    </row>
    <row r="902" spans="1:3" x14ac:dyDescent="0.45">
      <c r="A902" s="2">
        <v>30758</v>
      </c>
      <c r="B902" s="7">
        <v>349000</v>
      </c>
      <c r="C902" s="8">
        <v>8.6705202312138407E-3</v>
      </c>
    </row>
    <row r="903" spans="1:3" x14ac:dyDescent="0.45">
      <c r="A903" s="2">
        <v>30765</v>
      </c>
      <c r="B903" s="7">
        <v>346000</v>
      </c>
      <c r="C903" s="8">
        <v>-8.5959885386819312E-3</v>
      </c>
    </row>
    <row r="904" spans="1:3" x14ac:dyDescent="0.45">
      <c r="A904" s="2">
        <v>30772</v>
      </c>
      <c r="B904" s="7">
        <v>341000</v>
      </c>
      <c r="C904" s="8">
        <v>-1.4450867052023142E-2</v>
      </c>
    </row>
    <row r="905" spans="1:3" x14ac:dyDescent="0.45">
      <c r="A905" s="2">
        <v>30779</v>
      </c>
      <c r="B905" s="7">
        <v>381000</v>
      </c>
      <c r="C905" s="8">
        <v>0.11730205278592365</v>
      </c>
    </row>
    <row r="906" spans="1:3" x14ac:dyDescent="0.45">
      <c r="A906" s="2">
        <v>30786</v>
      </c>
      <c r="B906" s="7">
        <v>357000</v>
      </c>
      <c r="C906" s="8">
        <v>-6.2992125984251968E-2</v>
      </c>
    </row>
    <row r="907" spans="1:3" x14ac:dyDescent="0.45">
      <c r="A907" s="2">
        <v>30793</v>
      </c>
      <c r="B907" s="7">
        <v>364000</v>
      </c>
      <c r="C907" s="8">
        <v>1.9607843137254832E-2</v>
      </c>
    </row>
    <row r="908" spans="1:3" x14ac:dyDescent="0.45">
      <c r="A908" s="2">
        <v>30800</v>
      </c>
      <c r="B908" s="7">
        <v>375000</v>
      </c>
      <c r="C908" s="8">
        <v>3.0219780219780112E-2</v>
      </c>
    </row>
    <row r="909" spans="1:3" x14ac:dyDescent="0.45">
      <c r="A909" s="2">
        <v>30807</v>
      </c>
      <c r="B909" s="7">
        <v>365000</v>
      </c>
      <c r="C909" s="8">
        <v>-2.6666666666666616E-2</v>
      </c>
    </row>
    <row r="910" spans="1:3" x14ac:dyDescent="0.45">
      <c r="A910" s="2">
        <v>30814</v>
      </c>
      <c r="B910" s="7">
        <v>368000</v>
      </c>
      <c r="C910" s="8">
        <v>8.2191780821918581E-3</v>
      </c>
    </row>
    <row r="911" spans="1:3" x14ac:dyDescent="0.45">
      <c r="A911" s="2">
        <v>30821</v>
      </c>
      <c r="B911" s="7">
        <v>354000</v>
      </c>
      <c r="C911" s="8">
        <v>-3.8043478260869512E-2</v>
      </c>
    </row>
    <row r="912" spans="1:3" x14ac:dyDescent="0.45">
      <c r="A912" s="2">
        <v>30828</v>
      </c>
      <c r="B912" s="7">
        <v>354000</v>
      </c>
      <c r="C912" s="8">
        <v>0</v>
      </c>
    </row>
    <row r="913" spans="1:3" x14ac:dyDescent="0.45">
      <c r="A913" s="2">
        <v>30835</v>
      </c>
      <c r="B913" s="7">
        <v>355000</v>
      </c>
      <c r="C913" s="8">
        <v>2.8248587570620654E-3</v>
      </c>
    </row>
    <row r="914" spans="1:3" x14ac:dyDescent="0.45">
      <c r="A914" s="2">
        <v>30842</v>
      </c>
      <c r="B914" s="7">
        <v>369000</v>
      </c>
      <c r="C914" s="8">
        <v>3.9436619718309807E-2</v>
      </c>
    </row>
    <row r="915" spans="1:3" x14ac:dyDescent="0.45">
      <c r="A915" s="2">
        <v>30849</v>
      </c>
      <c r="B915" s="7">
        <v>361000</v>
      </c>
      <c r="C915" s="8">
        <v>-2.1680216802168029E-2</v>
      </c>
    </row>
    <row r="916" spans="1:3" x14ac:dyDescent="0.45">
      <c r="A916" s="2">
        <v>30856</v>
      </c>
      <c r="B916" s="7">
        <v>362000</v>
      </c>
      <c r="C916" s="8">
        <v>2.7700831024930483E-3</v>
      </c>
    </row>
    <row r="917" spans="1:3" x14ac:dyDescent="0.45">
      <c r="A917" s="2">
        <v>30863</v>
      </c>
      <c r="B917" s="7">
        <v>360000</v>
      </c>
      <c r="C917" s="8">
        <v>-5.5248618784530246E-3</v>
      </c>
    </row>
    <row r="918" spans="1:3" x14ac:dyDescent="0.45">
      <c r="A918" s="2">
        <v>30870</v>
      </c>
      <c r="B918" s="7">
        <v>366000</v>
      </c>
      <c r="C918" s="8">
        <v>1.6666666666666607E-2</v>
      </c>
    </row>
    <row r="919" spans="1:3" x14ac:dyDescent="0.45">
      <c r="A919" s="2">
        <v>30877</v>
      </c>
      <c r="B919" s="7">
        <v>360000</v>
      </c>
      <c r="C919" s="8">
        <v>-1.6393442622950838E-2</v>
      </c>
    </row>
    <row r="920" spans="1:3" x14ac:dyDescent="0.45">
      <c r="A920" s="2">
        <v>30884</v>
      </c>
      <c r="B920" s="7">
        <v>357000</v>
      </c>
      <c r="C920" s="8">
        <v>-8.3333333333333037E-3</v>
      </c>
    </row>
    <row r="921" spans="1:3" x14ac:dyDescent="0.45">
      <c r="A921" s="2">
        <v>30891</v>
      </c>
      <c r="B921" s="7">
        <v>359000</v>
      </c>
      <c r="C921" s="8">
        <v>5.6022408963585235E-3</v>
      </c>
    </row>
    <row r="922" spans="1:3" x14ac:dyDescent="0.45">
      <c r="A922" s="2">
        <v>30898</v>
      </c>
      <c r="B922" s="7">
        <v>382000</v>
      </c>
      <c r="C922" s="8">
        <v>6.4066852367687943E-2</v>
      </c>
    </row>
    <row r="923" spans="1:3" x14ac:dyDescent="0.45">
      <c r="A923" s="2">
        <v>30905</v>
      </c>
      <c r="B923" s="7">
        <v>380000</v>
      </c>
      <c r="C923" s="8">
        <v>-5.2356020942407877E-3</v>
      </c>
    </row>
    <row r="924" spans="1:3" x14ac:dyDescent="0.45">
      <c r="A924" s="2">
        <v>30912</v>
      </c>
      <c r="B924" s="7">
        <v>401000</v>
      </c>
      <c r="C924" s="8">
        <v>5.5263157894736903E-2</v>
      </c>
    </row>
    <row r="925" spans="1:3" x14ac:dyDescent="0.45">
      <c r="A925" s="2">
        <v>30919</v>
      </c>
      <c r="B925" s="7">
        <v>395000</v>
      </c>
      <c r="C925" s="8">
        <v>-1.4962593516209433E-2</v>
      </c>
    </row>
    <row r="926" spans="1:3" x14ac:dyDescent="0.45">
      <c r="A926" s="2">
        <v>30926</v>
      </c>
      <c r="B926" s="7">
        <v>385000</v>
      </c>
      <c r="C926" s="8">
        <v>-2.5316455696202556E-2</v>
      </c>
    </row>
    <row r="927" spans="1:3" x14ac:dyDescent="0.45">
      <c r="A927" s="2">
        <v>30933</v>
      </c>
      <c r="B927" s="7">
        <v>402000</v>
      </c>
      <c r="C927" s="8">
        <v>4.415584415584406E-2</v>
      </c>
    </row>
    <row r="928" spans="1:3" x14ac:dyDescent="0.45">
      <c r="A928" s="2">
        <v>30940</v>
      </c>
      <c r="B928" s="7">
        <v>393000</v>
      </c>
      <c r="C928" s="8">
        <v>-2.2388059701492491E-2</v>
      </c>
    </row>
    <row r="929" spans="1:3" x14ac:dyDescent="0.45">
      <c r="A929" s="2">
        <v>30947</v>
      </c>
      <c r="B929" s="7">
        <v>395000</v>
      </c>
      <c r="C929" s="8">
        <v>5.0890585241729624E-3</v>
      </c>
    </row>
    <row r="930" spans="1:3" x14ac:dyDescent="0.45">
      <c r="A930" s="2">
        <v>30954</v>
      </c>
      <c r="B930" s="7">
        <v>402000</v>
      </c>
      <c r="C930" s="8">
        <v>1.7721518987341867E-2</v>
      </c>
    </row>
    <row r="931" spans="1:3" x14ac:dyDescent="0.45">
      <c r="A931" s="2">
        <v>30961</v>
      </c>
      <c r="B931" s="7">
        <v>403000</v>
      </c>
      <c r="C931" s="8">
        <v>2.4875621890547706E-3</v>
      </c>
    </row>
    <row r="932" spans="1:3" x14ac:dyDescent="0.45">
      <c r="A932" s="2">
        <v>30968</v>
      </c>
      <c r="B932" s="7">
        <v>410000</v>
      </c>
      <c r="C932" s="8">
        <v>1.7369727047146455E-2</v>
      </c>
    </row>
    <row r="933" spans="1:3" x14ac:dyDescent="0.45">
      <c r="A933" s="2">
        <v>30975</v>
      </c>
      <c r="B933" s="7">
        <v>439000</v>
      </c>
      <c r="C933" s="8">
        <v>7.0731707317073234E-2</v>
      </c>
    </row>
    <row r="934" spans="1:3" x14ac:dyDescent="0.45">
      <c r="A934" s="2">
        <v>30982</v>
      </c>
      <c r="B934" s="7">
        <v>425000</v>
      </c>
      <c r="C934" s="8">
        <v>-3.1890660592255093E-2</v>
      </c>
    </row>
    <row r="935" spans="1:3" x14ac:dyDescent="0.45">
      <c r="A935" s="2">
        <v>30989</v>
      </c>
      <c r="B935" s="7">
        <v>423000</v>
      </c>
      <c r="C935" s="8">
        <v>-4.7058823529412264E-3</v>
      </c>
    </row>
    <row r="936" spans="1:3" x14ac:dyDescent="0.45">
      <c r="A936" s="2">
        <v>30996</v>
      </c>
      <c r="B936" s="7">
        <v>393000</v>
      </c>
      <c r="C936" s="8">
        <v>-7.0921985815602828E-2</v>
      </c>
    </row>
    <row r="937" spans="1:3" x14ac:dyDescent="0.45">
      <c r="A937" s="2">
        <v>31003</v>
      </c>
      <c r="B937" s="7">
        <v>383000</v>
      </c>
      <c r="C937" s="8">
        <v>-2.5445292620865145E-2</v>
      </c>
    </row>
    <row r="938" spans="1:3" x14ac:dyDescent="0.45">
      <c r="A938" s="2">
        <v>31010</v>
      </c>
      <c r="B938" s="7">
        <v>429000</v>
      </c>
      <c r="C938" s="8">
        <v>0.12010443864229758</v>
      </c>
    </row>
    <row r="939" spans="1:3" x14ac:dyDescent="0.45">
      <c r="A939" s="2">
        <v>31017</v>
      </c>
      <c r="B939" s="7">
        <v>401000</v>
      </c>
      <c r="C939" s="8">
        <v>-6.5268065268065278E-2</v>
      </c>
    </row>
    <row r="940" spans="1:3" x14ac:dyDescent="0.45">
      <c r="A940" s="2">
        <v>31024</v>
      </c>
      <c r="B940" s="7">
        <v>383000</v>
      </c>
      <c r="C940" s="8">
        <v>-4.4887780548628409E-2</v>
      </c>
    </row>
    <row r="941" spans="1:3" x14ac:dyDescent="0.45">
      <c r="A941" s="2">
        <v>31031</v>
      </c>
      <c r="B941" s="7">
        <v>386000</v>
      </c>
      <c r="C941" s="8">
        <v>7.8328981723236879E-3</v>
      </c>
    </row>
    <row r="942" spans="1:3" x14ac:dyDescent="0.45">
      <c r="A942" s="2">
        <v>31038</v>
      </c>
      <c r="B942" s="7">
        <v>379000</v>
      </c>
      <c r="C942" s="8">
        <v>-1.8134715025906689E-2</v>
      </c>
    </row>
    <row r="943" spans="1:3" x14ac:dyDescent="0.45">
      <c r="A943" s="2">
        <v>31045</v>
      </c>
      <c r="B943" s="7">
        <v>379000</v>
      </c>
      <c r="C943" s="8">
        <v>0</v>
      </c>
    </row>
    <row r="944" spans="1:3" x14ac:dyDescent="0.45">
      <c r="A944" s="2">
        <v>31052</v>
      </c>
      <c r="B944" s="7">
        <v>369000</v>
      </c>
      <c r="C944" s="8">
        <v>-2.6385224274406371E-2</v>
      </c>
    </row>
    <row r="945" spans="1:3" x14ac:dyDescent="0.45">
      <c r="A945" s="2">
        <v>31059</v>
      </c>
      <c r="B945" s="7">
        <v>387000</v>
      </c>
      <c r="C945" s="8">
        <v>4.8780487804878092E-2</v>
      </c>
    </row>
    <row r="946" spans="1:3" x14ac:dyDescent="0.45">
      <c r="A946" s="2">
        <v>31066</v>
      </c>
      <c r="B946" s="7">
        <v>359000</v>
      </c>
      <c r="C946" s="8">
        <v>-7.2351421188630471E-2</v>
      </c>
    </row>
    <row r="947" spans="1:3" x14ac:dyDescent="0.45">
      <c r="A947" s="2">
        <v>31073</v>
      </c>
      <c r="B947" s="7">
        <v>368000</v>
      </c>
      <c r="C947" s="8">
        <v>2.5069637883008422E-2</v>
      </c>
    </row>
    <row r="948" spans="1:3" x14ac:dyDescent="0.45">
      <c r="A948" s="2">
        <v>31080</v>
      </c>
      <c r="B948" s="7">
        <v>386000</v>
      </c>
      <c r="C948" s="8">
        <v>4.8913043478260976E-2</v>
      </c>
    </row>
    <row r="949" spans="1:3" x14ac:dyDescent="0.45">
      <c r="A949" s="2">
        <v>31087</v>
      </c>
      <c r="B949" s="7">
        <v>401000</v>
      </c>
      <c r="C949" s="8">
        <v>3.8860103626942921E-2</v>
      </c>
    </row>
    <row r="950" spans="1:3" x14ac:dyDescent="0.45">
      <c r="A950" s="2">
        <v>31094</v>
      </c>
      <c r="B950" s="7">
        <v>390000</v>
      </c>
      <c r="C950" s="8">
        <v>-2.7431421446383997E-2</v>
      </c>
    </row>
    <row r="951" spans="1:3" x14ac:dyDescent="0.45">
      <c r="A951" s="2">
        <v>31101</v>
      </c>
      <c r="B951" s="7">
        <v>390000</v>
      </c>
      <c r="C951" s="8">
        <v>0</v>
      </c>
    </row>
    <row r="952" spans="1:3" x14ac:dyDescent="0.45">
      <c r="A952" s="2">
        <v>31108</v>
      </c>
      <c r="B952" s="7">
        <v>374000</v>
      </c>
      <c r="C952" s="8">
        <v>-4.1025641025640991E-2</v>
      </c>
    </row>
    <row r="953" spans="1:3" x14ac:dyDescent="0.45">
      <c r="A953" s="2">
        <v>31115</v>
      </c>
      <c r="B953" s="7">
        <v>385000</v>
      </c>
      <c r="C953" s="8">
        <v>2.9411764705882248E-2</v>
      </c>
    </row>
    <row r="954" spans="1:3" x14ac:dyDescent="0.45">
      <c r="A954" s="2">
        <v>31122</v>
      </c>
      <c r="B954" s="7">
        <v>386000</v>
      </c>
      <c r="C954" s="8">
        <v>2.5974025974024872E-3</v>
      </c>
    </row>
    <row r="955" spans="1:3" x14ac:dyDescent="0.45">
      <c r="A955" s="2">
        <v>31129</v>
      </c>
      <c r="B955" s="7">
        <v>373000</v>
      </c>
      <c r="C955" s="8">
        <v>-3.3678756476683946E-2</v>
      </c>
    </row>
    <row r="956" spans="1:3" x14ac:dyDescent="0.45">
      <c r="A956" s="2">
        <v>31136</v>
      </c>
      <c r="B956" s="7">
        <v>386000</v>
      </c>
      <c r="C956" s="8">
        <v>3.4852546916890104E-2</v>
      </c>
    </row>
    <row r="957" spans="1:3" x14ac:dyDescent="0.45">
      <c r="A957" s="2">
        <v>31143</v>
      </c>
      <c r="B957" s="7">
        <v>405000</v>
      </c>
      <c r="C957" s="8">
        <v>4.9222797927461093E-2</v>
      </c>
    </row>
    <row r="958" spans="1:3" x14ac:dyDescent="0.45">
      <c r="A958" s="2">
        <v>31150</v>
      </c>
      <c r="B958" s="7">
        <v>411000</v>
      </c>
      <c r="C958" s="8">
        <v>1.4814814814814836E-2</v>
      </c>
    </row>
    <row r="959" spans="1:3" x14ac:dyDescent="0.45">
      <c r="A959" s="2">
        <v>31157</v>
      </c>
      <c r="B959" s="7">
        <v>391000</v>
      </c>
      <c r="C959" s="8">
        <v>-4.8661800486618056E-2</v>
      </c>
    </row>
    <row r="960" spans="1:3" x14ac:dyDescent="0.45">
      <c r="A960" s="2">
        <v>31164</v>
      </c>
      <c r="B960" s="7">
        <v>386000</v>
      </c>
      <c r="C960" s="8">
        <v>-1.2787723785166238E-2</v>
      </c>
    </row>
    <row r="961" spans="1:3" x14ac:dyDescent="0.45">
      <c r="A961" s="2">
        <v>31171</v>
      </c>
      <c r="B961" s="7">
        <v>390000</v>
      </c>
      <c r="C961" s="8">
        <v>1.0362694300518172E-2</v>
      </c>
    </row>
    <row r="962" spans="1:3" x14ac:dyDescent="0.45">
      <c r="A962" s="2">
        <v>31178</v>
      </c>
      <c r="B962" s="7">
        <v>394000</v>
      </c>
      <c r="C962" s="8">
        <v>1.025641025641022E-2</v>
      </c>
    </row>
    <row r="963" spans="1:3" x14ac:dyDescent="0.45">
      <c r="A963" s="2">
        <v>31185</v>
      </c>
      <c r="B963" s="7">
        <v>391000</v>
      </c>
      <c r="C963" s="8">
        <v>-7.6142131979695105E-3</v>
      </c>
    </row>
    <row r="964" spans="1:3" x14ac:dyDescent="0.45">
      <c r="A964" s="2">
        <v>31192</v>
      </c>
      <c r="B964" s="7">
        <v>396000</v>
      </c>
      <c r="C964" s="8">
        <v>1.2787723785166349E-2</v>
      </c>
    </row>
    <row r="965" spans="1:3" x14ac:dyDescent="0.45">
      <c r="A965" s="2">
        <v>31199</v>
      </c>
      <c r="B965" s="7">
        <v>393000</v>
      </c>
      <c r="C965" s="8">
        <v>-7.575757575757569E-3</v>
      </c>
    </row>
    <row r="966" spans="1:3" x14ac:dyDescent="0.45">
      <c r="A966" s="2">
        <v>31206</v>
      </c>
      <c r="B966" s="7">
        <v>403000</v>
      </c>
      <c r="C966" s="8">
        <v>2.5445292620865034E-2</v>
      </c>
    </row>
    <row r="967" spans="1:3" x14ac:dyDescent="0.45">
      <c r="A967" s="2">
        <v>31213</v>
      </c>
      <c r="B967" s="7">
        <v>390000</v>
      </c>
      <c r="C967" s="8">
        <v>-3.2258064516129004E-2</v>
      </c>
    </row>
    <row r="968" spans="1:3" x14ac:dyDescent="0.45">
      <c r="A968" s="2">
        <v>31220</v>
      </c>
      <c r="B968" s="7">
        <v>386000</v>
      </c>
      <c r="C968" s="8">
        <v>-1.025641025641022E-2</v>
      </c>
    </row>
    <row r="969" spans="1:3" x14ac:dyDescent="0.45">
      <c r="A969" s="2">
        <v>31227</v>
      </c>
      <c r="B969" s="7">
        <v>390000</v>
      </c>
      <c r="C969" s="8">
        <v>1.0362694300518172E-2</v>
      </c>
    </row>
    <row r="970" spans="1:3" x14ac:dyDescent="0.45">
      <c r="A970" s="2">
        <v>31234</v>
      </c>
      <c r="B970" s="7">
        <v>395000</v>
      </c>
      <c r="C970" s="8">
        <v>1.2820512820512775E-2</v>
      </c>
    </row>
    <row r="971" spans="1:3" x14ac:dyDescent="0.45">
      <c r="A971" s="2">
        <v>31241</v>
      </c>
      <c r="B971" s="7">
        <v>386000</v>
      </c>
      <c r="C971" s="8">
        <v>-2.2784810126582289E-2</v>
      </c>
    </row>
    <row r="972" spans="1:3" x14ac:dyDescent="0.45">
      <c r="A972" s="2">
        <v>31248</v>
      </c>
      <c r="B972" s="7">
        <v>370000</v>
      </c>
      <c r="C972" s="8">
        <v>-4.1450777202072575E-2</v>
      </c>
    </row>
    <row r="973" spans="1:3" x14ac:dyDescent="0.45">
      <c r="A973" s="2">
        <v>31255</v>
      </c>
      <c r="B973" s="7">
        <v>362000</v>
      </c>
      <c r="C973" s="8">
        <v>-2.1621621621621623E-2</v>
      </c>
    </row>
    <row r="974" spans="1:3" x14ac:dyDescent="0.45">
      <c r="A974" s="2">
        <v>31262</v>
      </c>
      <c r="B974" s="7">
        <v>407000</v>
      </c>
      <c r="C974" s="8">
        <v>0.12430939226519344</v>
      </c>
    </row>
    <row r="975" spans="1:3" x14ac:dyDescent="0.45">
      <c r="A975" s="2">
        <v>31269</v>
      </c>
      <c r="B975" s="7">
        <v>402000</v>
      </c>
      <c r="C975" s="8">
        <v>-1.2285012285012331E-2</v>
      </c>
    </row>
    <row r="976" spans="1:3" x14ac:dyDescent="0.45">
      <c r="A976" s="2">
        <v>31276</v>
      </c>
      <c r="B976" s="7">
        <v>399000</v>
      </c>
      <c r="C976" s="8">
        <v>-7.4626865671642006E-3</v>
      </c>
    </row>
    <row r="977" spans="1:3" x14ac:dyDescent="0.45">
      <c r="A977" s="2">
        <v>31283</v>
      </c>
      <c r="B977" s="7">
        <v>405000</v>
      </c>
      <c r="C977" s="8">
        <v>1.5037593984962516E-2</v>
      </c>
    </row>
    <row r="978" spans="1:3" x14ac:dyDescent="0.45">
      <c r="A978" s="2">
        <v>31290</v>
      </c>
      <c r="B978" s="7">
        <v>409000</v>
      </c>
      <c r="C978" s="8">
        <v>9.8765432098766315E-3</v>
      </c>
    </row>
    <row r="979" spans="1:3" x14ac:dyDescent="0.45">
      <c r="A979" s="2">
        <v>31297</v>
      </c>
      <c r="B979" s="7">
        <v>426000</v>
      </c>
      <c r="C979" s="8">
        <v>4.1564792176039145E-2</v>
      </c>
    </row>
    <row r="980" spans="1:3" x14ac:dyDescent="0.45">
      <c r="A980" s="2">
        <v>31304</v>
      </c>
      <c r="B980" s="7">
        <v>408000</v>
      </c>
      <c r="C980" s="8">
        <v>-4.2253521126760618E-2</v>
      </c>
    </row>
    <row r="981" spans="1:3" x14ac:dyDescent="0.45">
      <c r="A981" s="2">
        <v>31311</v>
      </c>
      <c r="B981" s="7">
        <v>401000</v>
      </c>
      <c r="C981" s="8">
        <v>-1.7156862745098089E-2</v>
      </c>
    </row>
    <row r="982" spans="1:3" x14ac:dyDescent="0.45">
      <c r="A982" s="2">
        <v>31318</v>
      </c>
      <c r="B982" s="7">
        <v>399000</v>
      </c>
      <c r="C982" s="8">
        <v>-4.9875311720698479E-3</v>
      </c>
    </row>
    <row r="983" spans="1:3" x14ac:dyDescent="0.45">
      <c r="A983" s="2">
        <v>31325</v>
      </c>
      <c r="B983" s="7">
        <v>405000</v>
      </c>
      <c r="C983" s="8">
        <v>1.5037593984962516E-2</v>
      </c>
    </row>
    <row r="984" spans="1:3" x14ac:dyDescent="0.45">
      <c r="A984" s="2">
        <v>31332</v>
      </c>
      <c r="B984" s="7">
        <v>400000</v>
      </c>
      <c r="C984" s="8">
        <v>-1.2345679012345734E-2</v>
      </c>
    </row>
    <row r="985" spans="1:3" x14ac:dyDescent="0.45">
      <c r="A985" s="2">
        <v>31339</v>
      </c>
      <c r="B985" s="7">
        <v>400000</v>
      </c>
      <c r="C985" s="8">
        <v>0</v>
      </c>
    </row>
    <row r="986" spans="1:3" x14ac:dyDescent="0.45">
      <c r="A986" s="2">
        <v>31346</v>
      </c>
      <c r="B986" s="7">
        <v>418000</v>
      </c>
      <c r="C986" s="8">
        <v>4.4999999999999929E-2</v>
      </c>
    </row>
    <row r="987" spans="1:3" x14ac:dyDescent="0.45">
      <c r="A987" s="2">
        <v>31353</v>
      </c>
      <c r="B987" s="7">
        <v>398000</v>
      </c>
      <c r="C987" s="8">
        <v>-4.7846889952153138E-2</v>
      </c>
    </row>
    <row r="988" spans="1:3" x14ac:dyDescent="0.45">
      <c r="A988" s="2">
        <v>31360</v>
      </c>
      <c r="B988" s="7">
        <v>397000</v>
      </c>
      <c r="C988" s="8">
        <v>-2.5125628140703071E-3</v>
      </c>
    </row>
    <row r="989" spans="1:3" x14ac:dyDescent="0.45">
      <c r="A989" s="2">
        <v>31367</v>
      </c>
      <c r="B989" s="7">
        <v>397000</v>
      </c>
      <c r="C989" s="8">
        <v>0</v>
      </c>
    </row>
    <row r="990" spans="1:3" x14ac:dyDescent="0.45">
      <c r="A990" s="2">
        <v>31374</v>
      </c>
      <c r="B990" s="7">
        <v>382000</v>
      </c>
      <c r="C990" s="8">
        <v>-3.7783375314861423E-2</v>
      </c>
    </row>
    <row r="991" spans="1:3" x14ac:dyDescent="0.45">
      <c r="A991" s="2">
        <v>31381</v>
      </c>
      <c r="B991" s="7">
        <v>393000</v>
      </c>
      <c r="C991" s="8">
        <v>2.8795811518324665E-2</v>
      </c>
    </row>
    <row r="992" spans="1:3" x14ac:dyDescent="0.45">
      <c r="A992" s="2">
        <v>31388</v>
      </c>
      <c r="B992" s="7">
        <v>399000</v>
      </c>
      <c r="C992" s="8">
        <v>1.5267175572519109E-2</v>
      </c>
    </row>
    <row r="993" spans="1:3" x14ac:dyDescent="0.45">
      <c r="A993" s="2">
        <v>31395</v>
      </c>
      <c r="B993" s="7">
        <v>382000</v>
      </c>
      <c r="C993" s="8">
        <v>-4.260651629072687E-2</v>
      </c>
    </row>
    <row r="994" spans="1:3" x14ac:dyDescent="0.45">
      <c r="A994" s="2">
        <v>31402</v>
      </c>
      <c r="B994" s="7">
        <v>370000</v>
      </c>
      <c r="C994" s="8">
        <v>-3.1413612565445059E-2</v>
      </c>
    </row>
    <row r="995" spans="1:3" x14ac:dyDescent="0.45">
      <c r="A995" s="2">
        <v>31409</v>
      </c>
      <c r="B995" s="7">
        <v>390000</v>
      </c>
      <c r="C995" s="8">
        <v>5.4054054054053946E-2</v>
      </c>
    </row>
    <row r="996" spans="1:3" x14ac:dyDescent="0.45">
      <c r="A996" s="2">
        <v>31416</v>
      </c>
      <c r="B996" s="7">
        <v>362000</v>
      </c>
      <c r="C996" s="8">
        <v>-7.1794871794871762E-2</v>
      </c>
    </row>
    <row r="997" spans="1:3" x14ac:dyDescent="0.45">
      <c r="A997" s="2">
        <v>31423</v>
      </c>
      <c r="B997" s="7">
        <v>397000</v>
      </c>
      <c r="C997" s="8">
        <v>9.6685082872928207E-2</v>
      </c>
    </row>
    <row r="998" spans="1:3" x14ac:dyDescent="0.45">
      <c r="A998" s="2">
        <v>31430</v>
      </c>
      <c r="B998" s="7">
        <v>364000</v>
      </c>
      <c r="C998" s="8">
        <v>-8.3123425692695263E-2</v>
      </c>
    </row>
    <row r="999" spans="1:3" x14ac:dyDescent="0.45">
      <c r="A999" s="2">
        <v>31437</v>
      </c>
      <c r="B999" s="7">
        <v>344000</v>
      </c>
      <c r="C999" s="8">
        <v>-5.4945054945054972E-2</v>
      </c>
    </row>
    <row r="1000" spans="1:3" x14ac:dyDescent="0.45">
      <c r="A1000" s="2">
        <v>31444</v>
      </c>
      <c r="B1000" s="7">
        <v>364000</v>
      </c>
      <c r="C1000" s="8">
        <v>5.8139534883721034E-2</v>
      </c>
    </row>
    <row r="1001" spans="1:3" x14ac:dyDescent="0.45">
      <c r="A1001" s="2">
        <v>31451</v>
      </c>
      <c r="B1001" s="7">
        <v>366000</v>
      </c>
      <c r="C1001" s="8">
        <v>5.494505494505475E-3</v>
      </c>
    </row>
    <row r="1002" spans="1:3" x14ac:dyDescent="0.45">
      <c r="A1002" s="2">
        <v>31458</v>
      </c>
      <c r="B1002" s="7">
        <v>358000</v>
      </c>
      <c r="C1002" s="8">
        <v>-2.1857923497267784E-2</v>
      </c>
    </row>
    <row r="1003" spans="1:3" x14ac:dyDescent="0.45">
      <c r="A1003" s="2">
        <v>31465</v>
      </c>
      <c r="B1003" s="7">
        <v>390000</v>
      </c>
      <c r="C1003" s="8">
        <v>8.9385474860335101E-2</v>
      </c>
    </row>
    <row r="1004" spans="1:3" x14ac:dyDescent="0.45">
      <c r="A1004" s="2">
        <v>31472</v>
      </c>
      <c r="B1004" s="7">
        <v>375000</v>
      </c>
      <c r="C1004" s="8">
        <v>-3.8461538461538436E-2</v>
      </c>
    </row>
    <row r="1005" spans="1:3" x14ac:dyDescent="0.45">
      <c r="A1005" s="2">
        <v>31479</v>
      </c>
      <c r="B1005" s="7">
        <v>366000</v>
      </c>
      <c r="C1005" s="8">
        <v>-2.4000000000000021E-2</v>
      </c>
    </row>
    <row r="1006" spans="1:3" x14ac:dyDescent="0.45">
      <c r="A1006" s="2">
        <v>31486</v>
      </c>
      <c r="B1006" s="7">
        <v>382000</v>
      </c>
      <c r="C1006" s="8">
        <v>4.3715846994535568E-2</v>
      </c>
    </row>
    <row r="1007" spans="1:3" x14ac:dyDescent="0.45">
      <c r="A1007" s="2">
        <v>31493</v>
      </c>
      <c r="B1007" s="7">
        <v>387000</v>
      </c>
      <c r="C1007" s="8">
        <v>1.308900523560208E-2</v>
      </c>
    </row>
    <row r="1008" spans="1:3" x14ac:dyDescent="0.45">
      <c r="A1008" s="2">
        <v>31500</v>
      </c>
      <c r="B1008" s="7">
        <v>396000</v>
      </c>
      <c r="C1008" s="8">
        <v>2.3255813953488413E-2</v>
      </c>
    </row>
    <row r="1009" spans="1:3" x14ac:dyDescent="0.45">
      <c r="A1009" s="2">
        <v>31507</v>
      </c>
      <c r="B1009" s="7">
        <v>381000</v>
      </c>
      <c r="C1009" s="8">
        <v>-3.7878787878787845E-2</v>
      </c>
    </row>
    <row r="1010" spans="1:3" x14ac:dyDescent="0.45">
      <c r="A1010" s="2">
        <v>31514</v>
      </c>
      <c r="B1010" s="7">
        <v>388000</v>
      </c>
      <c r="C1010" s="8">
        <v>1.8372703412073532E-2</v>
      </c>
    </row>
    <row r="1011" spans="1:3" x14ac:dyDescent="0.45">
      <c r="A1011" s="2">
        <v>31521</v>
      </c>
      <c r="B1011" s="7">
        <v>383000</v>
      </c>
      <c r="C1011" s="8">
        <v>-1.2886597938144284E-2</v>
      </c>
    </row>
    <row r="1012" spans="1:3" x14ac:dyDescent="0.45">
      <c r="A1012" s="2">
        <v>31528</v>
      </c>
      <c r="B1012" s="7">
        <v>391000</v>
      </c>
      <c r="C1012" s="8">
        <v>2.088772845953013E-2</v>
      </c>
    </row>
    <row r="1013" spans="1:3" x14ac:dyDescent="0.45">
      <c r="A1013" s="2">
        <v>31535</v>
      </c>
      <c r="B1013" s="7">
        <v>392000</v>
      </c>
      <c r="C1013" s="8">
        <v>2.5575447570331811E-3</v>
      </c>
    </row>
    <row r="1014" spans="1:3" x14ac:dyDescent="0.45">
      <c r="A1014" s="2">
        <v>31542</v>
      </c>
      <c r="B1014" s="7">
        <v>395000</v>
      </c>
      <c r="C1014" s="8">
        <v>7.6530612244898322E-3</v>
      </c>
    </row>
    <row r="1015" spans="1:3" x14ac:dyDescent="0.45">
      <c r="A1015" s="2">
        <v>31549</v>
      </c>
      <c r="B1015" s="7">
        <v>384000</v>
      </c>
      <c r="C1015" s="8">
        <v>-2.7848101265822822E-2</v>
      </c>
    </row>
    <row r="1016" spans="1:3" x14ac:dyDescent="0.45">
      <c r="A1016" s="2">
        <v>31556</v>
      </c>
      <c r="B1016" s="7">
        <v>386000</v>
      </c>
      <c r="C1016" s="8">
        <v>5.2083333333332593E-3</v>
      </c>
    </row>
    <row r="1017" spans="1:3" x14ac:dyDescent="0.45">
      <c r="A1017" s="2">
        <v>31563</v>
      </c>
      <c r="B1017" s="7">
        <v>373000</v>
      </c>
      <c r="C1017" s="8">
        <v>-3.3678756476683946E-2</v>
      </c>
    </row>
    <row r="1018" spans="1:3" x14ac:dyDescent="0.45">
      <c r="A1018" s="2">
        <v>31570</v>
      </c>
      <c r="B1018" s="7">
        <v>375000</v>
      </c>
      <c r="C1018" s="8">
        <v>5.3619302949061698E-3</v>
      </c>
    </row>
    <row r="1019" spans="1:3" x14ac:dyDescent="0.45">
      <c r="A1019" s="2">
        <v>31577</v>
      </c>
      <c r="B1019" s="7">
        <v>369000</v>
      </c>
      <c r="C1019" s="8">
        <v>-1.6000000000000014E-2</v>
      </c>
    </row>
    <row r="1020" spans="1:3" x14ac:dyDescent="0.45">
      <c r="A1020" s="2">
        <v>31584</v>
      </c>
      <c r="B1020" s="7">
        <v>367000</v>
      </c>
      <c r="C1020" s="8">
        <v>-5.4200542005420349E-3</v>
      </c>
    </row>
    <row r="1021" spans="1:3" x14ac:dyDescent="0.45">
      <c r="A1021" s="2">
        <v>31591</v>
      </c>
      <c r="B1021" s="7">
        <v>371000</v>
      </c>
      <c r="C1021" s="8">
        <v>1.0899182561307841E-2</v>
      </c>
    </row>
    <row r="1022" spans="1:3" x14ac:dyDescent="0.45">
      <c r="A1022" s="2">
        <v>31598</v>
      </c>
      <c r="B1022" s="7">
        <v>371000</v>
      </c>
      <c r="C1022" s="8">
        <v>0</v>
      </c>
    </row>
    <row r="1023" spans="1:3" x14ac:dyDescent="0.45">
      <c r="A1023" s="2">
        <v>31605</v>
      </c>
      <c r="B1023" s="7">
        <v>361000</v>
      </c>
      <c r="C1023" s="8">
        <v>-2.695417789757415E-2</v>
      </c>
    </row>
    <row r="1024" spans="1:3" x14ac:dyDescent="0.45">
      <c r="A1024" s="2">
        <v>31612</v>
      </c>
      <c r="B1024" s="7">
        <v>354000</v>
      </c>
      <c r="C1024" s="8">
        <v>-1.939058171745156E-2</v>
      </c>
    </row>
    <row r="1025" spans="1:3" x14ac:dyDescent="0.45">
      <c r="A1025" s="2">
        <v>31619</v>
      </c>
      <c r="B1025" s="7">
        <v>362000</v>
      </c>
      <c r="C1025" s="8">
        <v>2.2598870056497189E-2</v>
      </c>
    </row>
    <row r="1026" spans="1:3" x14ac:dyDescent="0.45">
      <c r="A1026" s="2">
        <v>31626</v>
      </c>
      <c r="B1026" s="7">
        <v>416000</v>
      </c>
      <c r="C1026" s="8">
        <v>0.149171270718232</v>
      </c>
    </row>
    <row r="1027" spans="1:3" x14ac:dyDescent="0.45">
      <c r="A1027" s="2">
        <v>31633</v>
      </c>
      <c r="B1027" s="7">
        <v>416000</v>
      </c>
      <c r="C1027" s="8">
        <v>0</v>
      </c>
    </row>
    <row r="1028" spans="1:3" x14ac:dyDescent="0.45">
      <c r="A1028" s="2">
        <v>31640</v>
      </c>
      <c r="B1028" s="7">
        <v>407000</v>
      </c>
      <c r="C1028" s="8">
        <v>-2.1634615384615419E-2</v>
      </c>
    </row>
    <row r="1029" spans="1:3" x14ac:dyDescent="0.45">
      <c r="A1029" s="2">
        <v>31647</v>
      </c>
      <c r="B1029" s="7">
        <v>397000</v>
      </c>
      <c r="C1029" s="8">
        <v>-2.4570024570024551E-2</v>
      </c>
    </row>
    <row r="1030" spans="1:3" x14ac:dyDescent="0.45">
      <c r="A1030" s="2">
        <v>31654</v>
      </c>
      <c r="B1030" s="7">
        <v>401000</v>
      </c>
      <c r="C1030" s="8">
        <v>1.0075566750629816E-2</v>
      </c>
    </row>
    <row r="1031" spans="1:3" x14ac:dyDescent="0.45">
      <c r="A1031" s="2">
        <v>31661</v>
      </c>
      <c r="B1031" s="7">
        <v>400000</v>
      </c>
      <c r="C1031" s="8">
        <v>-2.4937655860348684E-3</v>
      </c>
    </row>
    <row r="1032" spans="1:3" x14ac:dyDescent="0.45">
      <c r="A1032" s="2">
        <v>31668</v>
      </c>
      <c r="B1032" s="7">
        <v>394000</v>
      </c>
      <c r="C1032" s="8">
        <v>-1.5000000000000013E-2</v>
      </c>
    </row>
    <row r="1033" spans="1:3" x14ac:dyDescent="0.45">
      <c r="A1033" s="2">
        <v>31675</v>
      </c>
      <c r="B1033" s="7">
        <v>399000</v>
      </c>
      <c r="C1033" s="8">
        <v>1.2690355329949332E-2</v>
      </c>
    </row>
    <row r="1034" spans="1:3" x14ac:dyDescent="0.45">
      <c r="A1034" s="2">
        <v>31682</v>
      </c>
      <c r="B1034" s="7">
        <v>389000</v>
      </c>
      <c r="C1034" s="8">
        <v>-2.5062656641604009E-2</v>
      </c>
    </row>
    <row r="1035" spans="1:3" x14ac:dyDescent="0.45">
      <c r="A1035" s="2">
        <v>31689</v>
      </c>
      <c r="B1035" s="7">
        <v>391000</v>
      </c>
      <c r="C1035" s="8">
        <v>5.1413881748072487E-3</v>
      </c>
    </row>
    <row r="1036" spans="1:3" x14ac:dyDescent="0.45">
      <c r="A1036" s="2">
        <v>31696</v>
      </c>
      <c r="B1036" s="7">
        <v>387000</v>
      </c>
      <c r="C1036" s="8">
        <v>-1.0230179028132946E-2</v>
      </c>
    </row>
    <row r="1037" spans="1:3" x14ac:dyDescent="0.45">
      <c r="A1037" s="2">
        <v>31703</v>
      </c>
      <c r="B1037" s="7">
        <v>385000</v>
      </c>
      <c r="C1037" s="8">
        <v>-5.1679586563307955E-3</v>
      </c>
    </row>
    <row r="1038" spans="1:3" x14ac:dyDescent="0.45">
      <c r="A1038" s="2">
        <v>31710</v>
      </c>
      <c r="B1038" s="7">
        <v>370000</v>
      </c>
      <c r="C1038" s="8">
        <v>-3.8961038961038974E-2</v>
      </c>
    </row>
    <row r="1039" spans="1:3" x14ac:dyDescent="0.45">
      <c r="A1039" s="2">
        <v>31717</v>
      </c>
      <c r="B1039" s="7">
        <v>364000</v>
      </c>
      <c r="C1039" s="8">
        <v>-1.6216216216216162E-2</v>
      </c>
    </row>
    <row r="1040" spans="1:3" x14ac:dyDescent="0.45">
      <c r="A1040" s="2">
        <v>31724</v>
      </c>
      <c r="B1040" s="7">
        <v>349000</v>
      </c>
      <c r="C1040" s="8">
        <v>-4.1208791208791173E-2</v>
      </c>
    </row>
    <row r="1041" spans="1:3" x14ac:dyDescent="0.45">
      <c r="A1041" s="2">
        <v>31731</v>
      </c>
      <c r="B1041" s="7">
        <v>368000</v>
      </c>
      <c r="C1041" s="8">
        <v>5.4441260744985565E-2</v>
      </c>
    </row>
    <row r="1042" spans="1:3" x14ac:dyDescent="0.45">
      <c r="A1042" s="2">
        <v>31738</v>
      </c>
      <c r="B1042" s="7">
        <v>369000</v>
      </c>
      <c r="C1042" s="8">
        <v>2.7173913043478937E-3</v>
      </c>
    </row>
    <row r="1043" spans="1:3" x14ac:dyDescent="0.45">
      <c r="A1043" s="2">
        <v>31745</v>
      </c>
      <c r="B1043" s="7">
        <v>366000</v>
      </c>
      <c r="C1043" s="8">
        <v>-8.1300813008130524E-3</v>
      </c>
    </row>
    <row r="1044" spans="1:3" x14ac:dyDescent="0.45">
      <c r="A1044" s="2">
        <v>31752</v>
      </c>
      <c r="B1044" s="7">
        <v>363000</v>
      </c>
      <c r="C1044" s="8">
        <v>-8.1967213114754189E-3</v>
      </c>
    </row>
    <row r="1045" spans="1:3" x14ac:dyDescent="0.45">
      <c r="A1045" s="2">
        <v>31759</v>
      </c>
      <c r="B1045" s="7">
        <v>375000</v>
      </c>
      <c r="C1045" s="8">
        <v>3.3057851239669311E-2</v>
      </c>
    </row>
    <row r="1046" spans="1:3" x14ac:dyDescent="0.45">
      <c r="A1046" s="2">
        <v>31766</v>
      </c>
      <c r="B1046" s="7">
        <v>350000</v>
      </c>
      <c r="C1046" s="8">
        <v>-6.6666666666666652E-2</v>
      </c>
    </row>
    <row r="1047" spans="1:3" x14ac:dyDescent="0.45">
      <c r="A1047" s="2">
        <v>31773</v>
      </c>
      <c r="B1047" s="7">
        <v>345000</v>
      </c>
      <c r="C1047" s="8">
        <v>-1.4285714285714235E-2</v>
      </c>
    </row>
    <row r="1048" spans="1:3" x14ac:dyDescent="0.45">
      <c r="A1048" s="2">
        <v>31780</v>
      </c>
      <c r="B1048" s="7">
        <v>323000</v>
      </c>
      <c r="C1048" s="8">
        <v>-6.3768115942029024E-2</v>
      </c>
    </row>
    <row r="1049" spans="1:3" x14ac:dyDescent="0.45">
      <c r="A1049" s="2">
        <v>31787</v>
      </c>
      <c r="B1049" s="7">
        <v>348000</v>
      </c>
      <c r="C1049" s="8">
        <v>7.7399380804953566E-2</v>
      </c>
    </row>
    <row r="1050" spans="1:3" x14ac:dyDescent="0.45">
      <c r="A1050" s="2">
        <v>31794</v>
      </c>
      <c r="B1050" s="7">
        <v>341000</v>
      </c>
      <c r="C1050" s="8">
        <v>-2.011494252873558E-2</v>
      </c>
    </row>
    <row r="1051" spans="1:3" x14ac:dyDescent="0.45">
      <c r="A1051" s="2">
        <v>31801</v>
      </c>
      <c r="B1051" s="7">
        <v>346000</v>
      </c>
      <c r="C1051" s="8">
        <v>1.4662756598240456E-2</v>
      </c>
    </row>
    <row r="1052" spans="1:3" x14ac:dyDescent="0.45">
      <c r="A1052" s="2">
        <v>31808</v>
      </c>
      <c r="B1052" s="7">
        <v>370000</v>
      </c>
      <c r="C1052" s="8">
        <v>6.9364161849710948E-2</v>
      </c>
    </row>
    <row r="1053" spans="1:3" x14ac:dyDescent="0.45">
      <c r="A1053" s="2">
        <v>31815</v>
      </c>
      <c r="B1053" s="7">
        <v>368000</v>
      </c>
      <c r="C1053" s="8">
        <v>-5.4054054054053502E-3</v>
      </c>
    </row>
    <row r="1054" spans="1:3" x14ac:dyDescent="0.45">
      <c r="A1054" s="2">
        <v>31822</v>
      </c>
      <c r="B1054" s="7">
        <v>338000</v>
      </c>
      <c r="C1054" s="8">
        <v>-8.1521739130434812E-2</v>
      </c>
    </row>
    <row r="1055" spans="1:3" x14ac:dyDescent="0.45">
      <c r="A1055" s="2">
        <v>31829</v>
      </c>
      <c r="B1055" s="7">
        <v>341000</v>
      </c>
      <c r="C1055" s="8">
        <v>8.8757396449703485E-3</v>
      </c>
    </row>
    <row r="1056" spans="1:3" x14ac:dyDescent="0.45">
      <c r="A1056" s="2">
        <v>31836</v>
      </c>
      <c r="B1056" s="7">
        <v>348000</v>
      </c>
      <c r="C1056" s="8">
        <v>2.0527859237536639E-2</v>
      </c>
    </row>
    <row r="1057" spans="1:3" x14ac:dyDescent="0.45">
      <c r="A1057" s="2">
        <v>31843</v>
      </c>
      <c r="B1057" s="7">
        <v>337000</v>
      </c>
      <c r="C1057" s="8">
        <v>-3.1609195402298895E-2</v>
      </c>
    </row>
    <row r="1058" spans="1:3" x14ac:dyDescent="0.45">
      <c r="A1058" s="2">
        <v>31850</v>
      </c>
      <c r="B1058" s="7">
        <v>335000</v>
      </c>
      <c r="C1058" s="8">
        <v>-5.9347181008901906E-3</v>
      </c>
    </row>
    <row r="1059" spans="1:3" x14ac:dyDescent="0.45">
      <c r="A1059" s="2">
        <v>31857</v>
      </c>
      <c r="B1059" s="7">
        <v>335000</v>
      </c>
      <c r="C1059" s="8">
        <v>0</v>
      </c>
    </row>
    <row r="1060" spans="1:3" x14ac:dyDescent="0.45">
      <c r="A1060" s="2">
        <v>31864</v>
      </c>
      <c r="B1060" s="7">
        <v>326000</v>
      </c>
      <c r="C1060" s="8">
        <v>-2.68656716417911E-2</v>
      </c>
    </row>
    <row r="1061" spans="1:3" x14ac:dyDescent="0.45">
      <c r="A1061" s="2">
        <v>31871</v>
      </c>
      <c r="B1061" s="7">
        <v>330000</v>
      </c>
      <c r="C1061" s="8">
        <v>1.2269938650306678E-2</v>
      </c>
    </row>
    <row r="1062" spans="1:3" x14ac:dyDescent="0.45">
      <c r="A1062" s="2">
        <v>31878</v>
      </c>
      <c r="B1062" s="7">
        <v>338000</v>
      </c>
      <c r="C1062" s="8">
        <v>2.4242424242424176E-2</v>
      </c>
    </row>
    <row r="1063" spans="1:3" x14ac:dyDescent="0.45">
      <c r="A1063" s="2">
        <v>31885</v>
      </c>
      <c r="B1063" s="7">
        <v>349000</v>
      </c>
      <c r="C1063" s="8">
        <v>3.2544378698224907E-2</v>
      </c>
    </row>
    <row r="1064" spans="1:3" x14ac:dyDescent="0.45">
      <c r="A1064" s="2">
        <v>31892</v>
      </c>
      <c r="B1064" s="7">
        <v>328000</v>
      </c>
      <c r="C1064" s="8">
        <v>-6.017191977077363E-2</v>
      </c>
    </row>
    <row r="1065" spans="1:3" x14ac:dyDescent="0.45">
      <c r="A1065" s="2">
        <v>31899</v>
      </c>
      <c r="B1065" s="7">
        <v>330000</v>
      </c>
      <c r="C1065" s="8">
        <v>6.0975609756097615E-3</v>
      </c>
    </row>
    <row r="1066" spans="1:3" x14ac:dyDescent="0.45">
      <c r="A1066" s="2">
        <v>31906</v>
      </c>
      <c r="B1066" s="7">
        <v>315000</v>
      </c>
      <c r="C1066" s="8">
        <v>-4.5454545454545414E-2</v>
      </c>
    </row>
    <row r="1067" spans="1:3" x14ac:dyDescent="0.45">
      <c r="A1067" s="2">
        <v>31913</v>
      </c>
      <c r="B1067" s="7">
        <v>341000</v>
      </c>
      <c r="C1067" s="8">
        <v>8.2539682539682468E-2</v>
      </c>
    </row>
    <row r="1068" spans="1:3" x14ac:dyDescent="0.45">
      <c r="A1068" s="2">
        <v>31920</v>
      </c>
      <c r="B1068" s="7">
        <v>343000</v>
      </c>
      <c r="C1068" s="8">
        <v>5.8651026392961825E-3</v>
      </c>
    </row>
    <row r="1069" spans="1:3" x14ac:dyDescent="0.45">
      <c r="A1069" s="2">
        <v>31927</v>
      </c>
      <c r="B1069" s="7">
        <v>326000</v>
      </c>
      <c r="C1069" s="8">
        <v>-4.9562682215743448E-2</v>
      </c>
    </row>
    <row r="1070" spans="1:3" x14ac:dyDescent="0.45">
      <c r="A1070" s="2">
        <v>31934</v>
      </c>
      <c r="B1070" s="7">
        <v>328000</v>
      </c>
      <c r="C1070" s="8">
        <v>6.1349693251533388E-3</v>
      </c>
    </row>
    <row r="1071" spans="1:3" x14ac:dyDescent="0.45">
      <c r="A1071" s="2">
        <v>31941</v>
      </c>
      <c r="B1071" s="7">
        <v>316000</v>
      </c>
      <c r="C1071" s="8">
        <v>-3.6585365853658569E-2</v>
      </c>
    </row>
    <row r="1072" spans="1:3" x14ac:dyDescent="0.45">
      <c r="A1072" s="2">
        <v>31948</v>
      </c>
      <c r="B1072" s="7">
        <v>319000</v>
      </c>
      <c r="C1072" s="8">
        <v>9.493670886076E-3</v>
      </c>
    </row>
    <row r="1073" spans="1:3" x14ac:dyDescent="0.45">
      <c r="A1073" s="2">
        <v>31955</v>
      </c>
      <c r="B1073" s="7">
        <v>326000</v>
      </c>
      <c r="C1073" s="8">
        <v>2.1943573667711602E-2</v>
      </c>
    </row>
    <row r="1074" spans="1:3" x14ac:dyDescent="0.45">
      <c r="A1074" s="2">
        <v>31962</v>
      </c>
      <c r="B1074" s="7">
        <v>326000</v>
      </c>
      <c r="C1074" s="8">
        <v>0</v>
      </c>
    </row>
    <row r="1075" spans="1:3" x14ac:dyDescent="0.45">
      <c r="A1075" s="2">
        <v>31969</v>
      </c>
      <c r="B1075" s="7">
        <v>317000</v>
      </c>
      <c r="C1075" s="8">
        <v>-2.7607361963190136E-2</v>
      </c>
    </row>
    <row r="1076" spans="1:3" x14ac:dyDescent="0.45">
      <c r="A1076" s="2">
        <v>31976</v>
      </c>
      <c r="B1076" s="7">
        <v>310000</v>
      </c>
      <c r="C1076" s="8">
        <v>-2.2082018927444769E-2</v>
      </c>
    </row>
    <row r="1077" spans="1:3" x14ac:dyDescent="0.45">
      <c r="A1077" s="2">
        <v>31983</v>
      </c>
      <c r="B1077" s="7">
        <v>324000</v>
      </c>
      <c r="C1077" s="8">
        <v>4.5161290322580649E-2</v>
      </c>
    </row>
    <row r="1078" spans="1:3" x14ac:dyDescent="0.45">
      <c r="A1078" s="2">
        <v>31990</v>
      </c>
      <c r="B1078" s="7">
        <v>348000</v>
      </c>
      <c r="C1078" s="8">
        <v>7.4074074074074181E-2</v>
      </c>
    </row>
    <row r="1079" spans="1:3" x14ac:dyDescent="0.45">
      <c r="A1079" s="2">
        <v>31997</v>
      </c>
      <c r="B1079" s="7">
        <v>327000</v>
      </c>
      <c r="C1079" s="8">
        <v>-6.0344827586206851E-2</v>
      </c>
    </row>
    <row r="1080" spans="1:3" x14ac:dyDescent="0.45">
      <c r="A1080" s="2">
        <v>32004</v>
      </c>
      <c r="B1080" s="7">
        <v>319000</v>
      </c>
      <c r="C1080" s="8">
        <v>-2.4464831804281384E-2</v>
      </c>
    </row>
    <row r="1081" spans="1:3" x14ac:dyDescent="0.45">
      <c r="A1081" s="2">
        <v>32011</v>
      </c>
      <c r="B1081" s="7">
        <v>312000</v>
      </c>
      <c r="C1081" s="8">
        <v>-2.1943573667711602E-2</v>
      </c>
    </row>
    <row r="1082" spans="1:3" x14ac:dyDescent="0.45">
      <c r="A1082" s="2">
        <v>32018</v>
      </c>
      <c r="B1082" s="7">
        <v>322000</v>
      </c>
      <c r="C1082" s="8">
        <v>3.2051282051282159E-2</v>
      </c>
    </row>
    <row r="1083" spans="1:3" x14ac:dyDescent="0.45">
      <c r="A1083" s="2">
        <v>32025</v>
      </c>
      <c r="B1083" s="7">
        <v>316000</v>
      </c>
      <c r="C1083" s="8">
        <v>-1.8633540372670843E-2</v>
      </c>
    </row>
    <row r="1084" spans="1:3" x14ac:dyDescent="0.45">
      <c r="A1084" s="2">
        <v>32032</v>
      </c>
      <c r="B1084" s="7">
        <v>297000</v>
      </c>
      <c r="C1084" s="8">
        <v>-6.0126582278481E-2</v>
      </c>
    </row>
    <row r="1085" spans="1:3" x14ac:dyDescent="0.45">
      <c r="A1085" s="2">
        <v>32039</v>
      </c>
      <c r="B1085" s="7">
        <v>309000</v>
      </c>
      <c r="C1085" s="8">
        <v>4.0404040404040442E-2</v>
      </c>
    </row>
    <row r="1086" spans="1:3" x14ac:dyDescent="0.45">
      <c r="A1086" s="2">
        <v>32046</v>
      </c>
      <c r="B1086" s="7">
        <v>317000</v>
      </c>
      <c r="C1086" s="8">
        <v>2.5889967637540368E-2</v>
      </c>
    </row>
    <row r="1087" spans="1:3" x14ac:dyDescent="0.45">
      <c r="A1087" s="2">
        <v>32053</v>
      </c>
      <c r="B1087" s="7">
        <v>301000</v>
      </c>
      <c r="C1087" s="8">
        <v>-5.0473186119873836E-2</v>
      </c>
    </row>
    <row r="1088" spans="1:3" x14ac:dyDescent="0.45">
      <c r="A1088" s="2">
        <v>32060</v>
      </c>
      <c r="B1088" s="7">
        <v>308000</v>
      </c>
      <c r="C1088" s="8">
        <v>2.3255813953488413E-2</v>
      </c>
    </row>
    <row r="1089" spans="1:3" x14ac:dyDescent="0.45">
      <c r="A1089" s="2">
        <v>32067</v>
      </c>
      <c r="B1089" s="7">
        <v>301000</v>
      </c>
      <c r="C1089" s="8">
        <v>-2.2727272727272707E-2</v>
      </c>
    </row>
    <row r="1090" spans="1:3" x14ac:dyDescent="0.45">
      <c r="A1090" s="2">
        <v>32074</v>
      </c>
      <c r="B1090" s="7">
        <v>301000</v>
      </c>
      <c r="C1090" s="8">
        <v>0</v>
      </c>
    </row>
    <row r="1091" spans="1:3" x14ac:dyDescent="0.45">
      <c r="A1091" s="2">
        <v>32081</v>
      </c>
      <c r="B1091" s="7">
        <v>289000</v>
      </c>
      <c r="C1091" s="8">
        <v>-3.9867109634551534E-2</v>
      </c>
    </row>
    <row r="1092" spans="1:3" x14ac:dyDescent="0.45">
      <c r="A1092" s="2">
        <v>32088</v>
      </c>
      <c r="B1092" s="7">
        <v>297000</v>
      </c>
      <c r="C1092" s="8">
        <v>2.7681660899653959E-2</v>
      </c>
    </row>
    <row r="1093" spans="1:3" x14ac:dyDescent="0.45">
      <c r="A1093" s="2">
        <v>32095</v>
      </c>
      <c r="B1093" s="7">
        <v>307000</v>
      </c>
      <c r="C1093" s="8">
        <v>3.3670033670033739E-2</v>
      </c>
    </row>
    <row r="1094" spans="1:3" x14ac:dyDescent="0.45">
      <c r="A1094" s="2">
        <v>32102</v>
      </c>
      <c r="B1094" s="7">
        <v>317000</v>
      </c>
      <c r="C1094" s="8">
        <v>3.2573289902280145E-2</v>
      </c>
    </row>
    <row r="1095" spans="1:3" x14ac:dyDescent="0.45">
      <c r="A1095" s="2">
        <v>32109</v>
      </c>
      <c r="B1095" s="7">
        <v>306000</v>
      </c>
      <c r="C1095" s="8">
        <v>-3.4700315457413256E-2</v>
      </c>
    </row>
    <row r="1096" spans="1:3" x14ac:dyDescent="0.45">
      <c r="A1096" s="2">
        <v>32116</v>
      </c>
      <c r="B1096" s="7">
        <v>319000</v>
      </c>
      <c r="C1096" s="8">
        <v>4.2483660130719025E-2</v>
      </c>
    </row>
    <row r="1097" spans="1:3" x14ac:dyDescent="0.45">
      <c r="A1097" s="2">
        <v>32123</v>
      </c>
      <c r="B1097" s="7">
        <v>317000</v>
      </c>
      <c r="C1097" s="8">
        <v>-6.2695924764890609E-3</v>
      </c>
    </row>
    <row r="1098" spans="1:3" x14ac:dyDescent="0.45">
      <c r="A1098" s="2">
        <v>32130</v>
      </c>
      <c r="B1098" s="7">
        <v>323000</v>
      </c>
      <c r="C1098" s="8">
        <v>1.8927444794952786E-2</v>
      </c>
    </row>
    <row r="1099" spans="1:3" x14ac:dyDescent="0.45">
      <c r="A1099" s="2">
        <v>32137</v>
      </c>
      <c r="B1099" s="7">
        <v>316000</v>
      </c>
      <c r="C1099" s="8">
        <v>-2.1671826625387025E-2</v>
      </c>
    </row>
    <row r="1100" spans="1:3" x14ac:dyDescent="0.45">
      <c r="A1100" s="2">
        <v>32144</v>
      </c>
      <c r="B1100" s="7">
        <v>315000</v>
      </c>
      <c r="C1100" s="8">
        <v>-3.1645569620253333E-3</v>
      </c>
    </row>
    <row r="1101" spans="1:3" x14ac:dyDescent="0.45">
      <c r="A1101" s="2">
        <v>32151</v>
      </c>
      <c r="B1101" s="7">
        <v>325000</v>
      </c>
      <c r="C1101" s="8">
        <v>3.1746031746031855E-2</v>
      </c>
    </row>
    <row r="1102" spans="1:3" x14ac:dyDescent="0.45">
      <c r="A1102" s="2">
        <v>32158</v>
      </c>
      <c r="B1102" s="7">
        <v>361000</v>
      </c>
      <c r="C1102" s="8">
        <v>0.11076923076923073</v>
      </c>
    </row>
    <row r="1103" spans="1:3" x14ac:dyDescent="0.45">
      <c r="A1103" s="2">
        <v>32165</v>
      </c>
      <c r="B1103" s="7">
        <v>335000</v>
      </c>
      <c r="C1103" s="8">
        <v>-7.2022160664819923E-2</v>
      </c>
    </row>
    <row r="1104" spans="1:3" x14ac:dyDescent="0.45">
      <c r="A1104" s="2">
        <v>32172</v>
      </c>
      <c r="B1104" s="7">
        <v>342000</v>
      </c>
      <c r="C1104" s="8">
        <v>2.0895522388059806E-2</v>
      </c>
    </row>
    <row r="1105" spans="1:3" x14ac:dyDescent="0.45">
      <c r="A1105" s="2">
        <v>32179</v>
      </c>
      <c r="B1105" s="7">
        <v>318000</v>
      </c>
      <c r="C1105" s="8">
        <v>-7.0175438596491224E-2</v>
      </c>
    </row>
    <row r="1106" spans="1:3" x14ac:dyDescent="0.45">
      <c r="A1106" s="2">
        <v>32186</v>
      </c>
      <c r="B1106" s="7">
        <v>311000</v>
      </c>
      <c r="C1106" s="8">
        <v>-2.2012578616352196E-2</v>
      </c>
    </row>
    <row r="1107" spans="1:3" x14ac:dyDescent="0.45">
      <c r="A1107" s="2">
        <v>32193</v>
      </c>
      <c r="B1107" s="7">
        <v>327000</v>
      </c>
      <c r="C1107" s="8">
        <v>5.1446945337620509E-2</v>
      </c>
    </row>
    <row r="1108" spans="1:3" x14ac:dyDescent="0.45">
      <c r="A1108" s="2">
        <v>32200</v>
      </c>
      <c r="B1108" s="7">
        <v>319000</v>
      </c>
      <c r="C1108" s="8">
        <v>-2.4464831804281384E-2</v>
      </c>
    </row>
    <row r="1109" spans="1:3" x14ac:dyDescent="0.45">
      <c r="A1109" s="2">
        <v>32207</v>
      </c>
      <c r="B1109" s="7">
        <v>307000</v>
      </c>
      <c r="C1109" s="8">
        <v>-3.7617554858934144E-2</v>
      </c>
    </row>
    <row r="1110" spans="1:3" x14ac:dyDescent="0.45">
      <c r="A1110" s="2">
        <v>32214</v>
      </c>
      <c r="B1110" s="7">
        <v>304000</v>
      </c>
      <c r="C1110" s="8">
        <v>-9.7719869706840434E-3</v>
      </c>
    </row>
    <row r="1111" spans="1:3" x14ac:dyDescent="0.45">
      <c r="A1111" s="2">
        <v>32221</v>
      </c>
      <c r="B1111" s="7">
        <v>307000</v>
      </c>
      <c r="C1111" s="8">
        <v>9.8684210526316374E-3</v>
      </c>
    </row>
    <row r="1112" spans="1:3" x14ac:dyDescent="0.45">
      <c r="A1112" s="2">
        <v>32228</v>
      </c>
      <c r="B1112" s="7">
        <v>304000</v>
      </c>
      <c r="C1112" s="8">
        <v>-9.7719869706840434E-3</v>
      </c>
    </row>
    <row r="1113" spans="1:3" x14ac:dyDescent="0.45">
      <c r="A1113" s="2">
        <v>32235</v>
      </c>
      <c r="B1113" s="7">
        <v>309000</v>
      </c>
      <c r="C1113" s="8">
        <v>1.6447368421052655E-2</v>
      </c>
    </row>
    <row r="1114" spans="1:3" x14ac:dyDescent="0.45">
      <c r="A1114" s="2">
        <v>32242</v>
      </c>
      <c r="B1114" s="7">
        <v>313000</v>
      </c>
      <c r="C1114" s="8">
        <v>1.2944983818770295E-2</v>
      </c>
    </row>
    <row r="1115" spans="1:3" x14ac:dyDescent="0.45">
      <c r="A1115" s="2">
        <v>32249</v>
      </c>
      <c r="B1115" s="7">
        <v>314000</v>
      </c>
      <c r="C1115" s="8">
        <v>3.1948881789136685E-3</v>
      </c>
    </row>
    <row r="1116" spans="1:3" x14ac:dyDescent="0.45">
      <c r="A1116" s="2">
        <v>32256</v>
      </c>
      <c r="B1116" s="7">
        <v>312000</v>
      </c>
      <c r="C1116" s="8">
        <v>-6.3694267515923553E-3</v>
      </c>
    </row>
    <row r="1117" spans="1:3" x14ac:dyDescent="0.45">
      <c r="A1117" s="2">
        <v>32263</v>
      </c>
      <c r="B1117" s="7">
        <v>313000</v>
      </c>
      <c r="C1117" s="8">
        <v>3.2051282051281937E-3</v>
      </c>
    </row>
    <row r="1118" spans="1:3" x14ac:dyDescent="0.45">
      <c r="A1118" s="2">
        <v>32270</v>
      </c>
      <c r="B1118" s="7">
        <v>309000</v>
      </c>
      <c r="C1118" s="8">
        <v>-1.2779552715655007E-2</v>
      </c>
    </row>
    <row r="1119" spans="1:3" x14ac:dyDescent="0.45">
      <c r="A1119" s="2">
        <v>32277</v>
      </c>
      <c r="B1119" s="7">
        <v>314000</v>
      </c>
      <c r="C1119" s="8">
        <v>1.6181229773462702E-2</v>
      </c>
    </row>
    <row r="1120" spans="1:3" x14ac:dyDescent="0.45">
      <c r="A1120" s="2">
        <v>32284</v>
      </c>
      <c r="B1120" s="7">
        <v>319000</v>
      </c>
      <c r="C1120" s="8">
        <v>1.5923566878980999E-2</v>
      </c>
    </row>
    <row r="1121" spans="1:3" x14ac:dyDescent="0.45">
      <c r="A1121" s="2">
        <v>32291</v>
      </c>
      <c r="B1121" s="7">
        <v>313000</v>
      </c>
      <c r="C1121" s="8">
        <v>-1.8808777429467072E-2</v>
      </c>
    </row>
    <row r="1122" spans="1:3" x14ac:dyDescent="0.45">
      <c r="A1122" s="2">
        <v>32298</v>
      </c>
      <c r="B1122" s="7">
        <v>310000</v>
      </c>
      <c r="C1122" s="8">
        <v>-9.5846645367412275E-3</v>
      </c>
    </row>
    <row r="1123" spans="1:3" x14ac:dyDescent="0.45">
      <c r="A1123" s="2">
        <v>32305</v>
      </c>
      <c r="B1123" s="7">
        <v>305000</v>
      </c>
      <c r="C1123" s="8">
        <v>-1.6129032258064502E-2</v>
      </c>
    </row>
    <row r="1124" spans="1:3" x14ac:dyDescent="0.45">
      <c r="A1124" s="2">
        <v>32312</v>
      </c>
      <c r="B1124" s="7">
        <v>311000</v>
      </c>
      <c r="C1124" s="8">
        <v>1.9672131147540961E-2</v>
      </c>
    </row>
    <row r="1125" spans="1:3" x14ac:dyDescent="0.45">
      <c r="A1125" s="2">
        <v>32319</v>
      </c>
      <c r="B1125" s="7">
        <v>307000</v>
      </c>
      <c r="C1125" s="8">
        <v>-1.2861736334405127E-2</v>
      </c>
    </row>
    <row r="1126" spans="1:3" x14ac:dyDescent="0.45">
      <c r="A1126" s="2">
        <v>32326</v>
      </c>
      <c r="B1126" s="7">
        <v>305000</v>
      </c>
      <c r="C1126" s="8">
        <v>-6.514657980456029E-3</v>
      </c>
    </row>
    <row r="1127" spans="1:3" x14ac:dyDescent="0.45">
      <c r="A1127" s="2">
        <v>32333</v>
      </c>
      <c r="B1127" s="7">
        <v>303000</v>
      </c>
      <c r="C1127" s="8">
        <v>-6.5573770491803574E-3</v>
      </c>
    </row>
    <row r="1128" spans="1:3" x14ac:dyDescent="0.45">
      <c r="A1128" s="2">
        <v>32340</v>
      </c>
      <c r="B1128" s="7">
        <v>315000</v>
      </c>
      <c r="C1128" s="8">
        <v>3.9603960396039639E-2</v>
      </c>
    </row>
    <row r="1129" spans="1:3" x14ac:dyDescent="0.45">
      <c r="A1129" s="2">
        <v>32347</v>
      </c>
      <c r="B1129" s="7">
        <v>354000</v>
      </c>
      <c r="C1129" s="8">
        <v>0.12380952380952381</v>
      </c>
    </row>
    <row r="1130" spans="1:3" x14ac:dyDescent="0.45">
      <c r="A1130" s="2">
        <v>32354</v>
      </c>
      <c r="B1130" s="7">
        <v>331000</v>
      </c>
      <c r="C1130" s="8">
        <v>-6.497175141242939E-2</v>
      </c>
    </row>
    <row r="1131" spans="1:3" x14ac:dyDescent="0.45">
      <c r="A1131" s="2">
        <v>32361</v>
      </c>
      <c r="B1131" s="7">
        <v>316000</v>
      </c>
      <c r="C1131" s="8">
        <v>-4.5317220543806602E-2</v>
      </c>
    </row>
    <row r="1132" spans="1:3" x14ac:dyDescent="0.45">
      <c r="A1132" s="2">
        <v>32368</v>
      </c>
      <c r="B1132" s="7">
        <v>312000</v>
      </c>
      <c r="C1132" s="8">
        <v>-1.2658227848101222E-2</v>
      </c>
    </row>
    <row r="1133" spans="1:3" x14ac:dyDescent="0.45">
      <c r="A1133" s="2">
        <v>32375</v>
      </c>
      <c r="B1133" s="7">
        <v>316000</v>
      </c>
      <c r="C1133" s="8">
        <v>1.2820512820512775E-2</v>
      </c>
    </row>
    <row r="1134" spans="1:3" x14ac:dyDescent="0.45">
      <c r="A1134" s="2">
        <v>32382</v>
      </c>
      <c r="B1134" s="7">
        <v>315000</v>
      </c>
      <c r="C1134" s="8">
        <v>-3.1645569620253333E-3</v>
      </c>
    </row>
    <row r="1135" spans="1:3" x14ac:dyDescent="0.45">
      <c r="A1135" s="2">
        <v>32389</v>
      </c>
      <c r="B1135" s="7">
        <v>306000</v>
      </c>
      <c r="C1135" s="8">
        <v>-2.8571428571428581E-2</v>
      </c>
    </row>
    <row r="1136" spans="1:3" x14ac:dyDescent="0.45">
      <c r="A1136" s="2">
        <v>32396</v>
      </c>
      <c r="B1136" s="7">
        <v>305000</v>
      </c>
      <c r="C1136" s="8">
        <v>-3.2679738562091387E-3</v>
      </c>
    </row>
    <row r="1137" spans="1:3" x14ac:dyDescent="0.45">
      <c r="A1137" s="2">
        <v>32403</v>
      </c>
      <c r="B1137" s="7">
        <v>306000</v>
      </c>
      <c r="C1137" s="8">
        <v>3.2786885245901232E-3</v>
      </c>
    </row>
    <row r="1138" spans="1:3" x14ac:dyDescent="0.45">
      <c r="A1138" s="2">
        <v>32410</v>
      </c>
      <c r="B1138" s="7">
        <v>301000</v>
      </c>
      <c r="C1138" s="8">
        <v>-1.6339869281045805E-2</v>
      </c>
    </row>
    <row r="1139" spans="1:3" x14ac:dyDescent="0.45">
      <c r="A1139" s="2">
        <v>32417</v>
      </c>
      <c r="B1139" s="7">
        <v>292000</v>
      </c>
      <c r="C1139" s="8">
        <v>-2.9900332225913595E-2</v>
      </c>
    </row>
    <row r="1140" spans="1:3" x14ac:dyDescent="0.45">
      <c r="A1140" s="2">
        <v>32424</v>
      </c>
      <c r="B1140" s="7">
        <v>292000</v>
      </c>
      <c r="C1140" s="8">
        <v>0</v>
      </c>
    </row>
    <row r="1141" spans="1:3" x14ac:dyDescent="0.45">
      <c r="A1141" s="2">
        <v>32431</v>
      </c>
      <c r="B1141" s="7">
        <v>293000</v>
      </c>
      <c r="C1141" s="8">
        <v>3.424657534246478E-3</v>
      </c>
    </row>
    <row r="1142" spans="1:3" x14ac:dyDescent="0.45">
      <c r="A1142" s="2">
        <v>32438</v>
      </c>
      <c r="B1142" s="7">
        <v>286000</v>
      </c>
      <c r="C1142" s="8">
        <v>-2.3890784982935176E-2</v>
      </c>
    </row>
    <row r="1143" spans="1:3" x14ac:dyDescent="0.45">
      <c r="A1143" s="2">
        <v>32445</v>
      </c>
      <c r="B1143" s="7">
        <v>294000</v>
      </c>
      <c r="C1143" s="8">
        <v>2.7972027972027913E-2</v>
      </c>
    </row>
    <row r="1144" spans="1:3" x14ac:dyDescent="0.45">
      <c r="A1144" s="2">
        <v>32452</v>
      </c>
      <c r="B1144" s="7">
        <v>285000</v>
      </c>
      <c r="C1144" s="8">
        <v>-3.0612244897959218E-2</v>
      </c>
    </row>
    <row r="1145" spans="1:3" x14ac:dyDescent="0.45">
      <c r="A1145" s="2">
        <v>32459</v>
      </c>
      <c r="B1145" s="7">
        <v>284000</v>
      </c>
      <c r="C1145" s="8">
        <v>-3.5087719298245723E-3</v>
      </c>
    </row>
    <row r="1146" spans="1:3" x14ac:dyDescent="0.45">
      <c r="A1146" s="2">
        <v>32466</v>
      </c>
      <c r="B1146" s="7">
        <v>294000</v>
      </c>
      <c r="C1146" s="8">
        <v>3.5211267605633756E-2</v>
      </c>
    </row>
    <row r="1147" spans="1:3" x14ac:dyDescent="0.45">
      <c r="A1147" s="2">
        <v>32473</v>
      </c>
      <c r="B1147" s="7">
        <v>299000</v>
      </c>
      <c r="C1147" s="8">
        <v>1.7006802721088343E-2</v>
      </c>
    </row>
    <row r="1148" spans="1:3" x14ac:dyDescent="0.45">
      <c r="A1148" s="2">
        <v>32480</v>
      </c>
      <c r="B1148" s="7">
        <v>298000</v>
      </c>
      <c r="C1148" s="8">
        <v>-3.3444816053511683E-3</v>
      </c>
    </row>
    <row r="1149" spans="1:3" x14ac:dyDescent="0.45">
      <c r="A1149" s="2">
        <v>32487</v>
      </c>
      <c r="B1149" s="7">
        <v>285000</v>
      </c>
      <c r="C1149" s="8">
        <v>-4.3624161073825496E-2</v>
      </c>
    </row>
    <row r="1150" spans="1:3" x14ac:dyDescent="0.45">
      <c r="A1150" s="2">
        <v>32494</v>
      </c>
      <c r="B1150" s="7">
        <v>293000</v>
      </c>
      <c r="C1150" s="8">
        <v>2.8070175438596578E-2</v>
      </c>
    </row>
    <row r="1151" spans="1:3" x14ac:dyDescent="0.45">
      <c r="A1151" s="2">
        <v>32501</v>
      </c>
      <c r="B1151" s="7">
        <v>286000</v>
      </c>
      <c r="C1151" s="8">
        <v>-2.3890784982935176E-2</v>
      </c>
    </row>
    <row r="1152" spans="1:3" x14ac:dyDescent="0.45">
      <c r="A1152" s="2">
        <v>32508</v>
      </c>
      <c r="B1152" s="7">
        <v>304000</v>
      </c>
      <c r="C1152" s="8">
        <v>6.2937062937062915E-2</v>
      </c>
    </row>
    <row r="1153" spans="1:3" x14ac:dyDescent="0.45">
      <c r="A1153" s="2">
        <v>32515</v>
      </c>
      <c r="B1153" s="7">
        <v>299000</v>
      </c>
      <c r="C1153" s="8">
        <v>-1.6447368421052655E-2</v>
      </c>
    </row>
    <row r="1154" spans="1:3" x14ac:dyDescent="0.45">
      <c r="A1154" s="2">
        <v>32522</v>
      </c>
      <c r="B1154" s="7">
        <v>283000</v>
      </c>
      <c r="C1154" s="8">
        <v>-5.3511705685618693E-2</v>
      </c>
    </row>
    <row r="1155" spans="1:3" x14ac:dyDescent="0.45">
      <c r="A1155" s="2">
        <v>32529</v>
      </c>
      <c r="B1155" s="7">
        <v>282000</v>
      </c>
      <c r="C1155" s="8">
        <v>-3.5335689045936647E-3</v>
      </c>
    </row>
    <row r="1156" spans="1:3" x14ac:dyDescent="0.45">
      <c r="A1156" s="2">
        <v>32536</v>
      </c>
      <c r="B1156" s="7">
        <v>295000</v>
      </c>
      <c r="C1156" s="8">
        <v>4.6099290780141855E-2</v>
      </c>
    </row>
    <row r="1157" spans="1:3" x14ac:dyDescent="0.45">
      <c r="A1157" s="2">
        <v>32543</v>
      </c>
      <c r="B1157" s="7">
        <v>288000</v>
      </c>
      <c r="C1157" s="8">
        <v>-2.3728813559321993E-2</v>
      </c>
    </row>
    <row r="1158" spans="1:3" x14ac:dyDescent="0.45">
      <c r="A1158" s="2">
        <v>32550</v>
      </c>
      <c r="B1158" s="7">
        <v>322000</v>
      </c>
      <c r="C1158" s="8">
        <v>0.11805555555555558</v>
      </c>
    </row>
    <row r="1159" spans="1:3" x14ac:dyDescent="0.45">
      <c r="A1159" s="2">
        <v>32557</v>
      </c>
      <c r="B1159" s="7">
        <v>305000</v>
      </c>
      <c r="C1159" s="8">
        <v>-5.2795031055900665E-2</v>
      </c>
    </row>
    <row r="1160" spans="1:3" x14ac:dyDescent="0.45">
      <c r="A1160" s="2">
        <v>32564</v>
      </c>
      <c r="B1160" s="7">
        <v>300000</v>
      </c>
      <c r="C1160" s="8">
        <v>-1.6393442622950838E-2</v>
      </c>
    </row>
    <row r="1161" spans="1:3" x14ac:dyDescent="0.45">
      <c r="A1161" s="2">
        <v>32571</v>
      </c>
      <c r="B1161" s="7">
        <v>325000</v>
      </c>
      <c r="C1161" s="8">
        <v>8.3333333333333259E-2</v>
      </c>
    </row>
    <row r="1162" spans="1:3" x14ac:dyDescent="0.45">
      <c r="A1162" s="2">
        <v>32578</v>
      </c>
      <c r="B1162" s="7">
        <v>325000</v>
      </c>
      <c r="C1162" s="8">
        <v>0</v>
      </c>
    </row>
    <row r="1163" spans="1:3" x14ac:dyDescent="0.45">
      <c r="A1163" s="2">
        <v>32585</v>
      </c>
      <c r="B1163" s="7">
        <v>319000</v>
      </c>
      <c r="C1163" s="8">
        <v>-1.8461538461538418E-2</v>
      </c>
    </row>
    <row r="1164" spans="1:3" x14ac:dyDescent="0.45">
      <c r="A1164" s="2">
        <v>32592</v>
      </c>
      <c r="B1164" s="7">
        <v>319000</v>
      </c>
      <c r="C1164" s="8">
        <v>0</v>
      </c>
    </row>
    <row r="1165" spans="1:3" x14ac:dyDescent="0.45">
      <c r="A1165" s="2">
        <v>32599</v>
      </c>
      <c r="B1165" s="7">
        <v>323000</v>
      </c>
      <c r="C1165" s="8">
        <v>1.2539184952978122E-2</v>
      </c>
    </row>
    <row r="1166" spans="1:3" x14ac:dyDescent="0.45">
      <c r="A1166" s="2">
        <v>32606</v>
      </c>
      <c r="B1166" s="7">
        <v>314000</v>
      </c>
      <c r="C1166" s="8">
        <v>-2.786377708978327E-2</v>
      </c>
    </row>
    <row r="1167" spans="1:3" x14ac:dyDescent="0.45">
      <c r="A1167" s="2">
        <v>32613</v>
      </c>
      <c r="B1167" s="7">
        <v>307000</v>
      </c>
      <c r="C1167" s="8">
        <v>-2.2292993630573243E-2</v>
      </c>
    </row>
    <row r="1168" spans="1:3" x14ac:dyDescent="0.45">
      <c r="A1168" s="2">
        <v>32620</v>
      </c>
      <c r="B1168" s="7">
        <v>304000</v>
      </c>
      <c r="C1168" s="8">
        <v>-9.7719869706840434E-3</v>
      </c>
    </row>
    <row r="1169" spans="1:3" x14ac:dyDescent="0.45">
      <c r="A1169" s="2">
        <v>32627</v>
      </c>
      <c r="B1169" s="7">
        <v>311000</v>
      </c>
      <c r="C1169" s="8">
        <v>2.3026315789473673E-2</v>
      </c>
    </row>
    <row r="1170" spans="1:3" x14ac:dyDescent="0.45">
      <c r="A1170" s="2">
        <v>32634</v>
      </c>
      <c r="B1170" s="7">
        <v>320000</v>
      </c>
      <c r="C1170" s="8">
        <v>2.8938906752411508E-2</v>
      </c>
    </row>
    <row r="1171" spans="1:3" x14ac:dyDescent="0.45">
      <c r="A1171" s="2">
        <v>32641</v>
      </c>
      <c r="B1171" s="7">
        <v>332000</v>
      </c>
      <c r="C1171" s="8">
        <v>3.7500000000000089E-2</v>
      </c>
    </row>
    <row r="1172" spans="1:3" x14ac:dyDescent="0.45">
      <c r="A1172" s="2">
        <v>32648</v>
      </c>
      <c r="B1172" s="7">
        <v>321000</v>
      </c>
      <c r="C1172" s="8">
        <v>-3.3132530120481896E-2</v>
      </c>
    </row>
    <row r="1173" spans="1:3" x14ac:dyDescent="0.45">
      <c r="A1173" s="2">
        <v>32655</v>
      </c>
      <c r="B1173" s="7">
        <v>325000</v>
      </c>
      <c r="C1173" s="8">
        <v>1.2461059190031154E-2</v>
      </c>
    </row>
    <row r="1174" spans="1:3" x14ac:dyDescent="0.45">
      <c r="A1174" s="2">
        <v>32662</v>
      </c>
      <c r="B1174" s="7">
        <v>325000</v>
      </c>
      <c r="C1174" s="8">
        <v>0</v>
      </c>
    </row>
    <row r="1175" spans="1:3" x14ac:dyDescent="0.45">
      <c r="A1175" s="2">
        <v>32669</v>
      </c>
      <c r="B1175" s="7">
        <v>332000</v>
      </c>
      <c r="C1175" s="8">
        <v>2.1538461538461506E-2</v>
      </c>
    </row>
    <row r="1176" spans="1:3" x14ac:dyDescent="0.45">
      <c r="A1176" s="2">
        <v>32676</v>
      </c>
      <c r="B1176" s="7">
        <v>337000</v>
      </c>
      <c r="C1176" s="8">
        <v>1.5060240963855387E-2</v>
      </c>
    </row>
    <row r="1177" spans="1:3" x14ac:dyDescent="0.45">
      <c r="A1177" s="2">
        <v>32683</v>
      </c>
      <c r="B1177" s="7">
        <v>338000</v>
      </c>
      <c r="C1177" s="8">
        <v>2.9673590504450953E-3</v>
      </c>
    </row>
    <row r="1178" spans="1:3" x14ac:dyDescent="0.45">
      <c r="A1178" s="2">
        <v>32690</v>
      </c>
      <c r="B1178" s="7">
        <v>349000</v>
      </c>
      <c r="C1178" s="8">
        <v>3.2544378698224907E-2</v>
      </c>
    </row>
    <row r="1179" spans="1:3" x14ac:dyDescent="0.45">
      <c r="A1179" s="2">
        <v>32697</v>
      </c>
      <c r="B1179" s="7">
        <v>341000</v>
      </c>
      <c r="C1179" s="8">
        <v>-2.2922636103151817E-2</v>
      </c>
    </row>
    <row r="1180" spans="1:3" x14ac:dyDescent="0.45">
      <c r="A1180" s="2">
        <v>32704</v>
      </c>
      <c r="B1180" s="7">
        <v>349000</v>
      </c>
      <c r="C1180" s="8">
        <v>2.346041055718473E-2</v>
      </c>
    </row>
    <row r="1181" spans="1:3" x14ac:dyDescent="0.45">
      <c r="A1181" s="2">
        <v>32711</v>
      </c>
      <c r="B1181" s="7">
        <v>332000</v>
      </c>
      <c r="C1181" s="8">
        <v>-4.8710601719197721E-2</v>
      </c>
    </row>
    <row r="1182" spans="1:3" x14ac:dyDescent="0.45">
      <c r="A1182" s="2">
        <v>32718</v>
      </c>
      <c r="B1182" s="7">
        <v>337000</v>
      </c>
      <c r="C1182" s="8">
        <v>1.5060240963855387E-2</v>
      </c>
    </row>
    <row r="1183" spans="1:3" x14ac:dyDescent="0.45">
      <c r="A1183" s="2">
        <v>32725</v>
      </c>
      <c r="B1183" s="7">
        <v>338000</v>
      </c>
      <c r="C1183" s="8">
        <v>2.9673590504450953E-3</v>
      </c>
    </row>
    <row r="1184" spans="1:3" x14ac:dyDescent="0.45">
      <c r="A1184" s="2">
        <v>32732</v>
      </c>
      <c r="B1184" s="7">
        <v>341000</v>
      </c>
      <c r="C1184" s="8">
        <v>8.8757396449703485E-3</v>
      </c>
    </row>
    <row r="1185" spans="1:3" x14ac:dyDescent="0.45">
      <c r="A1185" s="2">
        <v>32739</v>
      </c>
      <c r="B1185" s="7">
        <v>327000</v>
      </c>
      <c r="C1185" s="8">
        <v>-4.1055718475073277E-2</v>
      </c>
    </row>
    <row r="1186" spans="1:3" x14ac:dyDescent="0.45">
      <c r="A1186" s="2">
        <v>32746</v>
      </c>
      <c r="B1186" s="7">
        <v>332000</v>
      </c>
      <c r="C1186" s="8">
        <v>1.5290519877675823E-2</v>
      </c>
    </row>
    <row r="1187" spans="1:3" x14ac:dyDescent="0.45">
      <c r="A1187" s="2">
        <v>32753</v>
      </c>
      <c r="B1187" s="7">
        <v>329000</v>
      </c>
      <c r="C1187" s="8">
        <v>-9.0361445783132543E-3</v>
      </c>
    </row>
    <row r="1188" spans="1:3" x14ac:dyDescent="0.45">
      <c r="A1188" s="2">
        <v>32760</v>
      </c>
      <c r="B1188" s="7">
        <v>336000</v>
      </c>
      <c r="C1188" s="8">
        <v>2.1276595744680771E-2</v>
      </c>
    </row>
    <row r="1189" spans="1:3" x14ac:dyDescent="0.45">
      <c r="A1189" s="2">
        <v>32767</v>
      </c>
      <c r="B1189" s="7">
        <v>334000</v>
      </c>
      <c r="C1189" s="8">
        <v>-5.9523809523809312E-3</v>
      </c>
    </row>
    <row r="1190" spans="1:3" x14ac:dyDescent="0.45">
      <c r="A1190" s="2">
        <v>32774</v>
      </c>
      <c r="B1190" s="7">
        <v>334000</v>
      </c>
      <c r="C1190" s="8">
        <v>0</v>
      </c>
    </row>
    <row r="1191" spans="1:3" x14ac:dyDescent="0.45">
      <c r="A1191" s="2">
        <v>32781</v>
      </c>
      <c r="B1191" s="7">
        <v>347000</v>
      </c>
      <c r="C1191" s="8">
        <v>3.8922155688622784E-2</v>
      </c>
    </row>
    <row r="1192" spans="1:3" x14ac:dyDescent="0.45">
      <c r="A1192" s="2">
        <v>32788</v>
      </c>
      <c r="B1192" s="7">
        <v>407000</v>
      </c>
      <c r="C1192" s="8">
        <v>0.17291066282420742</v>
      </c>
    </row>
    <row r="1193" spans="1:3" x14ac:dyDescent="0.45">
      <c r="A1193" s="2">
        <v>32795</v>
      </c>
      <c r="B1193" s="7">
        <v>345000</v>
      </c>
      <c r="C1193" s="8">
        <v>-0.15233415233415237</v>
      </c>
    </row>
    <row r="1194" spans="1:3" x14ac:dyDescent="0.45">
      <c r="A1194" s="2">
        <v>32802</v>
      </c>
      <c r="B1194" s="7">
        <v>347000</v>
      </c>
      <c r="C1194" s="8">
        <v>5.7971014492752548E-3</v>
      </c>
    </row>
    <row r="1195" spans="1:3" x14ac:dyDescent="0.45">
      <c r="A1195" s="2">
        <v>32809</v>
      </c>
      <c r="B1195" s="7">
        <v>354000</v>
      </c>
      <c r="C1195" s="8">
        <v>2.0172910662824117E-2</v>
      </c>
    </row>
    <row r="1196" spans="1:3" x14ac:dyDescent="0.45">
      <c r="A1196" s="2">
        <v>32816</v>
      </c>
      <c r="B1196" s="7">
        <v>333000</v>
      </c>
      <c r="C1196" s="8">
        <v>-5.9322033898305038E-2</v>
      </c>
    </row>
    <row r="1197" spans="1:3" x14ac:dyDescent="0.45">
      <c r="A1197" s="2">
        <v>32823</v>
      </c>
      <c r="B1197" s="7">
        <v>336000</v>
      </c>
      <c r="C1197" s="8">
        <v>9.009009009008917E-3</v>
      </c>
    </row>
    <row r="1198" spans="1:3" x14ac:dyDescent="0.45">
      <c r="A1198" s="2">
        <v>32830</v>
      </c>
      <c r="B1198" s="7">
        <v>336000</v>
      </c>
      <c r="C1198" s="8">
        <v>0</v>
      </c>
    </row>
    <row r="1199" spans="1:3" x14ac:dyDescent="0.45">
      <c r="A1199" s="2">
        <v>32837</v>
      </c>
      <c r="B1199" s="7">
        <v>342000</v>
      </c>
      <c r="C1199" s="8">
        <v>1.7857142857142794E-2</v>
      </c>
    </row>
    <row r="1200" spans="1:3" x14ac:dyDescent="0.45">
      <c r="A1200" s="2">
        <v>32844</v>
      </c>
      <c r="B1200" s="7">
        <v>344000</v>
      </c>
      <c r="C1200" s="8">
        <v>5.8479532163742132E-3</v>
      </c>
    </row>
    <row r="1201" spans="1:3" x14ac:dyDescent="0.45">
      <c r="A1201" s="2">
        <v>32851</v>
      </c>
      <c r="B1201" s="7">
        <v>338000</v>
      </c>
      <c r="C1201" s="8">
        <v>-1.744186046511631E-2</v>
      </c>
    </row>
    <row r="1202" spans="1:3" x14ac:dyDescent="0.45">
      <c r="A1202" s="2">
        <v>32858</v>
      </c>
      <c r="B1202" s="7">
        <v>355000</v>
      </c>
      <c r="C1202" s="8">
        <v>5.0295857988165604E-2</v>
      </c>
    </row>
    <row r="1203" spans="1:3" x14ac:dyDescent="0.45">
      <c r="A1203" s="2">
        <v>32865</v>
      </c>
      <c r="B1203" s="7">
        <v>381000</v>
      </c>
      <c r="C1203" s="8">
        <v>7.3239436619718212E-2</v>
      </c>
    </row>
    <row r="1204" spans="1:3" x14ac:dyDescent="0.45">
      <c r="A1204" s="2">
        <v>32872</v>
      </c>
      <c r="B1204" s="7">
        <v>358000</v>
      </c>
      <c r="C1204" s="8">
        <v>-6.0367454068241511E-2</v>
      </c>
    </row>
    <row r="1205" spans="1:3" x14ac:dyDescent="0.45">
      <c r="A1205" s="2">
        <v>32879</v>
      </c>
      <c r="B1205" s="7">
        <v>355000</v>
      </c>
      <c r="C1205" s="8">
        <v>-8.379888268156388E-3</v>
      </c>
    </row>
    <row r="1206" spans="1:3" x14ac:dyDescent="0.45">
      <c r="A1206" s="2">
        <v>32886</v>
      </c>
      <c r="B1206" s="7">
        <v>369000</v>
      </c>
      <c r="C1206" s="8">
        <v>3.9436619718309807E-2</v>
      </c>
    </row>
    <row r="1207" spans="1:3" x14ac:dyDescent="0.45">
      <c r="A1207" s="2">
        <v>32893</v>
      </c>
      <c r="B1207" s="7">
        <v>375000</v>
      </c>
      <c r="C1207" s="8">
        <v>1.6260162601626105E-2</v>
      </c>
    </row>
    <row r="1208" spans="1:3" x14ac:dyDescent="0.45">
      <c r="A1208" s="2">
        <v>32900</v>
      </c>
      <c r="B1208" s="7">
        <v>345000</v>
      </c>
      <c r="C1208" s="8">
        <v>-7.999999999999996E-2</v>
      </c>
    </row>
    <row r="1209" spans="1:3" x14ac:dyDescent="0.45">
      <c r="A1209" s="2">
        <v>32907</v>
      </c>
      <c r="B1209" s="7">
        <v>368000</v>
      </c>
      <c r="C1209" s="8">
        <v>6.6666666666666652E-2</v>
      </c>
    </row>
    <row r="1210" spans="1:3" x14ac:dyDescent="0.45">
      <c r="A1210" s="2">
        <v>32914</v>
      </c>
      <c r="B1210" s="7">
        <v>367000</v>
      </c>
      <c r="C1210" s="8">
        <v>-2.7173913043477826E-3</v>
      </c>
    </row>
    <row r="1211" spans="1:3" x14ac:dyDescent="0.45">
      <c r="A1211" s="2">
        <v>32921</v>
      </c>
      <c r="B1211" s="7">
        <v>348000</v>
      </c>
      <c r="C1211" s="8">
        <v>-5.1771117166212521E-2</v>
      </c>
    </row>
    <row r="1212" spans="1:3" x14ac:dyDescent="0.45">
      <c r="A1212" s="2">
        <v>32928</v>
      </c>
      <c r="B1212" s="7">
        <v>350000</v>
      </c>
      <c r="C1212" s="8">
        <v>5.7471264367816577E-3</v>
      </c>
    </row>
    <row r="1213" spans="1:3" x14ac:dyDescent="0.45">
      <c r="A1213" s="2">
        <v>32935</v>
      </c>
      <c r="B1213" s="7">
        <v>351000</v>
      </c>
      <c r="C1213" s="8">
        <v>2.8571428571428914E-3</v>
      </c>
    </row>
    <row r="1214" spans="1:3" x14ac:dyDescent="0.45">
      <c r="A1214" s="2">
        <v>32942</v>
      </c>
      <c r="B1214" s="7">
        <v>349000</v>
      </c>
      <c r="C1214" s="8">
        <v>-5.6980056980057148E-3</v>
      </c>
    </row>
    <row r="1215" spans="1:3" x14ac:dyDescent="0.45">
      <c r="A1215" s="2">
        <v>32949</v>
      </c>
      <c r="B1215" s="7">
        <v>349000</v>
      </c>
      <c r="C1215" s="8">
        <v>0</v>
      </c>
    </row>
    <row r="1216" spans="1:3" x14ac:dyDescent="0.45">
      <c r="A1216" s="2">
        <v>32956</v>
      </c>
      <c r="B1216" s="7">
        <v>331000</v>
      </c>
      <c r="C1216" s="8">
        <v>-5.1575931232091698E-2</v>
      </c>
    </row>
    <row r="1217" spans="1:3" x14ac:dyDescent="0.45">
      <c r="A1217" s="2">
        <v>32963</v>
      </c>
      <c r="B1217" s="7">
        <v>346000</v>
      </c>
      <c r="C1217" s="8">
        <v>4.5317220543806602E-2</v>
      </c>
    </row>
    <row r="1218" spans="1:3" x14ac:dyDescent="0.45">
      <c r="A1218" s="2">
        <v>32970</v>
      </c>
      <c r="B1218" s="7">
        <v>367000</v>
      </c>
      <c r="C1218" s="8">
        <v>6.0693641618497107E-2</v>
      </c>
    </row>
    <row r="1219" spans="1:3" x14ac:dyDescent="0.45">
      <c r="A1219" s="2">
        <v>32977</v>
      </c>
      <c r="B1219" s="7">
        <v>357000</v>
      </c>
      <c r="C1219" s="8">
        <v>-2.7247956403269713E-2</v>
      </c>
    </row>
    <row r="1220" spans="1:3" x14ac:dyDescent="0.45">
      <c r="A1220" s="2">
        <v>32984</v>
      </c>
      <c r="B1220" s="7">
        <v>360000</v>
      </c>
      <c r="C1220" s="8">
        <v>8.4033613445377853E-3</v>
      </c>
    </row>
    <row r="1221" spans="1:3" x14ac:dyDescent="0.45">
      <c r="A1221" s="2">
        <v>32991</v>
      </c>
      <c r="B1221" s="7">
        <v>363000</v>
      </c>
      <c r="C1221" s="8">
        <v>8.3333333333333037E-3</v>
      </c>
    </row>
    <row r="1222" spans="1:3" x14ac:dyDescent="0.45">
      <c r="A1222" s="2">
        <v>32998</v>
      </c>
      <c r="B1222" s="7">
        <v>354000</v>
      </c>
      <c r="C1222" s="8">
        <v>-2.4793388429752095E-2</v>
      </c>
    </row>
    <row r="1223" spans="1:3" x14ac:dyDescent="0.45">
      <c r="A1223" s="2">
        <v>33005</v>
      </c>
      <c r="B1223" s="7">
        <v>355000</v>
      </c>
      <c r="C1223" s="8">
        <v>2.8248587570620654E-3</v>
      </c>
    </row>
    <row r="1224" spans="1:3" x14ac:dyDescent="0.45">
      <c r="A1224" s="2">
        <v>33012</v>
      </c>
      <c r="B1224" s="7">
        <v>353000</v>
      </c>
      <c r="C1224" s="8">
        <v>-5.6338028169014009E-3</v>
      </c>
    </row>
    <row r="1225" spans="1:3" x14ac:dyDescent="0.45">
      <c r="A1225" s="2">
        <v>33019</v>
      </c>
      <c r="B1225" s="7">
        <v>359000</v>
      </c>
      <c r="C1225" s="8">
        <v>1.6997167138810276E-2</v>
      </c>
    </row>
    <row r="1226" spans="1:3" x14ac:dyDescent="0.45">
      <c r="A1226" s="2">
        <v>33026</v>
      </c>
      <c r="B1226" s="7">
        <v>368000</v>
      </c>
      <c r="C1226" s="8">
        <v>2.5069637883008422E-2</v>
      </c>
    </row>
    <row r="1227" spans="1:3" x14ac:dyDescent="0.45">
      <c r="A1227" s="2">
        <v>33033</v>
      </c>
      <c r="B1227" s="7">
        <v>359000</v>
      </c>
      <c r="C1227" s="8">
        <v>-2.4456521739130488E-2</v>
      </c>
    </row>
    <row r="1228" spans="1:3" x14ac:dyDescent="0.45">
      <c r="A1228" s="2">
        <v>33040</v>
      </c>
      <c r="B1228" s="7">
        <v>359000</v>
      </c>
      <c r="C1228" s="8">
        <v>0</v>
      </c>
    </row>
    <row r="1229" spans="1:3" x14ac:dyDescent="0.45">
      <c r="A1229" s="2">
        <v>33047</v>
      </c>
      <c r="B1229" s="7">
        <v>362000</v>
      </c>
      <c r="C1229" s="8">
        <v>8.3565459610028814E-3</v>
      </c>
    </row>
    <row r="1230" spans="1:3" x14ac:dyDescent="0.45">
      <c r="A1230" s="2">
        <v>33054</v>
      </c>
      <c r="B1230" s="7">
        <v>364000</v>
      </c>
      <c r="C1230" s="8">
        <v>5.5248618784531356E-3</v>
      </c>
    </row>
    <row r="1231" spans="1:3" x14ac:dyDescent="0.45">
      <c r="A1231" s="2">
        <v>33061</v>
      </c>
      <c r="B1231" s="7">
        <v>362000</v>
      </c>
      <c r="C1231" s="8">
        <v>-5.494505494505475E-3</v>
      </c>
    </row>
    <row r="1232" spans="1:3" x14ac:dyDescent="0.45">
      <c r="A1232" s="2">
        <v>33068</v>
      </c>
      <c r="B1232" s="7">
        <v>367000</v>
      </c>
      <c r="C1232" s="8">
        <v>1.3812154696132506E-2</v>
      </c>
    </row>
    <row r="1233" spans="1:3" x14ac:dyDescent="0.45">
      <c r="A1233" s="2">
        <v>33075</v>
      </c>
      <c r="B1233" s="7">
        <v>370000</v>
      </c>
      <c r="C1233" s="8">
        <v>8.1743869209809361E-3</v>
      </c>
    </row>
    <row r="1234" spans="1:3" x14ac:dyDescent="0.45">
      <c r="A1234" s="2">
        <v>33082</v>
      </c>
      <c r="B1234" s="7">
        <v>369000</v>
      </c>
      <c r="C1234" s="8">
        <v>-2.7027027027026751E-3</v>
      </c>
    </row>
    <row r="1235" spans="1:3" x14ac:dyDescent="0.45">
      <c r="A1235" s="2">
        <v>33089</v>
      </c>
      <c r="B1235" s="7">
        <v>369000</v>
      </c>
      <c r="C1235" s="8">
        <v>0</v>
      </c>
    </row>
    <row r="1236" spans="1:3" x14ac:dyDescent="0.45">
      <c r="A1236" s="2">
        <v>33096</v>
      </c>
      <c r="B1236" s="7">
        <v>381000</v>
      </c>
      <c r="C1236" s="8">
        <v>3.2520325203251987E-2</v>
      </c>
    </row>
    <row r="1237" spans="1:3" x14ac:dyDescent="0.45">
      <c r="A1237" s="2">
        <v>33103</v>
      </c>
      <c r="B1237" s="7">
        <v>393000</v>
      </c>
      <c r="C1237" s="8">
        <v>3.1496062992125928E-2</v>
      </c>
    </row>
    <row r="1238" spans="1:3" x14ac:dyDescent="0.45">
      <c r="A1238" s="2">
        <v>33110</v>
      </c>
      <c r="B1238" s="7">
        <v>394000</v>
      </c>
      <c r="C1238" s="8">
        <v>2.5445292620864812E-3</v>
      </c>
    </row>
    <row r="1239" spans="1:3" x14ac:dyDescent="0.45">
      <c r="A1239" s="2">
        <v>33117</v>
      </c>
      <c r="B1239" s="7">
        <v>392000</v>
      </c>
      <c r="C1239" s="8">
        <v>-5.0761421319797106E-3</v>
      </c>
    </row>
    <row r="1240" spans="1:3" x14ac:dyDescent="0.45">
      <c r="A1240" s="2">
        <v>33124</v>
      </c>
      <c r="B1240" s="7">
        <v>390000</v>
      </c>
      <c r="C1240" s="8">
        <v>-5.1020408163264808E-3</v>
      </c>
    </row>
    <row r="1241" spans="1:3" x14ac:dyDescent="0.45">
      <c r="A1241" s="2">
        <v>33131</v>
      </c>
      <c r="B1241" s="7">
        <v>395000</v>
      </c>
      <c r="C1241" s="8">
        <v>1.2820512820512775E-2</v>
      </c>
    </row>
    <row r="1242" spans="1:3" x14ac:dyDescent="0.45">
      <c r="A1242" s="2">
        <v>33138</v>
      </c>
      <c r="B1242" s="7">
        <v>389000</v>
      </c>
      <c r="C1242" s="8">
        <v>-1.5189873417721489E-2</v>
      </c>
    </row>
    <row r="1243" spans="1:3" x14ac:dyDescent="0.45">
      <c r="A1243" s="2">
        <v>33145</v>
      </c>
      <c r="B1243" s="7">
        <v>404000</v>
      </c>
      <c r="C1243" s="8">
        <v>3.8560411311054033E-2</v>
      </c>
    </row>
    <row r="1244" spans="1:3" x14ac:dyDescent="0.45">
      <c r="A1244" s="2">
        <v>33152</v>
      </c>
      <c r="B1244" s="7">
        <v>404000</v>
      </c>
      <c r="C1244" s="8">
        <v>0</v>
      </c>
    </row>
    <row r="1245" spans="1:3" x14ac:dyDescent="0.45">
      <c r="A1245" s="2">
        <v>33159</v>
      </c>
      <c r="B1245" s="7">
        <v>422000</v>
      </c>
      <c r="C1245" s="8">
        <v>4.4554455445544594E-2</v>
      </c>
    </row>
    <row r="1246" spans="1:3" x14ac:dyDescent="0.45">
      <c r="A1246" s="2">
        <v>33166</v>
      </c>
      <c r="B1246" s="7">
        <v>435000</v>
      </c>
      <c r="C1246" s="8">
        <v>3.0805687203791399E-2</v>
      </c>
    </row>
    <row r="1247" spans="1:3" x14ac:dyDescent="0.45">
      <c r="A1247" s="2">
        <v>33173</v>
      </c>
      <c r="B1247" s="7">
        <v>440000</v>
      </c>
      <c r="C1247" s="8">
        <v>1.1494252873563315E-2</v>
      </c>
    </row>
    <row r="1248" spans="1:3" x14ac:dyDescent="0.45">
      <c r="A1248" s="2">
        <v>33180</v>
      </c>
      <c r="B1248" s="7">
        <v>430000</v>
      </c>
      <c r="C1248" s="8">
        <v>-2.2727272727272707E-2</v>
      </c>
    </row>
    <row r="1249" spans="1:3" x14ac:dyDescent="0.45">
      <c r="A1249" s="2">
        <v>33187</v>
      </c>
      <c r="B1249" s="7">
        <v>448000</v>
      </c>
      <c r="C1249" s="8">
        <v>4.1860465116279055E-2</v>
      </c>
    </row>
    <row r="1250" spans="1:3" x14ac:dyDescent="0.45">
      <c r="A1250" s="2">
        <v>33194</v>
      </c>
      <c r="B1250" s="7">
        <v>447000</v>
      </c>
      <c r="C1250" s="8">
        <v>-2.2321428571429047E-3</v>
      </c>
    </row>
    <row r="1251" spans="1:3" x14ac:dyDescent="0.45">
      <c r="A1251" s="2">
        <v>33201</v>
      </c>
      <c r="B1251" s="7">
        <v>462000</v>
      </c>
      <c r="C1251" s="8">
        <v>3.3557046979865834E-2</v>
      </c>
    </row>
    <row r="1252" spans="1:3" x14ac:dyDescent="0.45">
      <c r="A1252" s="2">
        <v>33208</v>
      </c>
      <c r="B1252" s="7">
        <v>451000</v>
      </c>
      <c r="C1252" s="8">
        <v>-2.3809523809523836E-2</v>
      </c>
    </row>
    <row r="1253" spans="1:3" x14ac:dyDescent="0.45">
      <c r="A1253" s="2">
        <v>33215</v>
      </c>
      <c r="B1253" s="7">
        <v>449000</v>
      </c>
      <c r="C1253" s="8">
        <v>-4.4345898004434225E-3</v>
      </c>
    </row>
    <row r="1254" spans="1:3" x14ac:dyDescent="0.45">
      <c r="A1254" s="2">
        <v>33222</v>
      </c>
      <c r="B1254" s="7">
        <v>447000</v>
      </c>
      <c r="C1254" s="8">
        <v>-4.4543429844098315E-3</v>
      </c>
    </row>
    <row r="1255" spans="1:3" x14ac:dyDescent="0.45">
      <c r="A1255" s="2">
        <v>33229</v>
      </c>
      <c r="B1255" s="7">
        <v>474000</v>
      </c>
      <c r="C1255" s="8">
        <v>6.0402684563758413E-2</v>
      </c>
    </row>
    <row r="1256" spans="1:3" x14ac:dyDescent="0.45">
      <c r="A1256" s="2">
        <v>33236</v>
      </c>
      <c r="B1256" s="7">
        <v>454000</v>
      </c>
      <c r="C1256" s="8">
        <v>-4.2194092827004259E-2</v>
      </c>
    </row>
    <row r="1257" spans="1:3" x14ac:dyDescent="0.45">
      <c r="A1257" s="2">
        <v>33243</v>
      </c>
      <c r="B1257" s="7">
        <v>415000</v>
      </c>
      <c r="C1257" s="8">
        <v>-8.590308370044053E-2</v>
      </c>
    </row>
    <row r="1258" spans="1:3" x14ac:dyDescent="0.45">
      <c r="A1258" s="2">
        <v>33250</v>
      </c>
      <c r="B1258" s="7">
        <v>437000</v>
      </c>
      <c r="C1258" s="8">
        <v>5.3012048192771166E-2</v>
      </c>
    </row>
    <row r="1259" spans="1:3" x14ac:dyDescent="0.45">
      <c r="A1259" s="2">
        <v>33257</v>
      </c>
      <c r="B1259" s="7">
        <v>445000</v>
      </c>
      <c r="C1259" s="8">
        <v>1.8306636155606348E-2</v>
      </c>
    </row>
    <row r="1260" spans="1:3" x14ac:dyDescent="0.45">
      <c r="A1260" s="2">
        <v>33264</v>
      </c>
      <c r="B1260" s="7">
        <v>462000</v>
      </c>
      <c r="C1260" s="8">
        <v>3.8202247191011285E-2</v>
      </c>
    </row>
    <row r="1261" spans="1:3" x14ac:dyDescent="0.45">
      <c r="A1261" s="2">
        <v>33271</v>
      </c>
      <c r="B1261" s="7">
        <v>483000</v>
      </c>
      <c r="C1261" s="8">
        <v>4.5454545454545414E-2</v>
      </c>
    </row>
    <row r="1262" spans="1:3" x14ac:dyDescent="0.45">
      <c r="A1262" s="2">
        <v>33278</v>
      </c>
      <c r="B1262" s="7">
        <v>480000</v>
      </c>
      <c r="C1262" s="8">
        <v>-6.2111801242236142E-3</v>
      </c>
    </row>
    <row r="1263" spans="1:3" x14ac:dyDescent="0.45">
      <c r="A1263" s="2">
        <v>33285</v>
      </c>
      <c r="B1263" s="7">
        <v>474000</v>
      </c>
      <c r="C1263" s="8">
        <v>-1.2499999999999956E-2</v>
      </c>
    </row>
    <row r="1264" spans="1:3" x14ac:dyDescent="0.45">
      <c r="A1264" s="2">
        <v>33292</v>
      </c>
      <c r="B1264" s="7">
        <v>499000</v>
      </c>
      <c r="C1264" s="8">
        <v>5.2742616033755185E-2</v>
      </c>
    </row>
    <row r="1265" spans="1:3" x14ac:dyDescent="0.45">
      <c r="A1265" s="2">
        <v>33299</v>
      </c>
      <c r="B1265" s="7">
        <v>488000</v>
      </c>
      <c r="C1265" s="8">
        <v>-2.2044088176352727E-2</v>
      </c>
    </row>
    <row r="1266" spans="1:3" x14ac:dyDescent="0.45">
      <c r="A1266" s="2">
        <v>33306</v>
      </c>
      <c r="B1266" s="7">
        <v>499000</v>
      </c>
      <c r="C1266" s="8">
        <v>2.2540983606557319E-2</v>
      </c>
    </row>
    <row r="1267" spans="1:3" x14ac:dyDescent="0.45">
      <c r="A1267" s="2">
        <v>33313</v>
      </c>
      <c r="B1267" s="7">
        <v>498000</v>
      </c>
      <c r="C1267" s="8">
        <v>-2.0040080160320661E-3</v>
      </c>
    </row>
    <row r="1268" spans="1:3" x14ac:dyDescent="0.45">
      <c r="A1268" s="2">
        <v>33320</v>
      </c>
      <c r="B1268" s="7">
        <v>509000</v>
      </c>
      <c r="C1268" s="8">
        <v>2.2088353413654671E-2</v>
      </c>
    </row>
    <row r="1269" spans="1:3" x14ac:dyDescent="0.45">
      <c r="A1269" s="2">
        <v>33327</v>
      </c>
      <c r="B1269" s="7">
        <v>499000</v>
      </c>
      <c r="C1269" s="8">
        <v>-1.9646365422396839E-2</v>
      </c>
    </row>
    <row r="1270" spans="1:3" x14ac:dyDescent="0.45">
      <c r="A1270" s="2">
        <v>33334</v>
      </c>
      <c r="B1270" s="7">
        <v>452000</v>
      </c>
      <c r="C1270" s="8">
        <v>-9.4188376753506997E-2</v>
      </c>
    </row>
    <row r="1271" spans="1:3" x14ac:dyDescent="0.45">
      <c r="A1271" s="2">
        <v>33341</v>
      </c>
      <c r="B1271" s="7">
        <v>477000</v>
      </c>
      <c r="C1271" s="8">
        <v>5.5309734513274256E-2</v>
      </c>
    </row>
    <row r="1272" spans="1:3" x14ac:dyDescent="0.45">
      <c r="A1272" s="2">
        <v>33348</v>
      </c>
      <c r="B1272" s="7">
        <v>478000</v>
      </c>
      <c r="C1272" s="8">
        <v>2.0964360587001352E-3</v>
      </c>
    </row>
    <row r="1273" spans="1:3" x14ac:dyDescent="0.45">
      <c r="A1273" s="2">
        <v>33355</v>
      </c>
      <c r="B1273" s="7">
        <v>462000</v>
      </c>
      <c r="C1273" s="8">
        <v>-3.3472803347280311E-2</v>
      </c>
    </row>
    <row r="1274" spans="1:3" x14ac:dyDescent="0.45">
      <c r="A1274" s="2">
        <v>33362</v>
      </c>
      <c r="B1274" s="7">
        <v>451000</v>
      </c>
      <c r="C1274" s="8">
        <v>-2.3809523809523836E-2</v>
      </c>
    </row>
    <row r="1275" spans="1:3" x14ac:dyDescent="0.45">
      <c r="A1275" s="2">
        <v>33369</v>
      </c>
      <c r="B1275" s="7">
        <v>446000</v>
      </c>
      <c r="C1275" s="8">
        <v>-1.1086474501108667E-2</v>
      </c>
    </row>
    <row r="1276" spans="1:3" x14ac:dyDescent="0.45">
      <c r="A1276" s="2">
        <v>33376</v>
      </c>
      <c r="B1276" s="7">
        <v>448000</v>
      </c>
      <c r="C1276" s="8">
        <v>4.484304932735439E-3</v>
      </c>
    </row>
    <row r="1277" spans="1:3" x14ac:dyDescent="0.45">
      <c r="A1277" s="2">
        <v>33383</v>
      </c>
      <c r="B1277" s="7">
        <v>443000</v>
      </c>
      <c r="C1277" s="8">
        <v>-1.1160714285714302E-2</v>
      </c>
    </row>
    <row r="1278" spans="1:3" x14ac:dyDescent="0.45">
      <c r="A1278" s="2">
        <v>33390</v>
      </c>
      <c r="B1278" s="7">
        <v>432000</v>
      </c>
      <c r="C1278" s="8">
        <v>-2.4830699774266329E-2</v>
      </c>
    </row>
    <row r="1279" spans="1:3" x14ac:dyDescent="0.45">
      <c r="A1279" s="2">
        <v>33397</v>
      </c>
      <c r="B1279" s="7">
        <v>441000</v>
      </c>
      <c r="C1279" s="8">
        <v>2.0833333333333259E-2</v>
      </c>
    </row>
    <row r="1280" spans="1:3" x14ac:dyDescent="0.45">
      <c r="A1280" s="2">
        <v>33404</v>
      </c>
      <c r="B1280" s="7">
        <v>429000</v>
      </c>
      <c r="C1280" s="8">
        <v>-2.7210884353741527E-2</v>
      </c>
    </row>
    <row r="1281" spans="1:3" x14ac:dyDescent="0.45">
      <c r="A1281" s="2">
        <v>33411</v>
      </c>
      <c r="B1281" s="7">
        <v>423000</v>
      </c>
      <c r="C1281" s="8">
        <v>-1.3986013986013957E-2</v>
      </c>
    </row>
    <row r="1282" spans="1:3" x14ac:dyDescent="0.45">
      <c r="A1282" s="2">
        <v>33418</v>
      </c>
      <c r="B1282" s="7">
        <v>418000</v>
      </c>
      <c r="C1282" s="8">
        <v>-1.1820330969267157E-2</v>
      </c>
    </row>
    <row r="1283" spans="1:3" x14ac:dyDescent="0.45">
      <c r="A1283" s="2">
        <v>33425</v>
      </c>
      <c r="B1283" s="7">
        <v>422000</v>
      </c>
      <c r="C1283" s="8">
        <v>9.5693779904306719E-3</v>
      </c>
    </row>
    <row r="1284" spans="1:3" x14ac:dyDescent="0.45">
      <c r="A1284" s="2">
        <v>33432</v>
      </c>
      <c r="B1284" s="7">
        <v>420000</v>
      </c>
      <c r="C1284" s="8">
        <v>-4.7393364928910442E-3</v>
      </c>
    </row>
    <row r="1285" spans="1:3" x14ac:dyDescent="0.45">
      <c r="A1285" s="2">
        <v>33439</v>
      </c>
      <c r="B1285" s="7">
        <v>408000</v>
      </c>
      <c r="C1285" s="8">
        <v>-2.8571428571428581E-2</v>
      </c>
    </row>
    <row r="1286" spans="1:3" x14ac:dyDescent="0.45">
      <c r="A1286" s="2">
        <v>33446</v>
      </c>
      <c r="B1286" s="7">
        <v>423000</v>
      </c>
      <c r="C1286" s="8">
        <v>3.6764705882353033E-2</v>
      </c>
    </row>
    <row r="1287" spans="1:3" x14ac:dyDescent="0.45">
      <c r="A1287" s="2">
        <v>33453</v>
      </c>
      <c r="B1287" s="7">
        <v>438000</v>
      </c>
      <c r="C1287" s="8">
        <v>3.5460992907801359E-2</v>
      </c>
    </row>
    <row r="1288" spans="1:3" x14ac:dyDescent="0.45">
      <c r="A1288" s="2">
        <v>33460</v>
      </c>
      <c r="B1288" s="7">
        <v>437000</v>
      </c>
      <c r="C1288" s="8">
        <v>-2.2831050228310223E-3</v>
      </c>
    </row>
    <row r="1289" spans="1:3" x14ac:dyDescent="0.45">
      <c r="A1289" s="2">
        <v>33467</v>
      </c>
      <c r="B1289" s="7">
        <v>433000</v>
      </c>
      <c r="C1289" s="8">
        <v>-9.1533180778031742E-3</v>
      </c>
    </row>
    <row r="1290" spans="1:3" x14ac:dyDescent="0.45">
      <c r="A1290" s="2">
        <v>33474</v>
      </c>
      <c r="B1290" s="7">
        <v>425000</v>
      </c>
      <c r="C1290" s="8">
        <v>-1.8475750577367167E-2</v>
      </c>
    </row>
    <row r="1291" spans="1:3" x14ac:dyDescent="0.45">
      <c r="A1291" s="2">
        <v>33481</v>
      </c>
      <c r="B1291" s="7">
        <v>425000</v>
      </c>
      <c r="C1291" s="8">
        <v>0</v>
      </c>
    </row>
    <row r="1292" spans="1:3" x14ac:dyDescent="0.45">
      <c r="A1292" s="2">
        <v>33488</v>
      </c>
      <c r="B1292" s="7">
        <v>424000</v>
      </c>
      <c r="C1292" s="8">
        <v>-2.3529411764705577E-3</v>
      </c>
    </row>
    <row r="1293" spans="1:3" x14ac:dyDescent="0.45">
      <c r="A1293" s="2">
        <v>33495</v>
      </c>
      <c r="B1293" s="7">
        <v>418000</v>
      </c>
      <c r="C1293" s="8">
        <v>-1.4150943396226467E-2</v>
      </c>
    </row>
    <row r="1294" spans="1:3" x14ac:dyDescent="0.45">
      <c r="A1294" s="2">
        <v>33502</v>
      </c>
      <c r="B1294" s="7">
        <v>419000</v>
      </c>
      <c r="C1294" s="8">
        <v>2.3923444976077235E-3</v>
      </c>
    </row>
    <row r="1295" spans="1:3" x14ac:dyDescent="0.45">
      <c r="A1295" s="2">
        <v>33509</v>
      </c>
      <c r="B1295" s="7">
        <v>437000</v>
      </c>
      <c r="C1295" s="8">
        <v>4.2959427207637235E-2</v>
      </c>
    </row>
    <row r="1296" spans="1:3" x14ac:dyDescent="0.45">
      <c r="A1296" s="2">
        <v>33516</v>
      </c>
      <c r="B1296" s="7">
        <v>424000</v>
      </c>
      <c r="C1296" s="8">
        <v>-2.9748283752860427E-2</v>
      </c>
    </row>
    <row r="1297" spans="1:3" x14ac:dyDescent="0.45">
      <c r="A1297" s="2">
        <v>33523</v>
      </c>
      <c r="B1297" s="7">
        <v>425000</v>
      </c>
      <c r="C1297" s="8">
        <v>2.3584905660376521E-3</v>
      </c>
    </row>
    <row r="1298" spans="1:3" x14ac:dyDescent="0.45">
      <c r="A1298" s="2">
        <v>33530</v>
      </c>
      <c r="B1298" s="7">
        <v>419000</v>
      </c>
      <c r="C1298" s="8">
        <v>-1.4117647058823568E-2</v>
      </c>
    </row>
    <row r="1299" spans="1:3" x14ac:dyDescent="0.45">
      <c r="A1299" s="2">
        <v>33537</v>
      </c>
      <c r="B1299" s="7">
        <v>423000</v>
      </c>
      <c r="C1299" s="8">
        <v>9.5465393794749165E-3</v>
      </c>
    </row>
    <row r="1300" spans="1:3" x14ac:dyDescent="0.45">
      <c r="A1300" s="2">
        <v>33544</v>
      </c>
      <c r="B1300" s="7">
        <v>447000</v>
      </c>
      <c r="C1300" s="8">
        <v>5.6737588652482351E-2</v>
      </c>
    </row>
    <row r="1301" spans="1:3" x14ac:dyDescent="0.45">
      <c r="A1301" s="2">
        <v>33551</v>
      </c>
      <c r="B1301" s="7">
        <v>453000</v>
      </c>
      <c r="C1301" s="8">
        <v>1.3422818791946289E-2</v>
      </c>
    </row>
    <row r="1302" spans="1:3" x14ac:dyDescent="0.45">
      <c r="A1302" s="2">
        <v>33558</v>
      </c>
      <c r="B1302" s="7">
        <v>439000</v>
      </c>
      <c r="C1302" s="8">
        <v>-3.0905077262693204E-2</v>
      </c>
    </row>
    <row r="1303" spans="1:3" x14ac:dyDescent="0.45">
      <c r="A1303" s="2">
        <v>33565</v>
      </c>
      <c r="B1303" s="7">
        <v>444000</v>
      </c>
      <c r="C1303" s="8">
        <v>1.1389521640091216E-2</v>
      </c>
    </row>
    <row r="1304" spans="1:3" x14ac:dyDescent="0.45">
      <c r="A1304" s="2">
        <v>33572</v>
      </c>
      <c r="B1304" s="7">
        <v>444000</v>
      </c>
      <c r="C1304" s="8">
        <v>0</v>
      </c>
    </row>
    <row r="1305" spans="1:3" x14ac:dyDescent="0.45">
      <c r="A1305" s="2">
        <v>33579</v>
      </c>
      <c r="B1305" s="7">
        <v>475000</v>
      </c>
      <c r="C1305" s="8">
        <v>6.9819819819819884E-2</v>
      </c>
    </row>
    <row r="1306" spans="1:3" x14ac:dyDescent="0.45">
      <c r="A1306" s="2">
        <v>33586</v>
      </c>
      <c r="B1306" s="7">
        <v>475000</v>
      </c>
      <c r="C1306" s="8">
        <v>0</v>
      </c>
    </row>
    <row r="1307" spans="1:3" x14ac:dyDescent="0.45">
      <c r="A1307" s="2">
        <v>33593</v>
      </c>
      <c r="B1307" s="7">
        <v>436000</v>
      </c>
      <c r="C1307" s="8">
        <v>-8.2105263157894792E-2</v>
      </c>
    </row>
    <row r="1308" spans="1:3" x14ac:dyDescent="0.45">
      <c r="A1308" s="2">
        <v>33600</v>
      </c>
      <c r="B1308" s="7">
        <v>441000</v>
      </c>
      <c r="C1308" s="8">
        <v>1.1467889908256979E-2</v>
      </c>
    </row>
    <row r="1309" spans="1:3" x14ac:dyDescent="0.45">
      <c r="A1309" s="2">
        <v>33607</v>
      </c>
      <c r="B1309" s="7">
        <v>432000</v>
      </c>
      <c r="C1309" s="8">
        <v>-2.0408163265306145E-2</v>
      </c>
    </row>
    <row r="1310" spans="1:3" x14ac:dyDescent="0.45">
      <c r="A1310" s="2">
        <v>33614</v>
      </c>
      <c r="B1310" s="7">
        <v>440000</v>
      </c>
      <c r="C1310" s="8">
        <v>1.8518518518518601E-2</v>
      </c>
    </row>
    <row r="1311" spans="1:3" x14ac:dyDescent="0.45">
      <c r="A1311" s="2">
        <v>33621</v>
      </c>
      <c r="B1311" s="7">
        <v>443000</v>
      </c>
      <c r="C1311" s="8">
        <v>6.8181818181818343E-3</v>
      </c>
    </row>
    <row r="1312" spans="1:3" x14ac:dyDescent="0.45">
      <c r="A1312" s="2">
        <v>33628</v>
      </c>
      <c r="B1312" s="7">
        <v>441000</v>
      </c>
      <c r="C1312" s="8">
        <v>-4.5146726862302922E-3</v>
      </c>
    </row>
    <row r="1313" spans="1:3" x14ac:dyDescent="0.45">
      <c r="A1313" s="2">
        <v>33635</v>
      </c>
      <c r="B1313" s="7">
        <v>440000</v>
      </c>
      <c r="C1313" s="8">
        <v>-2.2675736961451642E-3</v>
      </c>
    </row>
    <row r="1314" spans="1:3" x14ac:dyDescent="0.45">
      <c r="A1314" s="2">
        <v>33642</v>
      </c>
      <c r="B1314" s="7">
        <v>445000</v>
      </c>
      <c r="C1314" s="8">
        <v>1.1363636363636465E-2</v>
      </c>
    </row>
    <row r="1315" spans="1:3" x14ac:dyDescent="0.45">
      <c r="A1315" s="2">
        <v>33649</v>
      </c>
      <c r="B1315" s="7">
        <v>446000</v>
      </c>
      <c r="C1315" s="8">
        <v>2.2471910112360494E-3</v>
      </c>
    </row>
    <row r="1316" spans="1:3" x14ac:dyDescent="0.45">
      <c r="A1316" s="2">
        <v>33656</v>
      </c>
      <c r="B1316" s="7">
        <v>436000</v>
      </c>
      <c r="C1316" s="8">
        <v>-2.2421524663677084E-2</v>
      </c>
    </row>
    <row r="1317" spans="1:3" x14ac:dyDescent="0.45">
      <c r="A1317" s="2">
        <v>33663</v>
      </c>
      <c r="B1317" s="7">
        <v>444000</v>
      </c>
      <c r="C1317" s="8">
        <v>1.8348623853210899E-2</v>
      </c>
    </row>
    <row r="1318" spans="1:3" x14ac:dyDescent="0.45">
      <c r="A1318" s="2">
        <v>33670</v>
      </c>
      <c r="B1318" s="7">
        <v>421000</v>
      </c>
      <c r="C1318" s="8">
        <v>-5.1801801801801828E-2</v>
      </c>
    </row>
    <row r="1319" spans="1:3" x14ac:dyDescent="0.45">
      <c r="A1319" s="2">
        <v>33677</v>
      </c>
      <c r="B1319" s="7">
        <v>437000</v>
      </c>
      <c r="C1319" s="8">
        <v>3.8004750593824133E-2</v>
      </c>
    </row>
    <row r="1320" spans="1:3" x14ac:dyDescent="0.45">
      <c r="A1320" s="2">
        <v>33684</v>
      </c>
      <c r="B1320" s="7">
        <v>440000</v>
      </c>
      <c r="C1320" s="8">
        <v>6.8649885583524917E-3</v>
      </c>
    </row>
    <row r="1321" spans="1:3" x14ac:dyDescent="0.45">
      <c r="A1321" s="2">
        <v>33691</v>
      </c>
      <c r="B1321" s="7">
        <v>420000</v>
      </c>
      <c r="C1321" s="8">
        <v>-4.5454545454545414E-2</v>
      </c>
    </row>
    <row r="1322" spans="1:3" x14ac:dyDescent="0.45">
      <c r="A1322" s="2">
        <v>33698</v>
      </c>
      <c r="B1322" s="7">
        <v>412000</v>
      </c>
      <c r="C1322" s="8">
        <v>-1.9047619047619091E-2</v>
      </c>
    </row>
    <row r="1323" spans="1:3" x14ac:dyDescent="0.45">
      <c r="A1323" s="2">
        <v>33705</v>
      </c>
      <c r="B1323" s="7">
        <v>413000</v>
      </c>
      <c r="C1323" s="8">
        <v>2.4271844660195274E-3</v>
      </c>
    </row>
    <row r="1324" spans="1:3" x14ac:dyDescent="0.45">
      <c r="A1324" s="2">
        <v>33712</v>
      </c>
      <c r="B1324" s="7">
        <v>424000</v>
      </c>
      <c r="C1324" s="8">
        <v>2.6634382566586012E-2</v>
      </c>
    </row>
    <row r="1325" spans="1:3" x14ac:dyDescent="0.45">
      <c r="A1325" s="2">
        <v>33719</v>
      </c>
      <c r="B1325" s="7">
        <v>424000</v>
      </c>
      <c r="C1325" s="8">
        <v>0</v>
      </c>
    </row>
    <row r="1326" spans="1:3" x14ac:dyDescent="0.45">
      <c r="A1326" s="2">
        <v>33726</v>
      </c>
      <c r="B1326" s="7">
        <v>431000</v>
      </c>
      <c r="C1326" s="8">
        <v>1.6509433962264231E-2</v>
      </c>
    </row>
    <row r="1327" spans="1:3" x14ac:dyDescent="0.45">
      <c r="A1327" s="2">
        <v>33733</v>
      </c>
      <c r="B1327" s="7">
        <v>417000</v>
      </c>
      <c r="C1327" s="8">
        <v>-3.2482598607888602E-2</v>
      </c>
    </row>
    <row r="1328" spans="1:3" x14ac:dyDescent="0.45">
      <c r="A1328" s="2">
        <v>33740</v>
      </c>
      <c r="B1328" s="7">
        <v>414000</v>
      </c>
      <c r="C1328" s="8">
        <v>-7.194244604316502E-3</v>
      </c>
    </row>
    <row r="1329" spans="1:3" x14ac:dyDescent="0.45">
      <c r="A1329" s="2">
        <v>33747</v>
      </c>
      <c r="B1329" s="7">
        <v>414000</v>
      </c>
      <c r="C1329" s="8">
        <v>0</v>
      </c>
    </row>
    <row r="1330" spans="1:3" x14ac:dyDescent="0.45">
      <c r="A1330" s="2">
        <v>33754</v>
      </c>
      <c r="B1330" s="7">
        <v>411000</v>
      </c>
      <c r="C1330" s="8">
        <v>-7.2463768115942351E-3</v>
      </c>
    </row>
    <row r="1331" spans="1:3" x14ac:dyDescent="0.45">
      <c r="A1331" s="2">
        <v>33761</v>
      </c>
      <c r="B1331" s="7">
        <v>416000</v>
      </c>
      <c r="C1331" s="8">
        <v>1.2165450121654597E-2</v>
      </c>
    </row>
    <row r="1332" spans="1:3" x14ac:dyDescent="0.45">
      <c r="A1332" s="2">
        <v>33768</v>
      </c>
      <c r="B1332" s="7">
        <v>420000</v>
      </c>
      <c r="C1332" s="8">
        <v>9.6153846153845812E-3</v>
      </c>
    </row>
    <row r="1333" spans="1:3" x14ac:dyDescent="0.45">
      <c r="A1333" s="2">
        <v>33775</v>
      </c>
      <c r="B1333" s="7">
        <v>419000</v>
      </c>
      <c r="C1333" s="8">
        <v>-2.3809523809523725E-3</v>
      </c>
    </row>
    <row r="1334" spans="1:3" x14ac:dyDescent="0.45">
      <c r="A1334" s="2">
        <v>33782</v>
      </c>
      <c r="B1334" s="7">
        <v>420000</v>
      </c>
      <c r="C1334" s="8">
        <v>2.3866348448686736E-3</v>
      </c>
    </row>
    <row r="1335" spans="1:3" x14ac:dyDescent="0.45">
      <c r="A1335" s="2">
        <v>33789</v>
      </c>
      <c r="B1335" s="7">
        <v>407000</v>
      </c>
      <c r="C1335" s="8">
        <v>-3.0952380952380953E-2</v>
      </c>
    </row>
    <row r="1336" spans="1:3" x14ac:dyDescent="0.45">
      <c r="A1336" s="2">
        <v>33796</v>
      </c>
      <c r="B1336" s="7">
        <v>408000</v>
      </c>
      <c r="C1336" s="8">
        <v>2.4570024570025328E-3</v>
      </c>
    </row>
    <row r="1337" spans="1:3" x14ac:dyDescent="0.45">
      <c r="A1337" s="2">
        <v>33803</v>
      </c>
      <c r="B1337" s="7">
        <v>392000</v>
      </c>
      <c r="C1337" s="8">
        <v>-3.9215686274509776E-2</v>
      </c>
    </row>
    <row r="1338" spans="1:3" x14ac:dyDescent="0.45">
      <c r="A1338" s="2">
        <v>33810</v>
      </c>
      <c r="B1338" s="7">
        <v>564000</v>
      </c>
      <c r="C1338" s="8">
        <v>0.43877551020408156</v>
      </c>
    </row>
    <row r="1339" spans="1:3" x14ac:dyDescent="0.45">
      <c r="A1339" s="2">
        <v>33817</v>
      </c>
      <c r="B1339" s="7">
        <v>423000</v>
      </c>
      <c r="C1339" s="8">
        <v>-0.25</v>
      </c>
    </row>
    <row r="1340" spans="1:3" x14ac:dyDescent="0.45">
      <c r="A1340" s="2">
        <v>33824</v>
      </c>
      <c r="B1340" s="7">
        <v>406000</v>
      </c>
      <c r="C1340" s="8">
        <v>-4.0189125295508221E-2</v>
      </c>
    </row>
    <row r="1341" spans="1:3" x14ac:dyDescent="0.45">
      <c r="A1341" s="2">
        <v>33831</v>
      </c>
      <c r="B1341" s="7">
        <v>401000</v>
      </c>
      <c r="C1341" s="8">
        <v>-1.2315270935960632E-2</v>
      </c>
    </row>
    <row r="1342" spans="1:3" x14ac:dyDescent="0.45">
      <c r="A1342" s="2">
        <v>33838</v>
      </c>
      <c r="B1342" s="7">
        <v>398000</v>
      </c>
      <c r="C1342" s="8">
        <v>-7.4812967581047163E-3</v>
      </c>
    </row>
    <row r="1343" spans="1:3" x14ac:dyDescent="0.45">
      <c r="A1343" s="2">
        <v>33845</v>
      </c>
      <c r="B1343" s="7">
        <v>408000</v>
      </c>
      <c r="C1343" s="8">
        <v>2.5125628140703515E-2</v>
      </c>
    </row>
    <row r="1344" spans="1:3" x14ac:dyDescent="0.45">
      <c r="A1344" s="2">
        <v>33852</v>
      </c>
      <c r="B1344" s="7">
        <v>416000</v>
      </c>
      <c r="C1344" s="8">
        <v>1.9607843137254832E-2</v>
      </c>
    </row>
    <row r="1345" spans="1:3" x14ac:dyDescent="0.45">
      <c r="A1345" s="2">
        <v>33859</v>
      </c>
      <c r="B1345" s="7">
        <v>416000</v>
      </c>
      <c r="C1345" s="8">
        <v>0</v>
      </c>
    </row>
    <row r="1346" spans="1:3" x14ac:dyDescent="0.45">
      <c r="A1346" s="2">
        <v>33866</v>
      </c>
      <c r="B1346" s="7">
        <v>427000</v>
      </c>
      <c r="C1346" s="8">
        <v>2.6442307692307709E-2</v>
      </c>
    </row>
    <row r="1347" spans="1:3" x14ac:dyDescent="0.45">
      <c r="A1347" s="2">
        <v>33873</v>
      </c>
      <c r="B1347" s="7">
        <v>409000</v>
      </c>
      <c r="C1347" s="8">
        <v>-4.2154566744730726E-2</v>
      </c>
    </row>
    <row r="1348" spans="1:3" x14ac:dyDescent="0.45">
      <c r="A1348" s="2">
        <v>33880</v>
      </c>
      <c r="B1348" s="7">
        <v>398000</v>
      </c>
      <c r="C1348" s="8">
        <v>-2.6894865525672329E-2</v>
      </c>
    </row>
    <row r="1349" spans="1:3" x14ac:dyDescent="0.45">
      <c r="A1349" s="2">
        <v>33887</v>
      </c>
      <c r="B1349" s="7">
        <v>374000</v>
      </c>
      <c r="C1349" s="8">
        <v>-6.0301507537688481E-2</v>
      </c>
    </row>
    <row r="1350" spans="1:3" x14ac:dyDescent="0.45">
      <c r="A1350" s="2">
        <v>33894</v>
      </c>
      <c r="B1350" s="7">
        <v>385000</v>
      </c>
      <c r="C1350" s="8">
        <v>2.9411764705882248E-2</v>
      </c>
    </row>
    <row r="1351" spans="1:3" x14ac:dyDescent="0.45">
      <c r="A1351" s="2">
        <v>33901</v>
      </c>
      <c r="B1351" s="7">
        <v>367000</v>
      </c>
      <c r="C1351" s="8">
        <v>-4.6753246753246769E-2</v>
      </c>
    </row>
    <row r="1352" spans="1:3" x14ac:dyDescent="0.45">
      <c r="A1352" s="2">
        <v>33908</v>
      </c>
      <c r="B1352" s="7">
        <v>365000</v>
      </c>
      <c r="C1352" s="8">
        <v>-5.4495912806539204E-3</v>
      </c>
    </row>
    <row r="1353" spans="1:3" x14ac:dyDescent="0.45">
      <c r="A1353" s="2">
        <v>33915</v>
      </c>
      <c r="B1353" s="7">
        <v>374000</v>
      </c>
      <c r="C1353" s="8">
        <v>2.4657534246575352E-2</v>
      </c>
    </row>
    <row r="1354" spans="1:3" x14ac:dyDescent="0.45">
      <c r="A1354" s="2">
        <v>33922</v>
      </c>
      <c r="B1354" s="7">
        <v>377000</v>
      </c>
      <c r="C1354" s="8">
        <v>8.0213903743315829E-3</v>
      </c>
    </row>
    <row r="1355" spans="1:3" x14ac:dyDescent="0.45">
      <c r="A1355" s="2">
        <v>33929</v>
      </c>
      <c r="B1355" s="7">
        <v>357000</v>
      </c>
      <c r="C1355" s="8">
        <v>-5.3050397877984046E-2</v>
      </c>
    </row>
    <row r="1356" spans="1:3" x14ac:dyDescent="0.45">
      <c r="A1356" s="2">
        <v>33936</v>
      </c>
      <c r="B1356" s="7">
        <v>341000</v>
      </c>
      <c r="C1356" s="8">
        <v>-4.4817927170868299E-2</v>
      </c>
    </row>
    <row r="1357" spans="1:3" x14ac:dyDescent="0.45">
      <c r="A1357" s="2">
        <v>33943</v>
      </c>
      <c r="B1357" s="7">
        <v>350000</v>
      </c>
      <c r="C1357" s="8">
        <v>2.6392961876832821E-2</v>
      </c>
    </row>
    <row r="1358" spans="1:3" x14ac:dyDescent="0.45">
      <c r="A1358" s="2">
        <v>33950</v>
      </c>
      <c r="B1358" s="7">
        <v>359000</v>
      </c>
      <c r="C1358" s="8">
        <v>2.5714285714285801E-2</v>
      </c>
    </row>
    <row r="1359" spans="1:3" x14ac:dyDescent="0.45">
      <c r="A1359" s="2">
        <v>33957</v>
      </c>
      <c r="B1359" s="7">
        <v>334000</v>
      </c>
      <c r="C1359" s="8">
        <v>-6.9637883008356494E-2</v>
      </c>
    </row>
    <row r="1360" spans="1:3" x14ac:dyDescent="0.45">
      <c r="A1360" s="2">
        <v>33964</v>
      </c>
      <c r="B1360" s="7">
        <v>313000</v>
      </c>
      <c r="C1360" s="8">
        <v>-6.2874251497005984E-2</v>
      </c>
    </row>
    <row r="1361" spans="1:3" x14ac:dyDescent="0.45">
      <c r="A1361" s="2">
        <v>33971</v>
      </c>
      <c r="B1361" s="7">
        <v>341000</v>
      </c>
      <c r="C1361" s="8">
        <v>8.9456869009584716E-2</v>
      </c>
    </row>
    <row r="1362" spans="1:3" x14ac:dyDescent="0.45">
      <c r="A1362" s="2">
        <v>33978</v>
      </c>
      <c r="B1362" s="7">
        <v>354000</v>
      </c>
      <c r="C1362" s="8">
        <v>3.8123167155425186E-2</v>
      </c>
    </row>
    <row r="1363" spans="1:3" x14ac:dyDescent="0.45">
      <c r="A1363" s="2">
        <v>33985</v>
      </c>
      <c r="B1363" s="7">
        <v>352000</v>
      </c>
      <c r="C1363" s="8">
        <v>-5.6497175141242417E-3</v>
      </c>
    </row>
    <row r="1364" spans="1:3" x14ac:dyDescent="0.45">
      <c r="A1364" s="2">
        <v>33992</v>
      </c>
      <c r="B1364" s="7">
        <v>341000</v>
      </c>
      <c r="C1364" s="8">
        <v>-3.125E-2</v>
      </c>
    </row>
    <row r="1365" spans="1:3" x14ac:dyDescent="0.45">
      <c r="A1365" s="2">
        <v>33999</v>
      </c>
      <c r="B1365" s="7">
        <v>340000</v>
      </c>
      <c r="C1365" s="8">
        <v>-2.9325513196480912E-3</v>
      </c>
    </row>
    <row r="1366" spans="1:3" x14ac:dyDescent="0.45">
      <c r="A1366" s="2">
        <v>34006</v>
      </c>
      <c r="B1366" s="7">
        <v>319000</v>
      </c>
      <c r="C1366" s="8">
        <v>-6.1764705882352944E-2</v>
      </c>
    </row>
    <row r="1367" spans="1:3" x14ac:dyDescent="0.45">
      <c r="A1367" s="2">
        <v>34013</v>
      </c>
      <c r="B1367" s="7">
        <v>321000</v>
      </c>
      <c r="C1367" s="8">
        <v>6.2695924764890609E-3</v>
      </c>
    </row>
    <row r="1368" spans="1:3" x14ac:dyDescent="0.45">
      <c r="A1368" s="2">
        <v>34020</v>
      </c>
      <c r="B1368" s="7">
        <v>351000</v>
      </c>
      <c r="C1368" s="8">
        <v>9.3457943925233655E-2</v>
      </c>
    </row>
    <row r="1369" spans="1:3" x14ac:dyDescent="0.45">
      <c r="A1369" s="2">
        <v>34027</v>
      </c>
      <c r="B1369" s="7">
        <v>362000</v>
      </c>
      <c r="C1369" s="8">
        <v>3.1339031339031376E-2</v>
      </c>
    </row>
    <row r="1370" spans="1:3" x14ac:dyDescent="0.45">
      <c r="A1370" s="2">
        <v>34034</v>
      </c>
      <c r="B1370" s="7">
        <v>354000</v>
      </c>
      <c r="C1370" s="8">
        <v>-2.2099447513812209E-2</v>
      </c>
    </row>
    <row r="1371" spans="1:3" x14ac:dyDescent="0.45">
      <c r="A1371" s="2">
        <v>34041</v>
      </c>
      <c r="B1371" s="7">
        <v>346000</v>
      </c>
      <c r="C1371" s="8">
        <v>-2.2598870056497189E-2</v>
      </c>
    </row>
    <row r="1372" spans="1:3" x14ac:dyDescent="0.45">
      <c r="A1372" s="2">
        <v>34048</v>
      </c>
      <c r="B1372" s="7">
        <v>338000</v>
      </c>
      <c r="C1372" s="8">
        <v>-2.3121387283236983E-2</v>
      </c>
    </row>
    <row r="1373" spans="1:3" x14ac:dyDescent="0.45">
      <c r="A1373" s="2">
        <v>34055</v>
      </c>
      <c r="B1373" s="7">
        <v>366000</v>
      </c>
      <c r="C1373" s="8">
        <v>8.2840236686390512E-2</v>
      </c>
    </row>
    <row r="1374" spans="1:3" x14ac:dyDescent="0.45">
      <c r="A1374" s="2">
        <v>34062</v>
      </c>
      <c r="B1374" s="7">
        <v>365000</v>
      </c>
      <c r="C1374" s="8">
        <v>-2.732240437158473E-3</v>
      </c>
    </row>
    <row r="1375" spans="1:3" x14ac:dyDescent="0.45">
      <c r="A1375" s="2">
        <v>34069</v>
      </c>
      <c r="B1375" s="7">
        <v>353000</v>
      </c>
      <c r="C1375" s="8">
        <v>-3.2876712328767099E-2</v>
      </c>
    </row>
    <row r="1376" spans="1:3" x14ac:dyDescent="0.45">
      <c r="A1376" s="2">
        <v>34076</v>
      </c>
      <c r="B1376" s="7">
        <v>351000</v>
      </c>
      <c r="C1376" s="8">
        <v>-5.6657223796033884E-3</v>
      </c>
    </row>
    <row r="1377" spans="1:3" x14ac:dyDescent="0.45">
      <c r="A1377" s="2">
        <v>34083</v>
      </c>
      <c r="B1377" s="7">
        <v>350000</v>
      </c>
      <c r="C1377" s="8">
        <v>-2.8490028490028019E-3</v>
      </c>
    </row>
    <row r="1378" spans="1:3" x14ac:dyDescent="0.45">
      <c r="A1378" s="2">
        <v>34090</v>
      </c>
      <c r="B1378" s="7">
        <v>343000</v>
      </c>
      <c r="C1378" s="8">
        <v>-2.0000000000000018E-2</v>
      </c>
    </row>
    <row r="1379" spans="1:3" x14ac:dyDescent="0.45">
      <c r="A1379" s="2">
        <v>34097</v>
      </c>
      <c r="B1379" s="7">
        <v>339000</v>
      </c>
      <c r="C1379" s="8">
        <v>-1.1661807580174877E-2</v>
      </c>
    </row>
    <row r="1380" spans="1:3" x14ac:dyDescent="0.45">
      <c r="A1380" s="2">
        <v>34104</v>
      </c>
      <c r="B1380" s="7">
        <v>345000</v>
      </c>
      <c r="C1380" s="8">
        <v>1.7699115044247815E-2</v>
      </c>
    </row>
    <row r="1381" spans="1:3" x14ac:dyDescent="0.45">
      <c r="A1381" s="2">
        <v>34111</v>
      </c>
      <c r="B1381" s="7">
        <v>342000</v>
      </c>
      <c r="C1381" s="8">
        <v>-8.6956521739129933E-3</v>
      </c>
    </row>
    <row r="1382" spans="1:3" x14ac:dyDescent="0.45">
      <c r="A1382" s="2">
        <v>34118</v>
      </c>
      <c r="B1382" s="7">
        <v>349000</v>
      </c>
      <c r="C1382" s="8">
        <v>2.0467836257309857E-2</v>
      </c>
    </row>
    <row r="1383" spans="1:3" x14ac:dyDescent="0.45">
      <c r="A1383" s="2">
        <v>34125</v>
      </c>
      <c r="B1383" s="7">
        <v>343000</v>
      </c>
      <c r="C1383" s="8">
        <v>-1.7191977077363862E-2</v>
      </c>
    </row>
    <row r="1384" spans="1:3" x14ac:dyDescent="0.45">
      <c r="A1384" s="2">
        <v>34132</v>
      </c>
      <c r="B1384" s="7">
        <v>343000</v>
      </c>
      <c r="C1384" s="8">
        <v>0</v>
      </c>
    </row>
    <row r="1385" spans="1:3" x14ac:dyDescent="0.45">
      <c r="A1385" s="2">
        <v>34139</v>
      </c>
      <c r="B1385" s="7">
        <v>345000</v>
      </c>
      <c r="C1385" s="8">
        <v>5.8309037900874383E-3</v>
      </c>
    </row>
    <row r="1386" spans="1:3" x14ac:dyDescent="0.45">
      <c r="A1386" s="2">
        <v>34146</v>
      </c>
      <c r="B1386" s="7">
        <v>340000</v>
      </c>
      <c r="C1386" s="8">
        <v>-1.4492753623188359E-2</v>
      </c>
    </row>
    <row r="1387" spans="1:3" x14ac:dyDescent="0.45">
      <c r="A1387" s="2">
        <v>34153</v>
      </c>
      <c r="B1387" s="7">
        <v>334000</v>
      </c>
      <c r="C1387" s="8">
        <v>-1.764705882352946E-2</v>
      </c>
    </row>
    <row r="1388" spans="1:3" x14ac:dyDescent="0.45">
      <c r="A1388" s="2">
        <v>34160</v>
      </c>
      <c r="B1388" s="7">
        <v>314000</v>
      </c>
      <c r="C1388" s="8">
        <v>-5.9880239520958112E-2</v>
      </c>
    </row>
    <row r="1389" spans="1:3" x14ac:dyDescent="0.45">
      <c r="A1389" s="2">
        <v>34167</v>
      </c>
      <c r="B1389" s="7">
        <v>335000</v>
      </c>
      <c r="C1389" s="8">
        <v>6.6878980891719841E-2</v>
      </c>
    </row>
    <row r="1390" spans="1:3" x14ac:dyDescent="0.45">
      <c r="A1390" s="2">
        <v>34174</v>
      </c>
      <c r="B1390" s="7">
        <v>415000</v>
      </c>
      <c r="C1390" s="8">
        <v>0.23880597014925375</v>
      </c>
    </row>
    <row r="1391" spans="1:3" x14ac:dyDescent="0.45">
      <c r="A1391" s="2">
        <v>34181</v>
      </c>
      <c r="B1391" s="7">
        <v>356000</v>
      </c>
      <c r="C1391" s="8">
        <v>-0.14216867469879513</v>
      </c>
    </row>
    <row r="1392" spans="1:3" x14ac:dyDescent="0.45">
      <c r="A1392" s="2">
        <v>34188</v>
      </c>
      <c r="B1392" s="7">
        <v>346000</v>
      </c>
      <c r="C1392" s="8">
        <v>-2.8089887640449396E-2</v>
      </c>
    </row>
    <row r="1393" spans="1:3" x14ac:dyDescent="0.45">
      <c r="A1393" s="2">
        <v>34195</v>
      </c>
      <c r="B1393" s="7">
        <v>339000</v>
      </c>
      <c r="C1393" s="8">
        <v>-2.0231213872832332E-2</v>
      </c>
    </row>
    <row r="1394" spans="1:3" x14ac:dyDescent="0.45">
      <c r="A1394" s="2">
        <v>34202</v>
      </c>
      <c r="B1394" s="7">
        <v>342000</v>
      </c>
      <c r="C1394" s="8">
        <v>8.8495575221239076E-3</v>
      </c>
    </row>
    <row r="1395" spans="1:3" x14ac:dyDescent="0.45">
      <c r="A1395" s="2">
        <v>34209</v>
      </c>
      <c r="B1395" s="7">
        <v>337000</v>
      </c>
      <c r="C1395" s="8">
        <v>-1.4619883040935644E-2</v>
      </c>
    </row>
    <row r="1396" spans="1:3" x14ac:dyDescent="0.45">
      <c r="A1396" s="2">
        <v>34216</v>
      </c>
      <c r="B1396" s="7">
        <v>334000</v>
      </c>
      <c r="C1396" s="8">
        <v>-8.9020771513352859E-3</v>
      </c>
    </row>
    <row r="1397" spans="1:3" x14ac:dyDescent="0.45">
      <c r="A1397" s="2">
        <v>34223</v>
      </c>
      <c r="B1397" s="7">
        <v>333000</v>
      </c>
      <c r="C1397" s="8">
        <v>-2.9940119760478723E-3</v>
      </c>
    </row>
    <row r="1398" spans="1:3" x14ac:dyDescent="0.45">
      <c r="A1398" s="2">
        <v>34230</v>
      </c>
      <c r="B1398" s="7">
        <v>346000</v>
      </c>
      <c r="C1398" s="8">
        <v>3.9039039039038936E-2</v>
      </c>
    </row>
    <row r="1399" spans="1:3" x14ac:dyDescent="0.45">
      <c r="A1399" s="2">
        <v>34237</v>
      </c>
      <c r="B1399" s="7">
        <v>343000</v>
      </c>
      <c r="C1399" s="8">
        <v>-8.6705202312138407E-3</v>
      </c>
    </row>
    <row r="1400" spans="1:3" x14ac:dyDescent="0.45">
      <c r="A1400" s="2">
        <v>34244</v>
      </c>
      <c r="B1400" s="7">
        <v>333000</v>
      </c>
      <c r="C1400" s="8">
        <v>-2.9154518950437303E-2</v>
      </c>
    </row>
    <row r="1401" spans="1:3" x14ac:dyDescent="0.45">
      <c r="A1401" s="2">
        <v>34251</v>
      </c>
      <c r="B1401" s="7">
        <v>355000</v>
      </c>
      <c r="C1401" s="8">
        <v>6.6066066066066131E-2</v>
      </c>
    </row>
    <row r="1402" spans="1:3" x14ac:dyDescent="0.45">
      <c r="A1402" s="2">
        <v>34258</v>
      </c>
      <c r="B1402" s="7">
        <v>359000</v>
      </c>
      <c r="C1402" s="8">
        <v>1.1267605633802802E-2</v>
      </c>
    </row>
    <row r="1403" spans="1:3" x14ac:dyDescent="0.45">
      <c r="A1403" s="2">
        <v>34265</v>
      </c>
      <c r="B1403" s="7">
        <v>354000</v>
      </c>
      <c r="C1403" s="8">
        <v>-1.3927576601671321E-2</v>
      </c>
    </row>
    <row r="1404" spans="1:3" x14ac:dyDescent="0.45">
      <c r="A1404" s="2">
        <v>34272</v>
      </c>
      <c r="B1404" s="7">
        <v>348000</v>
      </c>
      <c r="C1404" s="8">
        <v>-1.6949152542372836E-2</v>
      </c>
    </row>
    <row r="1405" spans="1:3" x14ac:dyDescent="0.45">
      <c r="A1405" s="2">
        <v>34279</v>
      </c>
      <c r="B1405" s="7">
        <v>350000</v>
      </c>
      <c r="C1405" s="8">
        <v>5.7471264367816577E-3</v>
      </c>
    </row>
    <row r="1406" spans="1:3" x14ac:dyDescent="0.45">
      <c r="A1406" s="2">
        <v>34286</v>
      </c>
      <c r="B1406" s="7">
        <v>341000</v>
      </c>
      <c r="C1406" s="8">
        <v>-2.571428571428569E-2</v>
      </c>
    </row>
    <row r="1407" spans="1:3" x14ac:dyDescent="0.45">
      <c r="A1407" s="2">
        <v>34293</v>
      </c>
      <c r="B1407" s="7">
        <v>336000</v>
      </c>
      <c r="C1407" s="8">
        <v>-1.4662756598240456E-2</v>
      </c>
    </row>
    <row r="1408" spans="1:3" x14ac:dyDescent="0.45">
      <c r="A1408" s="2">
        <v>34300</v>
      </c>
      <c r="B1408" s="7">
        <v>337000</v>
      </c>
      <c r="C1408" s="8">
        <v>2.9761904761904656E-3</v>
      </c>
    </row>
    <row r="1409" spans="1:3" x14ac:dyDescent="0.45">
      <c r="A1409" s="2">
        <v>34307</v>
      </c>
      <c r="B1409" s="7">
        <v>337000</v>
      </c>
      <c r="C1409" s="8">
        <v>0</v>
      </c>
    </row>
    <row r="1410" spans="1:3" x14ac:dyDescent="0.45">
      <c r="A1410" s="2">
        <v>34314</v>
      </c>
      <c r="B1410" s="7">
        <v>334000</v>
      </c>
      <c r="C1410" s="8">
        <v>-8.9020771513352859E-3</v>
      </c>
    </row>
    <row r="1411" spans="1:3" x14ac:dyDescent="0.45">
      <c r="A1411" s="2">
        <v>34321</v>
      </c>
      <c r="B1411" s="7">
        <v>331000</v>
      </c>
      <c r="C1411" s="8">
        <v>-8.9820359281437279E-3</v>
      </c>
    </row>
    <row r="1412" spans="1:3" x14ac:dyDescent="0.45">
      <c r="A1412" s="2">
        <v>34328</v>
      </c>
      <c r="B1412" s="7">
        <v>290000</v>
      </c>
      <c r="C1412" s="8">
        <v>-0.1238670694864048</v>
      </c>
    </row>
    <row r="1413" spans="1:3" x14ac:dyDescent="0.45">
      <c r="A1413" s="2">
        <v>34335</v>
      </c>
      <c r="B1413" s="7">
        <v>341000</v>
      </c>
      <c r="C1413" s="8">
        <v>0.17586206896551726</v>
      </c>
    </row>
    <row r="1414" spans="1:3" x14ac:dyDescent="0.45">
      <c r="A1414" s="2">
        <v>34342</v>
      </c>
      <c r="B1414" s="7">
        <v>343000</v>
      </c>
      <c r="C1414" s="8">
        <v>5.8651026392961825E-3</v>
      </c>
    </row>
    <row r="1415" spans="1:3" x14ac:dyDescent="0.45">
      <c r="A1415" s="2">
        <v>34349</v>
      </c>
      <c r="B1415" s="7">
        <v>355000</v>
      </c>
      <c r="C1415" s="8">
        <v>3.4985422740524852E-2</v>
      </c>
    </row>
    <row r="1416" spans="1:3" x14ac:dyDescent="0.45">
      <c r="A1416" s="2">
        <v>34356</v>
      </c>
      <c r="B1416" s="7">
        <v>351000</v>
      </c>
      <c r="C1416" s="8">
        <v>-1.1267605633802802E-2</v>
      </c>
    </row>
    <row r="1417" spans="1:3" x14ac:dyDescent="0.45">
      <c r="A1417" s="2">
        <v>34363</v>
      </c>
      <c r="B1417" s="7">
        <v>406000</v>
      </c>
      <c r="C1417" s="8">
        <v>0.15669515669515666</v>
      </c>
    </row>
    <row r="1418" spans="1:3" x14ac:dyDescent="0.45">
      <c r="A1418" s="2">
        <v>34370</v>
      </c>
      <c r="B1418" s="7">
        <v>361000</v>
      </c>
      <c r="C1418" s="8">
        <v>-0.11083743842364535</v>
      </c>
    </row>
    <row r="1419" spans="1:3" x14ac:dyDescent="0.45">
      <c r="A1419" s="2">
        <v>34377</v>
      </c>
      <c r="B1419" s="7">
        <v>354000</v>
      </c>
      <c r="C1419" s="8">
        <v>-1.939058171745156E-2</v>
      </c>
    </row>
    <row r="1420" spans="1:3" x14ac:dyDescent="0.45">
      <c r="A1420" s="2">
        <v>34384</v>
      </c>
      <c r="B1420" s="7">
        <v>352000</v>
      </c>
      <c r="C1420" s="8">
        <v>-5.6497175141242417E-3</v>
      </c>
    </row>
    <row r="1421" spans="1:3" x14ac:dyDescent="0.45">
      <c r="A1421" s="2">
        <v>34391</v>
      </c>
      <c r="B1421" s="7">
        <v>327000</v>
      </c>
      <c r="C1421" s="8">
        <v>-7.1022727272727293E-2</v>
      </c>
    </row>
    <row r="1422" spans="1:3" x14ac:dyDescent="0.45">
      <c r="A1422" s="2">
        <v>34398</v>
      </c>
      <c r="B1422" s="7">
        <v>348000</v>
      </c>
      <c r="C1422" s="8">
        <v>6.4220183486238591E-2</v>
      </c>
    </row>
    <row r="1423" spans="1:3" x14ac:dyDescent="0.45">
      <c r="A1423" s="2">
        <v>34405</v>
      </c>
      <c r="B1423" s="7">
        <v>341000</v>
      </c>
      <c r="C1423" s="8">
        <v>-2.011494252873558E-2</v>
      </c>
    </row>
    <row r="1424" spans="1:3" x14ac:dyDescent="0.45">
      <c r="A1424" s="2">
        <v>34412</v>
      </c>
      <c r="B1424" s="7">
        <v>332000</v>
      </c>
      <c r="C1424" s="8">
        <v>-2.6392961876832821E-2</v>
      </c>
    </row>
    <row r="1425" spans="1:3" x14ac:dyDescent="0.45">
      <c r="A1425" s="2">
        <v>34419</v>
      </c>
      <c r="B1425" s="7">
        <v>322000</v>
      </c>
      <c r="C1425" s="8">
        <v>-3.0120481927710885E-2</v>
      </c>
    </row>
    <row r="1426" spans="1:3" x14ac:dyDescent="0.45">
      <c r="A1426" s="2">
        <v>34426</v>
      </c>
      <c r="B1426" s="7">
        <v>342000</v>
      </c>
      <c r="C1426" s="8">
        <v>6.211180124223592E-2</v>
      </c>
    </row>
    <row r="1427" spans="1:3" x14ac:dyDescent="0.45">
      <c r="A1427" s="2">
        <v>34433</v>
      </c>
      <c r="B1427" s="7">
        <v>349000</v>
      </c>
      <c r="C1427" s="8">
        <v>2.0467836257309857E-2</v>
      </c>
    </row>
    <row r="1428" spans="1:3" x14ac:dyDescent="0.45">
      <c r="A1428" s="2">
        <v>34440</v>
      </c>
      <c r="B1428" s="7">
        <v>354000</v>
      </c>
      <c r="C1428" s="8">
        <v>1.4326647564469885E-2</v>
      </c>
    </row>
    <row r="1429" spans="1:3" x14ac:dyDescent="0.45">
      <c r="A1429" s="2">
        <v>34447</v>
      </c>
      <c r="B1429" s="7">
        <v>331000</v>
      </c>
      <c r="C1429" s="8">
        <v>-6.497175141242939E-2</v>
      </c>
    </row>
    <row r="1430" spans="1:3" x14ac:dyDescent="0.45">
      <c r="A1430" s="2">
        <v>34454</v>
      </c>
      <c r="B1430" s="7">
        <v>344000</v>
      </c>
      <c r="C1430" s="8">
        <v>3.92749244712991E-2</v>
      </c>
    </row>
    <row r="1431" spans="1:3" x14ac:dyDescent="0.45">
      <c r="A1431" s="2">
        <v>34461</v>
      </c>
      <c r="B1431" s="7">
        <v>371000</v>
      </c>
      <c r="C1431" s="8">
        <v>7.8488372093023173E-2</v>
      </c>
    </row>
    <row r="1432" spans="1:3" x14ac:dyDescent="0.45">
      <c r="A1432" s="2">
        <v>34468</v>
      </c>
      <c r="B1432" s="7">
        <v>360000</v>
      </c>
      <c r="C1432" s="8">
        <v>-2.9649595687331498E-2</v>
      </c>
    </row>
    <row r="1433" spans="1:3" x14ac:dyDescent="0.45">
      <c r="A1433" s="2">
        <v>34475</v>
      </c>
      <c r="B1433" s="7">
        <v>357000</v>
      </c>
      <c r="C1433" s="8">
        <v>-8.3333333333333037E-3</v>
      </c>
    </row>
    <row r="1434" spans="1:3" x14ac:dyDescent="0.45">
      <c r="A1434" s="2">
        <v>34482</v>
      </c>
      <c r="B1434" s="7">
        <v>348000</v>
      </c>
      <c r="C1434" s="8">
        <v>-2.5210084033613467E-2</v>
      </c>
    </row>
    <row r="1435" spans="1:3" x14ac:dyDescent="0.45">
      <c r="A1435" s="2">
        <v>34489</v>
      </c>
      <c r="B1435" s="7">
        <v>345000</v>
      </c>
      <c r="C1435" s="8">
        <v>-8.6206896551723755E-3</v>
      </c>
    </row>
    <row r="1436" spans="1:3" x14ac:dyDescent="0.45">
      <c r="A1436" s="2">
        <v>34496</v>
      </c>
      <c r="B1436" s="7">
        <v>338000</v>
      </c>
      <c r="C1436" s="8">
        <v>-2.0289855072463725E-2</v>
      </c>
    </row>
    <row r="1437" spans="1:3" x14ac:dyDescent="0.45">
      <c r="A1437" s="2">
        <v>34503</v>
      </c>
      <c r="B1437" s="7">
        <v>336000</v>
      </c>
      <c r="C1437" s="8">
        <v>-5.9171597633136397E-3</v>
      </c>
    </row>
    <row r="1438" spans="1:3" x14ac:dyDescent="0.45">
      <c r="A1438" s="2">
        <v>34510</v>
      </c>
      <c r="B1438" s="7">
        <v>341000</v>
      </c>
      <c r="C1438" s="8">
        <v>1.4880952380952328E-2</v>
      </c>
    </row>
    <row r="1439" spans="1:3" x14ac:dyDescent="0.45">
      <c r="A1439" s="2">
        <v>34517</v>
      </c>
      <c r="B1439" s="7">
        <v>334000</v>
      </c>
      <c r="C1439" s="8">
        <v>-2.0527859237536639E-2</v>
      </c>
    </row>
    <row r="1440" spans="1:3" x14ac:dyDescent="0.45">
      <c r="A1440" s="2">
        <v>34524</v>
      </c>
      <c r="B1440" s="7">
        <v>341000</v>
      </c>
      <c r="C1440" s="8">
        <v>2.0958083832335328E-2</v>
      </c>
    </row>
    <row r="1441" spans="1:3" x14ac:dyDescent="0.45">
      <c r="A1441" s="2">
        <v>34531</v>
      </c>
      <c r="B1441" s="7">
        <v>359000</v>
      </c>
      <c r="C1441" s="8">
        <v>5.2785923753665642E-2</v>
      </c>
    </row>
    <row r="1442" spans="1:3" x14ac:dyDescent="0.45">
      <c r="A1442" s="2">
        <v>34538</v>
      </c>
      <c r="B1442" s="7">
        <v>345000</v>
      </c>
      <c r="C1442" s="8">
        <v>-3.8997214484679632E-2</v>
      </c>
    </row>
    <row r="1443" spans="1:3" x14ac:dyDescent="0.45">
      <c r="A1443" s="2">
        <v>34545</v>
      </c>
      <c r="B1443" s="7">
        <v>332000</v>
      </c>
      <c r="C1443" s="8">
        <v>-3.7681159420289823E-2</v>
      </c>
    </row>
    <row r="1444" spans="1:3" x14ac:dyDescent="0.45">
      <c r="A1444" s="2">
        <v>34552</v>
      </c>
      <c r="B1444" s="7">
        <v>338000</v>
      </c>
      <c r="C1444" s="8">
        <v>1.8072289156626509E-2</v>
      </c>
    </row>
    <row r="1445" spans="1:3" x14ac:dyDescent="0.45">
      <c r="A1445" s="2">
        <v>34559</v>
      </c>
      <c r="B1445" s="7">
        <v>335000</v>
      </c>
      <c r="C1445" s="8">
        <v>-8.8757396449704595E-3</v>
      </c>
    </row>
    <row r="1446" spans="1:3" x14ac:dyDescent="0.45">
      <c r="A1446" s="2">
        <v>34566</v>
      </c>
      <c r="B1446" s="7">
        <v>331000</v>
      </c>
      <c r="C1446" s="8">
        <v>-1.1940298507462699E-2</v>
      </c>
    </row>
    <row r="1447" spans="1:3" x14ac:dyDescent="0.45">
      <c r="A1447" s="2">
        <v>34573</v>
      </c>
      <c r="B1447" s="7">
        <v>341000</v>
      </c>
      <c r="C1447" s="8">
        <v>3.0211480362537735E-2</v>
      </c>
    </row>
    <row r="1448" spans="1:3" x14ac:dyDescent="0.45">
      <c r="A1448" s="2">
        <v>34580</v>
      </c>
      <c r="B1448" s="7">
        <v>339000</v>
      </c>
      <c r="C1448" s="8">
        <v>-5.8651026392961825E-3</v>
      </c>
    </row>
    <row r="1449" spans="1:3" x14ac:dyDescent="0.45">
      <c r="A1449" s="2">
        <v>34587</v>
      </c>
      <c r="B1449" s="7">
        <v>331000</v>
      </c>
      <c r="C1449" s="8">
        <v>-2.359882005899705E-2</v>
      </c>
    </row>
    <row r="1450" spans="1:3" x14ac:dyDescent="0.45">
      <c r="A1450" s="2">
        <v>34594</v>
      </c>
      <c r="B1450" s="7">
        <v>326000</v>
      </c>
      <c r="C1450" s="8">
        <v>-1.5105740181268867E-2</v>
      </c>
    </row>
    <row r="1451" spans="1:3" x14ac:dyDescent="0.45">
      <c r="A1451" s="2">
        <v>34601</v>
      </c>
      <c r="B1451" s="7">
        <v>325000</v>
      </c>
      <c r="C1451" s="8">
        <v>-3.0674846625766694E-3</v>
      </c>
    </row>
    <row r="1452" spans="1:3" x14ac:dyDescent="0.45">
      <c r="A1452" s="2">
        <v>34608</v>
      </c>
      <c r="B1452" s="7">
        <v>330000</v>
      </c>
      <c r="C1452" s="8">
        <v>1.538461538461533E-2</v>
      </c>
    </row>
    <row r="1453" spans="1:3" x14ac:dyDescent="0.45">
      <c r="A1453" s="2">
        <v>34615</v>
      </c>
      <c r="B1453" s="7">
        <v>341000</v>
      </c>
      <c r="C1453" s="8">
        <v>3.3333333333333437E-2</v>
      </c>
    </row>
    <row r="1454" spans="1:3" x14ac:dyDescent="0.45">
      <c r="A1454" s="2">
        <v>34622</v>
      </c>
      <c r="B1454" s="7">
        <v>335000</v>
      </c>
      <c r="C1454" s="8">
        <v>-1.7595307917888547E-2</v>
      </c>
    </row>
    <row r="1455" spans="1:3" x14ac:dyDescent="0.45">
      <c r="A1455" s="2">
        <v>34629</v>
      </c>
      <c r="B1455" s="7">
        <v>330000</v>
      </c>
      <c r="C1455" s="8">
        <v>-1.4925373134328401E-2</v>
      </c>
    </row>
    <row r="1456" spans="1:3" x14ac:dyDescent="0.45">
      <c r="A1456" s="2">
        <v>34636</v>
      </c>
      <c r="B1456" s="7">
        <v>331000</v>
      </c>
      <c r="C1456" s="8">
        <v>3.0303030303029388E-3</v>
      </c>
    </row>
    <row r="1457" spans="1:3" x14ac:dyDescent="0.45">
      <c r="A1457" s="2">
        <v>34643</v>
      </c>
      <c r="B1457" s="7">
        <v>328000</v>
      </c>
      <c r="C1457" s="8">
        <v>-9.0634441087613649E-3</v>
      </c>
    </row>
    <row r="1458" spans="1:3" x14ac:dyDescent="0.45">
      <c r="A1458" s="2">
        <v>34650</v>
      </c>
      <c r="B1458" s="7">
        <v>329000</v>
      </c>
      <c r="C1458" s="8">
        <v>3.0487804878047697E-3</v>
      </c>
    </row>
    <row r="1459" spans="1:3" x14ac:dyDescent="0.45">
      <c r="A1459" s="2">
        <v>34657</v>
      </c>
      <c r="B1459" s="7">
        <v>326000</v>
      </c>
      <c r="C1459" s="8">
        <v>-9.1185410334346795E-3</v>
      </c>
    </row>
    <row r="1460" spans="1:3" x14ac:dyDescent="0.45">
      <c r="A1460" s="2">
        <v>34664</v>
      </c>
      <c r="B1460" s="7">
        <v>329000</v>
      </c>
      <c r="C1460" s="8">
        <v>9.2024539877300082E-3</v>
      </c>
    </row>
    <row r="1461" spans="1:3" x14ac:dyDescent="0.45">
      <c r="A1461" s="2">
        <v>34671</v>
      </c>
      <c r="B1461" s="7">
        <v>324000</v>
      </c>
      <c r="C1461" s="8">
        <v>-1.5197568389057725E-2</v>
      </c>
    </row>
    <row r="1462" spans="1:3" x14ac:dyDescent="0.45">
      <c r="A1462" s="2">
        <v>34678</v>
      </c>
      <c r="B1462" s="7">
        <v>329000</v>
      </c>
      <c r="C1462" s="8">
        <v>1.5432098765432167E-2</v>
      </c>
    </row>
    <row r="1463" spans="1:3" x14ac:dyDescent="0.45">
      <c r="A1463" s="2">
        <v>34685</v>
      </c>
      <c r="B1463" s="7">
        <v>330000</v>
      </c>
      <c r="C1463" s="8">
        <v>3.0395136778116338E-3</v>
      </c>
    </row>
    <row r="1464" spans="1:3" x14ac:dyDescent="0.45">
      <c r="A1464" s="2">
        <v>34692</v>
      </c>
      <c r="B1464" s="7">
        <v>314000</v>
      </c>
      <c r="C1464" s="8">
        <v>-4.8484848484848464E-2</v>
      </c>
    </row>
    <row r="1465" spans="1:3" x14ac:dyDescent="0.45">
      <c r="A1465" s="2">
        <v>34699</v>
      </c>
      <c r="B1465" s="7">
        <v>319000</v>
      </c>
      <c r="C1465" s="8">
        <v>1.5923566878980999E-2</v>
      </c>
    </row>
    <row r="1466" spans="1:3" x14ac:dyDescent="0.45">
      <c r="A1466" s="2">
        <v>34706</v>
      </c>
      <c r="B1466" s="7">
        <v>338000</v>
      </c>
      <c r="C1466" s="8">
        <v>5.9561128526645746E-2</v>
      </c>
    </row>
    <row r="1467" spans="1:3" x14ac:dyDescent="0.45">
      <c r="A1467" s="2">
        <v>34713</v>
      </c>
      <c r="B1467" s="7">
        <v>347000</v>
      </c>
      <c r="C1467" s="8">
        <v>2.6627218934911268E-2</v>
      </c>
    </row>
    <row r="1468" spans="1:3" x14ac:dyDescent="0.45">
      <c r="A1468" s="2">
        <v>34720</v>
      </c>
      <c r="B1468" s="7">
        <v>325000</v>
      </c>
      <c r="C1468" s="8">
        <v>-6.3400576368876083E-2</v>
      </c>
    </row>
    <row r="1469" spans="1:3" x14ac:dyDescent="0.45">
      <c r="A1469" s="2">
        <v>34727</v>
      </c>
      <c r="B1469" s="7">
        <v>324000</v>
      </c>
      <c r="C1469" s="8">
        <v>-3.0769230769230882E-3</v>
      </c>
    </row>
    <row r="1470" spans="1:3" x14ac:dyDescent="0.45">
      <c r="A1470" s="2">
        <v>34734</v>
      </c>
      <c r="B1470" s="7">
        <v>324000</v>
      </c>
      <c r="C1470" s="8">
        <v>0</v>
      </c>
    </row>
    <row r="1471" spans="1:3" x14ac:dyDescent="0.45">
      <c r="A1471" s="2">
        <v>34741</v>
      </c>
      <c r="B1471" s="7">
        <v>348000</v>
      </c>
      <c r="C1471" s="8">
        <v>7.4074074074074181E-2</v>
      </c>
    </row>
    <row r="1472" spans="1:3" x14ac:dyDescent="0.45">
      <c r="A1472" s="2">
        <v>34748</v>
      </c>
      <c r="B1472" s="7">
        <v>343000</v>
      </c>
      <c r="C1472" s="8">
        <v>-1.4367816091954033E-2</v>
      </c>
    </row>
    <row r="1473" spans="1:3" x14ac:dyDescent="0.45">
      <c r="A1473" s="2">
        <v>34755</v>
      </c>
      <c r="B1473" s="7">
        <v>336000</v>
      </c>
      <c r="C1473" s="8">
        <v>-2.0408163265306145E-2</v>
      </c>
    </row>
    <row r="1474" spans="1:3" x14ac:dyDescent="0.45">
      <c r="A1474" s="2">
        <v>34762</v>
      </c>
      <c r="B1474" s="7">
        <v>339000</v>
      </c>
      <c r="C1474" s="8">
        <v>8.9285714285713969E-3</v>
      </c>
    </row>
    <row r="1475" spans="1:3" x14ac:dyDescent="0.45">
      <c r="A1475" s="2">
        <v>34769</v>
      </c>
      <c r="B1475" s="7">
        <v>347000</v>
      </c>
      <c r="C1475" s="8">
        <v>2.3598820058997161E-2</v>
      </c>
    </row>
    <row r="1476" spans="1:3" x14ac:dyDescent="0.45">
      <c r="A1476" s="2">
        <v>34776</v>
      </c>
      <c r="B1476" s="7">
        <v>343000</v>
      </c>
      <c r="C1476" s="8">
        <v>-1.1527377521613813E-2</v>
      </c>
    </row>
    <row r="1477" spans="1:3" x14ac:dyDescent="0.45">
      <c r="A1477" s="2">
        <v>34783</v>
      </c>
      <c r="B1477" s="7">
        <v>332000</v>
      </c>
      <c r="C1477" s="8">
        <v>-3.2069970845481022E-2</v>
      </c>
    </row>
    <row r="1478" spans="1:3" x14ac:dyDescent="0.45">
      <c r="A1478" s="2">
        <v>34790</v>
      </c>
      <c r="B1478" s="7">
        <v>335000</v>
      </c>
      <c r="C1478" s="8">
        <v>9.0361445783131433E-3</v>
      </c>
    </row>
    <row r="1479" spans="1:3" x14ac:dyDescent="0.45">
      <c r="A1479" s="2">
        <v>34797</v>
      </c>
      <c r="B1479" s="7">
        <v>347000</v>
      </c>
      <c r="C1479" s="8">
        <v>3.5820895522387985E-2</v>
      </c>
    </row>
    <row r="1480" spans="1:3" x14ac:dyDescent="0.45">
      <c r="A1480" s="2">
        <v>34804</v>
      </c>
      <c r="B1480" s="7">
        <v>355000</v>
      </c>
      <c r="C1480" s="8">
        <v>2.3054755043227626E-2</v>
      </c>
    </row>
    <row r="1481" spans="1:3" x14ac:dyDescent="0.45">
      <c r="A1481" s="2">
        <v>34811</v>
      </c>
      <c r="B1481" s="7">
        <v>349000</v>
      </c>
      <c r="C1481" s="8">
        <v>-1.6901408450704203E-2</v>
      </c>
    </row>
    <row r="1482" spans="1:3" x14ac:dyDescent="0.45">
      <c r="A1482" s="2">
        <v>34818</v>
      </c>
      <c r="B1482" s="7">
        <v>365000</v>
      </c>
      <c r="C1482" s="8">
        <v>4.5845272206303633E-2</v>
      </c>
    </row>
    <row r="1483" spans="1:3" x14ac:dyDescent="0.45">
      <c r="A1483" s="2">
        <v>34825</v>
      </c>
      <c r="B1483" s="7">
        <v>364000</v>
      </c>
      <c r="C1483" s="8">
        <v>-2.739726027397249E-3</v>
      </c>
    </row>
    <row r="1484" spans="1:3" x14ac:dyDescent="0.45">
      <c r="A1484" s="2">
        <v>34832</v>
      </c>
      <c r="B1484" s="7">
        <v>366000</v>
      </c>
      <c r="C1484" s="8">
        <v>5.494505494505475E-3</v>
      </c>
    </row>
    <row r="1485" spans="1:3" x14ac:dyDescent="0.45">
      <c r="A1485" s="2">
        <v>34839</v>
      </c>
      <c r="B1485" s="7">
        <v>377000</v>
      </c>
      <c r="C1485" s="8">
        <v>3.0054644808743092E-2</v>
      </c>
    </row>
    <row r="1486" spans="1:3" x14ac:dyDescent="0.45">
      <c r="A1486" s="2">
        <v>34846</v>
      </c>
      <c r="B1486" s="7">
        <v>374000</v>
      </c>
      <c r="C1486" s="8">
        <v>-7.9575596816976457E-3</v>
      </c>
    </row>
    <row r="1487" spans="1:3" x14ac:dyDescent="0.45">
      <c r="A1487" s="2">
        <v>34853</v>
      </c>
      <c r="B1487" s="7">
        <v>362000</v>
      </c>
      <c r="C1487" s="8">
        <v>-3.208556149732622E-2</v>
      </c>
    </row>
    <row r="1488" spans="1:3" x14ac:dyDescent="0.45">
      <c r="A1488" s="2">
        <v>34860</v>
      </c>
      <c r="B1488" s="7">
        <v>367000</v>
      </c>
      <c r="C1488" s="8">
        <v>1.3812154696132506E-2</v>
      </c>
    </row>
    <row r="1489" spans="1:3" x14ac:dyDescent="0.45">
      <c r="A1489" s="2">
        <v>34867</v>
      </c>
      <c r="B1489" s="7">
        <v>378000</v>
      </c>
      <c r="C1489" s="8">
        <v>2.997275204359684E-2</v>
      </c>
    </row>
    <row r="1490" spans="1:3" x14ac:dyDescent="0.45">
      <c r="A1490" s="2">
        <v>34874</v>
      </c>
      <c r="B1490" s="7">
        <v>358000</v>
      </c>
      <c r="C1490" s="8">
        <v>-5.2910052910052907E-2</v>
      </c>
    </row>
    <row r="1491" spans="1:3" x14ac:dyDescent="0.45">
      <c r="A1491" s="2">
        <v>34881</v>
      </c>
      <c r="B1491" s="7">
        <v>355000</v>
      </c>
      <c r="C1491" s="8">
        <v>-8.379888268156388E-3</v>
      </c>
    </row>
    <row r="1492" spans="1:3" x14ac:dyDescent="0.45">
      <c r="A1492" s="2">
        <v>34888</v>
      </c>
      <c r="B1492" s="7">
        <v>372000</v>
      </c>
      <c r="C1492" s="8">
        <v>4.7887323943661908E-2</v>
      </c>
    </row>
    <row r="1493" spans="1:3" x14ac:dyDescent="0.45">
      <c r="A1493" s="2">
        <v>34895</v>
      </c>
      <c r="B1493" s="7">
        <v>389000</v>
      </c>
      <c r="C1493" s="8">
        <v>4.5698924731182755E-2</v>
      </c>
    </row>
    <row r="1494" spans="1:3" x14ac:dyDescent="0.45">
      <c r="A1494" s="2">
        <v>34902</v>
      </c>
      <c r="B1494" s="7">
        <v>390000</v>
      </c>
      <c r="C1494" s="8">
        <v>2.5706940874035134E-3</v>
      </c>
    </row>
    <row r="1495" spans="1:3" x14ac:dyDescent="0.45">
      <c r="A1495" s="2">
        <v>34909</v>
      </c>
      <c r="B1495" s="7">
        <v>351000</v>
      </c>
      <c r="C1495" s="8">
        <v>-9.9999999999999978E-2</v>
      </c>
    </row>
    <row r="1496" spans="1:3" x14ac:dyDescent="0.45">
      <c r="A1496" s="2">
        <v>34916</v>
      </c>
      <c r="B1496" s="7">
        <v>351000</v>
      </c>
      <c r="C1496" s="8">
        <v>0</v>
      </c>
    </row>
    <row r="1497" spans="1:3" x14ac:dyDescent="0.45">
      <c r="A1497" s="2">
        <v>34923</v>
      </c>
      <c r="B1497" s="7">
        <v>353000</v>
      </c>
      <c r="C1497" s="8">
        <v>5.6980056980056037E-3</v>
      </c>
    </row>
    <row r="1498" spans="1:3" x14ac:dyDescent="0.45">
      <c r="A1498" s="2">
        <v>34930</v>
      </c>
      <c r="B1498" s="7">
        <v>362000</v>
      </c>
      <c r="C1498" s="8">
        <v>2.5495750708215192E-2</v>
      </c>
    </row>
    <row r="1499" spans="1:3" x14ac:dyDescent="0.45">
      <c r="A1499" s="2">
        <v>34937</v>
      </c>
      <c r="B1499" s="7">
        <v>359000</v>
      </c>
      <c r="C1499" s="8">
        <v>-8.2872928176795924E-3</v>
      </c>
    </row>
    <row r="1500" spans="1:3" x14ac:dyDescent="0.45">
      <c r="A1500" s="2">
        <v>34944</v>
      </c>
      <c r="B1500" s="7">
        <v>355000</v>
      </c>
      <c r="C1500" s="8">
        <v>-1.1142061281337101E-2</v>
      </c>
    </row>
    <row r="1501" spans="1:3" x14ac:dyDescent="0.45">
      <c r="A1501" s="2">
        <v>34951</v>
      </c>
      <c r="B1501" s="7">
        <v>371000</v>
      </c>
      <c r="C1501" s="8">
        <v>4.5070422535211208E-2</v>
      </c>
    </row>
    <row r="1502" spans="1:3" x14ac:dyDescent="0.45">
      <c r="A1502" s="2">
        <v>34958</v>
      </c>
      <c r="B1502" s="7">
        <v>376000</v>
      </c>
      <c r="C1502" s="8">
        <v>1.3477088948786964E-2</v>
      </c>
    </row>
    <row r="1503" spans="1:3" x14ac:dyDescent="0.45">
      <c r="A1503" s="2">
        <v>34965</v>
      </c>
      <c r="B1503" s="7">
        <v>353000</v>
      </c>
      <c r="C1503" s="8">
        <v>-6.1170212765957466E-2</v>
      </c>
    </row>
    <row r="1504" spans="1:3" x14ac:dyDescent="0.45">
      <c r="A1504" s="2">
        <v>34972</v>
      </c>
      <c r="B1504" s="7">
        <v>355000</v>
      </c>
      <c r="C1504" s="8">
        <v>5.6657223796034994E-3</v>
      </c>
    </row>
    <row r="1505" spans="1:3" x14ac:dyDescent="0.45">
      <c r="A1505" s="2">
        <v>34979</v>
      </c>
      <c r="B1505" s="7">
        <v>374000</v>
      </c>
      <c r="C1505" s="8">
        <v>5.3521126760563309E-2</v>
      </c>
    </row>
    <row r="1506" spans="1:3" x14ac:dyDescent="0.45">
      <c r="A1506" s="2">
        <v>34986</v>
      </c>
      <c r="B1506" s="7">
        <v>369000</v>
      </c>
      <c r="C1506" s="8">
        <v>-1.3368983957219305E-2</v>
      </c>
    </row>
    <row r="1507" spans="1:3" x14ac:dyDescent="0.45">
      <c r="A1507" s="2">
        <v>34993</v>
      </c>
      <c r="B1507" s="7">
        <v>366000</v>
      </c>
      <c r="C1507" s="8">
        <v>-8.1300813008130524E-3</v>
      </c>
    </row>
    <row r="1508" spans="1:3" x14ac:dyDescent="0.45">
      <c r="A1508" s="2">
        <v>35000</v>
      </c>
      <c r="B1508" s="7">
        <v>377000</v>
      </c>
      <c r="C1508" s="8">
        <v>3.0054644808743092E-2</v>
      </c>
    </row>
    <row r="1509" spans="1:3" x14ac:dyDescent="0.45">
      <c r="A1509" s="2">
        <v>35007</v>
      </c>
      <c r="B1509" s="7">
        <v>380000</v>
      </c>
      <c r="C1509" s="8">
        <v>7.9575596816976457E-3</v>
      </c>
    </row>
    <row r="1510" spans="1:3" x14ac:dyDescent="0.45">
      <c r="A1510" s="2">
        <v>35014</v>
      </c>
      <c r="B1510" s="7">
        <v>370000</v>
      </c>
      <c r="C1510" s="8">
        <v>-2.6315789473684181E-2</v>
      </c>
    </row>
    <row r="1511" spans="1:3" x14ac:dyDescent="0.45">
      <c r="A1511" s="2">
        <v>35021</v>
      </c>
      <c r="B1511" s="7">
        <v>379000</v>
      </c>
      <c r="C1511" s="8">
        <v>2.4324324324324298E-2</v>
      </c>
    </row>
    <row r="1512" spans="1:3" x14ac:dyDescent="0.45">
      <c r="A1512" s="2">
        <v>35028</v>
      </c>
      <c r="B1512" s="7">
        <v>379000</v>
      </c>
      <c r="C1512" s="8">
        <v>0</v>
      </c>
    </row>
    <row r="1513" spans="1:3" x14ac:dyDescent="0.45">
      <c r="A1513" s="2">
        <v>35035</v>
      </c>
      <c r="B1513" s="7">
        <v>373000</v>
      </c>
      <c r="C1513" s="8">
        <v>-1.5831134564643801E-2</v>
      </c>
    </row>
    <row r="1514" spans="1:3" x14ac:dyDescent="0.45">
      <c r="A1514" s="2">
        <v>35042</v>
      </c>
      <c r="B1514" s="7">
        <v>346000</v>
      </c>
      <c r="C1514" s="8">
        <v>-7.2386058981233292E-2</v>
      </c>
    </row>
    <row r="1515" spans="1:3" x14ac:dyDescent="0.45">
      <c r="A1515" s="2">
        <v>35049</v>
      </c>
      <c r="B1515" s="7">
        <v>373000</v>
      </c>
      <c r="C1515" s="8">
        <v>7.8034682080924789E-2</v>
      </c>
    </row>
    <row r="1516" spans="1:3" x14ac:dyDescent="0.45">
      <c r="A1516" s="2">
        <v>35056</v>
      </c>
      <c r="B1516" s="7">
        <v>374000</v>
      </c>
      <c r="C1516" s="8">
        <v>2.6809651474530849E-3</v>
      </c>
    </row>
    <row r="1517" spans="1:3" x14ac:dyDescent="0.45">
      <c r="A1517" s="2">
        <v>35063</v>
      </c>
      <c r="B1517" s="7">
        <v>359000</v>
      </c>
      <c r="C1517" s="8">
        <v>-4.0106951871657803E-2</v>
      </c>
    </row>
    <row r="1518" spans="1:3" x14ac:dyDescent="0.45">
      <c r="A1518" s="2">
        <v>35070</v>
      </c>
      <c r="B1518" s="7">
        <v>361000</v>
      </c>
      <c r="C1518" s="8">
        <v>5.5710306406684396E-3</v>
      </c>
    </row>
    <row r="1519" spans="1:3" x14ac:dyDescent="0.45">
      <c r="A1519" s="2">
        <v>35077</v>
      </c>
      <c r="B1519" s="7">
        <v>333000</v>
      </c>
      <c r="C1519" s="8">
        <v>-7.7562326869806131E-2</v>
      </c>
    </row>
    <row r="1520" spans="1:3" x14ac:dyDescent="0.45">
      <c r="A1520" s="2">
        <v>35084</v>
      </c>
      <c r="B1520" s="7">
        <v>415000</v>
      </c>
      <c r="C1520" s="8">
        <v>0.24624624624624625</v>
      </c>
    </row>
    <row r="1521" spans="1:3" x14ac:dyDescent="0.45">
      <c r="A1521" s="2">
        <v>35091</v>
      </c>
      <c r="B1521" s="7">
        <v>387000</v>
      </c>
      <c r="C1521" s="8">
        <v>-6.7469879518072262E-2</v>
      </c>
    </row>
    <row r="1522" spans="1:3" x14ac:dyDescent="0.45">
      <c r="A1522" s="2">
        <v>35098</v>
      </c>
      <c r="B1522" s="7">
        <v>374000</v>
      </c>
      <c r="C1522" s="8">
        <v>-3.3591731266149893E-2</v>
      </c>
    </row>
    <row r="1523" spans="1:3" x14ac:dyDescent="0.45">
      <c r="A1523" s="2">
        <v>35105</v>
      </c>
      <c r="B1523" s="7">
        <v>387000</v>
      </c>
      <c r="C1523" s="8">
        <v>3.475935828876997E-2</v>
      </c>
    </row>
    <row r="1524" spans="1:3" x14ac:dyDescent="0.45">
      <c r="A1524" s="2">
        <v>35112</v>
      </c>
      <c r="B1524" s="7">
        <v>383000</v>
      </c>
      <c r="C1524" s="8">
        <v>-1.033591731266148E-2</v>
      </c>
    </row>
    <row r="1525" spans="1:3" x14ac:dyDescent="0.45">
      <c r="A1525" s="2">
        <v>35119</v>
      </c>
      <c r="B1525" s="7">
        <v>365000</v>
      </c>
      <c r="C1525" s="8">
        <v>-4.6997389033942572E-2</v>
      </c>
    </row>
    <row r="1526" spans="1:3" x14ac:dyDescent="0.45">
      <c r="A1526" s="2">
        <v>35126</v>
      </c>
      <c r="B1526" s="7">
        <v>368000</v>
      </c>
      <c r="C1526" s="8">
        <v>8.2191780821918581E-3</v>
      </c>
    </row>
    <row r="1527" spans="1:3" x14ac:dyDescent="0.45">
      <c r="A1527" s="2">
        <v>35133</v>
      </c>
      <c r="B1527" s="7">
        <v>361000</v>
      </c>
      <c r="C1527" s="8">
        <v>-1.9021739130434812E-2</v>
      </c>
    </row>
    <row r="1528" spans="1:3" x14ac:dyDescent="0.45">
      <c r="A1528" s="2">
        <v>35140</v>
      </c>
      <c r="B1528" s="7">
        <v>384000</v>
      </c>
      <c r="C1528" s="8">
        <v>6.3711911357340778E-2</v>
      </c>
    </row>
    <row r="1529" spans="1:3" x14ac:dyDescent="0.45">
      <c r="A1529" s="2">
        <v>35147</v>
      </c>
      <c r="B1529" s="7">
        <v>426000</v>
      </c>
      <c r="C1529" s="8">
        <v>0.109375</v>
      </c>
    </row>
    <row r="1530" spans="1:3" x14ac:dyDescent="0.45">
      <c r="A1530" s="2">
        <v>35154</v>
      </c>
      <c r="B1530" s="7">
        <v>393000</v>
      </c>
      <c r="C1530" s="8">
        <v>-7.7464788732394374E-2</v>
      </c>
    </row>
    <row r="1531" spans="1:3" x14ac:dyDescent="0.45">
      <c r="A1531" s="2">
        <v>35161</v>
      </c>
      <c r="B1531" s="7">
        <v>369000</v>
      </c>
      <c r="C1531" s="8">
        <v>-6.1068702290076327E-2</v>
      </c>
    </row>
    <row r="1532" spans="1:3" x14ac:dyDescent="0.45">
      <c r="A1532" s="2">
        <v>35168</v>
      </c>
      <c r="B1532" s="7">
        <v>357000</v>
      </c>
      <c r="C1532" s="8">
        <v>-3.2520325203251987E-2</v>
      </c>
    </row>
    <row r="1533" spans="1:3" x14ac:dyDescent="0.45">
      <c r="A1533" s="2">
        <v>35175</v>
      </c>
      <c r="B1533" s="7">
        <v>368000</v>
      </c>
      <c r="C1533" s="8">
        <v>3.0812324929971879E-2</v>
      </c>
    </row>
    <row r="1534" spans="1:3" x14ac:dyDescent="0.45">
      <c r="A1534" s="2">
        <v>35182</v>
      </c>
      <c r="B1534" s="7">
        <v>343000</v>
      </c>
      <c r="C1534" s="8">
        <v>-6.7934782608695676E-2</v>
      </c>
    </row>
    <row r="1535" spans="1:3" x14ac:dyDescent="0.45">
      <c r="A1535" s="2">
        <v>35189</v>
      </c>
      <c r="B1535" s="7">
        <v>338000</v>
      </c>
      <c r="C1535" s="8">
        <v>-1.4577259475218707E-2</v>
      </c>
    </row>
    <row r="1536" spans="1:3" x14ac:dyDescent="0.45">
      <c r="A1536" s="2">
        <v>35196</v>
      </c>
      <c r="B1536" s="7">
        <v>352000</v>
      </c>
      <c r="C1536" s="8">
        <v>4.1420118343195256E-2</v>
      </c>
    </row>
    <row r="1537" spans="1:3" x14ac:dyDescent="0.45">
      <c r="A1537" s="2">
        <v>35203</v>
      </c>
      <c r="B1537" s="7">
        <v>345000</v>
      </c>
      <c r="C1537" s="8">
        <v>-1.9886363636363646E-2</v>
      </c>
    </row>
    <row r="1538" spans="1:3" x14ac:dyDescent="0.45">
      <c r="A1538" s="2">
        <v>35210</v>
      </c>
      <c r="B1538" s="7">
        <v>343000</v>
      </c>
      <c r="C1538" s="8">
        <v>-5.7971014492753659E-3</v>
      </c>
    </row>
    <row r="1539" spans="1:3" x14ac:dyDescent="0.45">
      <c r="A1539" s="2">
        <v>35217</v>
      </c>
      <c r="B1539" s="7">
        <v>340000</v>
      </c>
      <c r="C1539" s="8">
        <v>-8.7463556851311575E-3</v>
      </c>
    </row>
    <row r="1540" spans="1:3" x14ac:dyDescent="0.45">
      <c r="A1540" s="2">
        <v>35224</v>
      </c>
      <c r="B1540" s="7">
        <v>351000</v>
      </c>
      <c r="C1540" s="8">
        <v>3.2352941176470695E-2</v>
      </c>
    </row>
    <row r="1541" spans="1:3" x14ac:dyDescent="0.45">
      <c r="A1541" s="2">
        <v>35231</v>
      </c>
      <c r="B1541" s="7">
        <v>342000</v>
      </c>
      <c r="C1541" s="8">
        <v>-2.5641025641025661E-2</v>
      </c>
    </row>
    <row r="1542" spans="1:3" x14ac:dyDescent="0.45">
      <c r="A1542" s="2">
        <v>35238</v>
      </c>
      <c r="B1542" s="7">
        <v>341000</v>
      </c>
      <c r="C1542" s="8">
        <v>-2.9239766081871066E-3</v>
      </c>
    </row>
    <row r="1543" spans="1:3" x14ac:dyDescent="0.45">
      <c r="A1543" s="2">
        <v>35245</v>
      </c>
      <c r="B1543" s="7">
        <v>337000</v>
      </c>
      <c r="C1543" s="8">
        <v>-1.1730205278592365E-2</v>
      </c>
    </row>
    <row r="1544" spans="1:3" x14ac:dyDescent="0.45">
      <c r="A1544" s="2">
        <v>35252</v>
      </c>
      <c r="B1544" s="7">
        <v>342000</v>
      </c>
      <c r="C1544" s="8">
        <v>1.4836795252225476E-2</v>
      </c>
    </row>
    <row r="1545" spans="1:3" x14ac:dyDescent="0.45">
      <c r="A1545" s="2">
        <v>35259</v>
      </c>
      <c r="B1545" s="7">
        <v>347000</v>
      </c>
      <c r="C1545" s="8">
        <v>1.4619883040935644E-2</v>
      </c>
    </row>
    <row r="1546" spans="1:3" x14ac:dyDescent="0.45">
      <c r="A1546" s="2">
        <v>35266</v>
      </c>
      <c r="B1546" s="7">
        <v>332000</v>
      </c>
      <c r="C1546" s="8">
        <v>-4.3227665706051854E-2</v>
      </c>
    </row>
    <row r="1547" spans="1:3" x14ac:dyDescent="0.45">
      <c r="A1547" s="2">
        <v>35273</v>
      </c>
      <c r="B1547" s="7">
        <v>327000</v>
      </c>
      <c r="C1547" s="8">
        <v>-1.5060240963855387E-2</v>
      </c>
    </row>
    <row r="1548" spans="1:3" x14ac:dyDescent="0.45">
      <c r="A1548" s="2">
        <v>35280</v>
      </c>
      <c r="B1548" s="7">
        <v>326000</v>
      </c>
      <c r="C1548" s="8">
        <v>-3.0581039755351869E-3</v>
      </c>
    </row>
    <row r="1549" spans="1:3" x14ac:dyDescent="0.45">
      <c r="A1549" s="2">
        <v>35287</v>
      </c>
      <c r="B1549" s="7">
        <v>331000</v>
      </c>
      <c r="C1549" s="8">
        <v>1.5337423312883347E-2</v>
      </c>
    </row>
    <row r="1550" spans="1:3" x14ac:dyDescent="0.45">
      <c r="A1550" s="2">
        <v>35294</v>
      </c>
      <c r="B1550" s="7">
        <v>336000</v>
      </c>
      <c r="C1550" s="8">
        <v>1.5105740181268867E-2</v>
      </c>
    </row>
    <row r="1551" spans="1:3" x14ac:dyDescent="0.45">
      <c r="A1551" s="2">
        <v>35301</v>
      </c>
      <c r="B1551" s="7">
        <v>337000</v>
      </c>
      <c r="C1551" s="8">
        <v>2.9761904761904656E-3</v>
      </c>
    </row>
    <row r="1552" spans="1:3" x14ac:dyDescent="0.45">
      <c r="A1552" s="2">
        <v>35308</v>
      </c>
      <c r="B1552" s="7">
        <v>329000</v>
      </c>
      <c r="C1552" s="8">
        <v>-2.3738872403560873E-2</v>
      </c>
    </row>
    <row r="1553" spans="1:3" x14ac:dyDescent="0.45">
      <c r="A1553" s="2">
        <v>35315</v>
      </c>
      <c r="B1553" s="7">
        <v>333000</v>
      </c>
      <c r="C1553" s="8">
        <v>1.2158054711246091E-2</v>
      </c>
    </row>
    <row r="1554" spans="1:3" x14ac:dyDescent="0.45">
      <c r="A1554" s="2">
        <v>35322</v>
      </c>
      <c r="B1554" s="7">
        <v>338000</v>
      </c>
      <c r="C1554" s="8">
        <v>1.501501501501501E-2</v>
      </c>
    </row>
    <row r="1555" spans="1:3" x14ac:dyDescent="0.45">
      <c r="A1555" s="2">
        <v>35329</v>
      </c>
      <c r="B1555" s="7">
        <v>352000</v>
      </c>
      <c r="C1555" s="8">
        <v>4.1420118343195256E-2</v>
      </c>
    </row>
    <row r="1556" spans="1:3" x14ac:dyDescent="0.45">
      <c r="A1556" s="2">
        <v>35336</v>
      </c>
      <c r="B1556" s="7">
        <v>348000</v>
      </c>
      <c r="C1556" s="8">
        <v>-1.1363636363636354E-2</v>
      </c>
    </row>
    <row r="1557" spans="1:3" x14ac:dyDescent="0.45">
      <c r="A1557" s="2">
        <v>35343</v>
      </c>
      <c r="B1557" s="7">
        <v>335000</v>
      </c>
      <c r="C1557" s="8">
        <v>-3.7356321839080442E-2</v>
      </c>
    </row>
    <row r="1558" spans="1:3" x14ac:dyDescent="0.45">
      <c r="A1558" s="2">
        <v>35350</v>
      </c>
      <c r="B1558" s="7">
        <v>334000</v>
      </c>
      <c r="C1558" s="8">
        <v>-2.9850746268657025E-3</v>
      </c>
    </row>
    <row r="1559" spans="1:3" x14ac:dyDescent="0.45">
      <c r="A1559" s="2">
        <v>35357</v>
      </c>
      <c r="B1559" s="7">
        <v>335000</v>
      </c>
      <c r="C1559" s="8">
        <v>2.9940119760478723E-3</v>
      </c>
    </row>
    <row r="1560" spans="1:3" x14ac:dyDescent="0.45">
      <c r="A1560" s="2">
        <v>35364</v>
      </c>
      <c r="B1560" s="7">
        <v>352000</v>
      </c>
      <c r="C1560" s="8">
        <v>5.0746268656716387E-2</v>
      </c>
    </row>
    <row r="1561" spans="1:3" x14ac:dyDescent="0.45">
      <c r="A1561" s="2">
        <v>35371</v>
      </c>
      <c r="B1561" s="7">
        <v>334000</v>
      </c>
      <c r="C1561" s="8">
        <v>-5.1136363636363646E-2</v>
      </c>
    </row>
    <row r="1562" spans="1:3" x14ac:dyDescent="0.45">
      <c r="A1562" s="2">
        <v>35378</v>
      </c>
      <c r="B1562" s="7">
        <v>327000</v>
      </c>
      <c r="C1562" s="8">
        <v>-2.0958083832335328E-2</v>
      </c>
    </row>
    <row r="1563" spans="1:3" x14ac:dyDescent="0.45">
      <c r="A1563" s="2">
        <v>35385</v>
      </c>
      <c r="B1563" s="7">
        <v>342000</v>
      </c>
      <c r="C1563" s="8">
        <v>4.587155963302747E-2</v>
      </c>
    </row>
    <row r="1564" spans="1:3" x14ac:dyDescent="0.45">
      <c r="A1564" s="2">
        <v>35392</v>
      </c>
      <c r="B1564" s="7">
        <v>347000</v>
      </c>
      <c r="C1564" s="8">
        <v>1.4619883040935644E-2</v>
      </c>
    </row>
    <row r="1565" spans="1:3" x14ac:dyDescent="0.45">
      <c r="A1565" s="2">
        <v>35399</v>
      </c>
      <c r="B1565" s="7">
        <v>332000</v>
      </c>
      <c r="C1565" s="8">
        <v>-4.3227665706051854E-2</v>
      </c>
    </row>
    <row r="1566" spans="1:3" x14ac:dyDescent="0.45">
      <c r="A1566" s="2">
        <v>35406</v>
      </c>
      <c r="B1566" s="7">
        <v>355000</v>
      </c>
      <c r="C1566" s="8">
        <v>6.9277108433734913E-2</v>
      </c>
    </row>
    <row r="1567" spans="1:3" x14ac:dyDescent="0.45">
      <c r="A1567" s="2">
        <v>35413</v>
      </c>
      <c r="B1567" s="7">
        <v>352000</v>
      </c>
      <c r="C1567" s="8">
        <v>-8.4507042253521014E-3</v>
      </c>
    </row>
    <row r="1568" spans="1:3" x14ac:dyDescent="0.45">
      <c r="A1568" s="2">
        <v>35420</v>
      </c>
      <c r="B1568" s="7">
        <v>350000</v>
      </c>
      <c r="C1568" s="8">
        <v>-5.6818181818182323E-3</v>
      </c>
    </row>
    <row r="1569" spans="1:3" x14ac:dyDescent="0.45">
      <c r="A1569" s="2">
        <v>35427</v>
      </c>
      <c r="B1569" s="7">
        <v>357000</v>
      </c>
      <c r="C1569" s="8">
        <v>2.0000000000000018E-2</v>
      </c>
    </row>
    <row r="1570" spans="1:3" x14ac:dyDescent="0.45">
      <c r="A1570" s="2">
        <v>35434</v>
      </c>
      <c r="B1570" s="7">
        <v>347000</v>
      </c>
      <c r="C1570" s="8">
        <v>-2.8011204481792729E-2</v>
      </c>
    </row>
    <row r="1571" spans="1:3" x14ac:dyDescent="0.45">
      <c r="A1571" s="2">
        <v>35441</v>
      </c>
      <c r="B1571" s="7">
        <v>324000</v>
      </c>
      <c r="C1571" s="8">
        <v>-6.6282420749279591E-2</v>
      </c>
    </row>
    <row r="1572" spans="1:3" x14ac:dyDescent="0.45">
      <c r="A1572" s="2">
        <v>35448</v>
      </c>
      <c r="B1572" s="7">
        <v>345000</v>
      </c>
      <c r="C1572" s="8">
        <v>6.4814814814814881E-2</v>
      </c>
    </row>
    <row r="1573" spans="1:3" x14ac:dyDescent="0.45">
      <c r="A1573" s="2">
        <v>35455</v>
      </c>
      <c r="B1573" s="7">
        <v>340000</v>
      </c>
      <c r="C1573" s="8">
        <v>-1.4492753623188359E-2</v>
      </c>
    </row>
    <row r="1574" spans="1:3" x14ac:dyDescent="0.45">
      <c r="A1574" s="2">
        <v>35462</v>
      </c>
      <c r="B1574" s="7">
        <v>333000</v>
      </c>
      <c r="C1574" s="8">
        <v>-2.0588235294117685E-2</v>
      </c>
    </row>
    <row r="1575" spans="1:3" x14ac:dyDescent="0.45">
      <c r="A1575" s="2">
        <v>35469</v>
      </c>
      <c r="B1575" s="7">
        <v>315000</v>
      </c>
      <c r="C1575" s="8">
        <v>-5.4054054054054057E-2</v>
      </c>
    </row>
    <row r="1576" spans="1:3" x14ac:dyDescent="0.45">
      <c r="A1576" s="2">
        <v>35476</v>
      </c>
      <c r="B1576" s="7">
        <v>313000</v>
      </c>
      <c r="C1576" s="8">
        <v>-6.3492063492063266E-3</v>
      </c>
    </row>
    <row r="1577" spans="1:3" x14ac:dyDescent="0.45">
      <c r="A1577" s="2">
        <v>35483</v>
      </c>
      <c r="B1577" s="7">
        <v>322000</v>
      </c>
      <c r="C1577" s="8">
        <v>2.8753993610223683E-2</v>
      </c>
    </row>
    <row r="1578" spans="1:3" x14ac:dyDescent="0.45">
      <c r="A1578" s="2">
        <v>35490</v>
      </c>
      <c r="B1578" s="7">
        <v>321000</v>
      </c>
      <c r="C1578" s="8">
        <v>-3.1055900621117516E-3</v>
      </c>
    </row>
    <row r="1579" spans="1:3" x14ac:dyDescent="0.45">
      <c r="A1579" s="2">
        <v>35497</v>
      </c>
      <c r="B1579" s="7">
        <v>317000</v>
      </c>
      <c r="C1579" s="8">
        <v>-1.2461059190031154E-2</v>
      </c>
    </row>
    <row r="1580" spans="1:3" x14ac:dyDescent="0.45">
      <c r="A1580" s="2">
        <v>35504</v>
      </c>
      <c r="B1580" s="7">
        <v>319000</v>
      </c>
      <c r="C1580" s="8">
        <v>6.3091482649841879E-3</v>
      </c>
    </row>
    <row r="1581" spans="1:3" x14ac:dyDescent="0.45">
      <c r="A1581" s="2">
        <v>35511</v>
      </c>
      <c r="B1581" s="7">
        <v>315000</v>
      </c>
      <c r="C1581" s="8">
        <v>-1.2539184952978011E-2</v>
      </c>
    </row>
    <row r="1582" spans="1:3" x14ac:dyDescent="0.45">
      <c r="A1582" s="2">
        <v>35518</v>
      </c>
      <c r="B1582" s="7">
        <v>325000</v>
      </c>
      <c r="C1582" s="8">
        <v>3.1746031746031855E-2</v>
      </c>
    </row>
    <row r="1583" spans="1:3" x14ac:dyDescent="0.45">
      <c r="A1583" s="2">
        <v>35525</v>
      </c>
      <c r="B1583" s="7">
        <v>325000</v>
      </c>
      <c r="C1583" s="8">
        <v>0</v>
      </c>
    </row>
    <row r="1584" spans="1:3" x14ac:dyDescent="0.45">
      <c r="A1584" s="2">
        <v>35532</v>
      </c>
      <c r="B1584" s="7">
        <v>330000</v>
      </c>
      <c r="C1584" s="8">
        <v>1.538461538461533E-2</v>
      </c>
    </row>
    <row r="1585" spans="1:3" x14ac:dyDescent="0.45">
      <c r="A1585" s="2">
        <v>35539</v>
      </c>
      <c r="B1585" s="7">
        <v>316000</v>
      </c>
      <c r="C1585" s="8">
        <v>-4.2424242424242475E-2</v>
      </c>
    </row>
    <row r="1586" spans="1:3" x14ac:dyDescent="0.45">
      <c r="A1586" s="2">
        <v>35546</v>
      </c>
      <c r="B1586" s="7">
        <v>337000</v>
      </c>
      <c r="C1586" s="8">
        <v>6.6455696202531556E-2</v>
      </c>
    </row>
    <row r="1587" spans="1:3" x14ac:dyDescent="0.45">
      <c r="A1587" s="2">
        <v>35553</v>
      </c>
      <c r="B1587" s="7">
        <v>342000</v>
      </c>
      <c r="C1587" s="8">
        <v>1.4836795252225476E-2</v>
      </c>
    </row>
    <row r="1588" spans="1:3" x14ac:dyDescent="0.45">
      <c r="A1588" s="2">
        <v>35560</v>
      </c>
      <c r="B1588" s="7">
        <v>318000</v>
      </c>
      <c r="C1588" s="8">
        <v>-7.0175438596491224E-2</v>
      </c>
    </row>
    <row r="1589" spans="1:3" x14ac:dyDescent="0.45">
      <c r="A1589" s="2">
        <v>35567</v>
      </c>
      <c r="B1589" s="7">
        <v>322000</v>
      </c>
      <c r="C1589" s="8">
        <v>1.2578616352201255E-2</v>
      </c>
    </row>
    <row r="1590" spans="1:3" x14ac:dyDescent="0.45">
      <c r="A1590" s="2">
        <v>35574</v>
      </c>
      <c r="B1590" s="7">
        <v>316000</v>
      </c>
      <c r="C1590" s="8">
        <v>-1.8633540372670843E-2</v>
      </c>
    </row>
    <row r="1591" spans="1:3" x14ac:dyDescent="0.45">
      <c r="A1591" s="2">
        <v>35581</v>
      </c>
      <c r="B1591" s="7">
        <v>321000</v>
      </c>
      <c r="C1591" s="8">
        <v>1.5822784810126667E-2</v>
      </c>
    </row>
    <row r="1592" spans="1:3" x14ac:dyDescent="0.45">
      <c r="A1592" s="2">
        <v>35588</v>
      </c>
      <c r="B1592" s="7">
        <v>329000</v>
      </c>
      <c r="C1592" s="8">
        <v>2.4922118380062308E-2</v>
      </c>
    </row>
    <row r="1593" spans="1:3" x14ac:dyDescent="0.45">
      <c r="A1593" s="2">
        <v>35595</v>
      </c>
      <c r="B1593" s="7">
        <v>335000</v>
      </c>
      <c r="C1593" s="8">
        <v>1.8237082066869359E-2</v>
      </c>
    </row>
    <row r="1594" spans="1:3" x14ac:dyDescent="0.45">
      <c r="A1594" s="2">
        <v>35602</v>
      </c>
      <c r="B1594" s="7">
        <v>316000</v>
      </c>
      <c r="C1594" s="8">
        <v>-5.6716417910447792E-2</v>
      </c>
    </row>
    <row r="1595" spans="1:3" x14ac:dyDescent="0.45">
      <c r="A1595" s="2">
        <v>35609</v>
      </c>
      <c r="B1595" s="7">
        <v>322000</v>
      </c>
      <c r="C1595" s="8">
        <v>1.8987341772152E-2</v>
      </c>
    </row>
    <row r="1596" spans="1:3" x14ac:dyDescent="0.45">
      <c r="A1596" s="2">
        <v>35616</v>
      </c>
      <c r="B1596" s="7">
        <v>346000</v>
      </c>
      <c r="C1596" s="8">
        <v>7.4534161490683148E-2</v>
      </c>
    </row>
    <row r="1597" spans="1:3" x14ac:dyDescent="0.45">
      <c r="A1597" s="2">
        <v>35623</v>
      </c>
      <c r="B1597" s="7">
        <v>328000</v>
      </c>
      <c r="C1597" s="8">
        <v>-5.2023121387283267E-2</v>
      </c>
    </row>
    <row r="1598" spans="1:3" x14ac:dyDescent="0.45">
      <c r="A1598" s="2">
        <v>35630</v>
      </c>
      <c r="B1598" s="7">
        <v>301000</v>
      </c>
      <c r="C1598" s="8">
        <v>-8.2317073170731669E-2</v>
      </c>
    </row>
    <row r="1599" spans="1:3" x14ac:dyDescent="0.45">
      <c r="A1599" s="2">
        <v>35637</v>
      </c>
      <c r="B1599" s="7">
        <v>306000</v>
      </c>
      <c r="C1599" s="8">
        <v>1.6611295681063121E-2</v>
      </c>
    </row>
    <row r="1600" spans="1:3" x14ac:dyDescent="0.45">
      <c r="A1600" s="2">
        <v>35644</v>
      </c>
      <c r="B1600" s="7">
        <v>320000</v>
      </c>
      <c r="C1600" s="8">
        <v>4.5751633986928164E-2</v>
      </c>
    </row>
    <row r="1601" spans="1:3" x14ac:dyDescent="0.45">
      <c r="A1601" s="2">
        <v>35651</v>
      </c>
      <c r="B1601" s="7">
        <v>329000</v>
      </c>
      <c r="C1601" s="8">
        <v>2.8124999999999956E-2</v>
      </c>
    </row>
    <row r="1602" spans="1:3" x14ac:dyDescent="0.45">
      <c r="A1602" s="2">
        <v>35658</v>
      </c>
      <c r="B1602" s="7">
        <v>343000</v>
      </c>
      <c r="C1602" s="8">
        <v>4.2553191489361764E-2</v>
      </c>
    </row>
    <row r="1603" spans="1:3" x14ac:dyDescent="0.45">
      <c r="A1603" s="2">
        <v>35665</v>
      </c>
      <c r="B1603" s="7">
        <v>327000</v>
      </c>
      <c r="C1603" s="8">
        <v>-4.6647230320699729E-2</v>
      </c>
    </row>
    <row r="1604" spans="1:3" x14ac:dyDescent="0.45">
      <c r="A1604" s="2">
        <v>35672</v>
      </c>
      <c r="B1604" s="7">
        <v>332000</v>
      </c>
      <c r="C1604" s="8">
        <v>1.5290519877675823E-2</v>
      </c>
    </row>
    <row r="1605" spans="1:3" x14ac:dyDescent="0.45">
      <c r="A1605" s="2">
        <v>35679</v>
      </c>
      <c r="B1605" s="7">
        <v>313000</v>
      </c>
      <c r="C1605" s="8">
        <v>-5.7228915662650648E-2</v>
      </c>
    </row>
    <row r="1606" spans="1:3" x14ac:dyDescent="0.45">
      <c r="A1606" s="2">
        <v>35686</v>
      </c>
      <c r="B1606" s="7">
        <v>314000</v>
      </c>
      <c r="C1606" s="8">
        <v>3.1948881789136685E-3</v>
      </c>
    </row>
    <row r="1607" spans="1:3" x14ac:dyDescent="0.45">
      <c r="A1607" s="2">
        <v>35693</v>
      </c>
      <c r="B1607" s="7">
        <v>317000</v>
      </c>
      <c r="C1607" s="8">
        <v>9.5541401273886439E-3</v>
      </c>
    </row>
    <row r="1608" spans="1:3" x14ac:dyDescent="0.45">
      <c r="A1608" s="2">
        <v>35700</v>
      </c>
      <c r="B1608" s="7">
        <v>317000</v>
      </c>
      <c r="C1608" s="8">
        <v>0</v>
      </c>
    </row>
    <row r="1609" spans="1:3" x14ac:dyDescent="0.45">
      <c r="A1609" s="2">
        <v>35707</v>
      </c>
      <c r="B1609" s="7">
        <v>311000</v>
      </c>
      <c r="C1609" s="8">
        <v>-1.8927444794952675E-2</v>
      </c>
    </row>
    <row r="1610" spans="1:3" x14ac:dyDescent="0.45">
      <c r="A1610" s="2">
        <v>35714</v>
      </c>
      <c r="B1610" s="7">
        <v>305000</v>
      </c>
      <c r="C1610" s="8">
        <v>-1.9292604501607746E-2</v>
      </c>
    </row>
    <row r="1611" spans="1:3" x14ac:dyDescent="0.45">
      <c r="A1611" s="2">
        <v>35721</v>
      </c>
      <c r="B1611" s="7">
        <v>318000</v>
      </c>
      <c r="C1611" s="8">
        <v>4.2622950819672045E-2</v>
      </c>
    </row>
    <row r="1612" spans="1:3" x14ac:dyDescent="0.45">
      <c r="A1612" s="2">
        <v>35728</v>
      </c>
      <c r="B1612" s="7">
        <v>306000</v>
      </c>
      <c r="C1612" s="8">
        <v>-3.7735849056603765E-2</v>
      </c>
    </row>
    <row r="1613" spans="1:3" x14ac:dyDescent="0.45">
      <c r="A1613" s="2">
        <v>35735</v>
      </c>
      <c r="B1613" s="7">
        <v>313000</v>
      </c>
      <c r="C1613" s="8">
        <v>2.2875816993463971E-2</v>
      </c>
    </row>
    <row r="1614" spans="1:3" x14ac:dyDescent="0.45">
      <c r="A1614" s="2">
        <v>35742</v>
      </c>
      <c r="B1614" s="7">
        <v>308000</v>
      </c>
      <c r="C1614" s="8">
        <v>-1.5974440894568676E-2</v>
      </c>
    </row>
    <row r="1615" spans="1:3" x14ac:dyDescent="0.45">
      <c r="A1615" s="2">
        <v>35749</v>
      </c>
      <c r="B1615" s="7">
        <v>325000</v>
      </c>
      <c r="C1615" s="8">
        <v>5.5194805194805241E-2</v>
      </c>
    </row>
    <row r="1616" spans="1:3" x14ac:dyDescent="0.45">
      <c r="A1616" s="2">
        <v>35756</v>
      </c>
      <c r="B1616" s="7">
        <v>309000</v>
      </c>
      <c r="C1616" s="8">
        <v>-4.9230769230769189E-2</v>
      </c>
    </row>
    <row r="1617" spans="1:3" x14ac:dyDescent="0.45">
      <c r="A1617" s="2">
        <v>35763</v>
      </c>
      <c r="B1617" s="7">
        <v>318000</v>
      </c>
      <c r="C1617" s="8">
        <v>2.9126213592232997E-2</v>
      </c>
    </row>
    <row r="1618" spans="1:3" x14ac:dyDescent="0.45">
      <c r="A1618" s="2">
        <v>35770</v>
      </c>
      <c r="B1618" s="7">
        <v>317000</v>
      </c>
      <c r="C1618" s="8">
        <v>-3.1446540880503138E-3</v>
      </c>
    </row>
    <row r="1619" spans="1:3" x14ac:dyDescent="0.45">
      <c r="A1619" s="2">
        <v>35777</v>
      </c>
      <c r="B1619" s="7">
        <v>323000</v>
      </c>
      <c r="C1619" s="8">
        <v>1.8927444794952786E-2</v>
      </c>
    </row>
    <row r="1620" spans="1:3" x14ac:dyDescent="0.45">
      <c r="A1620" s="2">
        <v>35784</v>
      </c>
      <c r="B1620" s="7">
        <v>310000</v>
      </c>
      <c r="C1620" s="8">
        <v>-4.0247678018575872E-2</v>
      </c>
    </row>
    <row r="1621" spans="1:3" x14ac:dyDescent="0.45">
      <c r="A1621" s="2">
        <v>35791</v>
      </c>
      <c r="B1621" s="7">
        <v>303000</v>
      </c>
      <c r="C1621" s="8">
        <v>-2.2580645161290325E-2</v>
      </c>
    </row>
    <row r="1622" spans="1:3" x14ac:dyDescent="0.45">
      <c r="A1622" s="2">
        <v>35798</v>
      </c>
      <c r="B1622" s="7">
        <v>312000</v>
      </c>
      <c r="C1622" s="8">
        <v>2.9702970297029729E-2</v>
      </c>
    </row>
    <row r="1623" spans="1:3" x14ac:dyDescent="0.45">
      <c r="A1623" s="2">
        <v>35805</v>
      </c>
      <c r="B1623" s="7">
        <v>331000</v>
      </c>
      <c r="C1623" s="8">
        <v>6.0897435897435903E-2</v>
      </c>
    </row>
    <row r="1624" spans="1:3" x14ac:dyDescent="0.45">
      <c r="A1624" s="2">
        <v>35812</v>
      </c>
      <c r="B1624" s="7">
        <v>341000</v>
      </c>
      <c r="C1624" s="8">
        <v>3.0211480362537735E-2</v>
      </c>
    </row>
    <row r="1625" spans="1:3" x14ac:dyDescent="0.45">
      <c r="A1625" s="2">
        <v>35819</v>
      </c>
      <c r="B1625" s="7">
        <v>307000</v>
      </c>
      <c r="C1625" s="8">
        <v>-9.9706744868035213E-2</v>
      </c>
    </row>
    <row r="1626" spans="1:3" x14ac:dyDescent="0.45">
      <c r="A1626" s="2">
        <v>35826</v>
      </c>
      <c r="B1626" s="7">
        <v>315000</v>
      </c>
      <c r="C1626" s="8">
        <v>2.6058631921824116E-2</v>
      </c>
    </row>
    <row r="1627" spans="1:3" x14ac:dyDescent="0.45">
      <c r="A1627" s="2">
        <v>35833</v>
      </c>
      <c r="B1627" s="7">
        <v>311000</v>
      </c>
      <c r="C1627" s="8">
        <v>-1.2698412698412653E-2</v>
      </c>
    </row>
    <row r="1628" spans="1:3" x14ac:dyDescent="0.45">
      <c r="A1628" s="2">
        <v>35840</v>
      </c>
      <c r="B1628" s="7">
        <v>321000</v>
      </c>
      <c r="C1628" s="8">
        <v>3.2154340836012762E-2</v>
      </c>
    </row>
    <row r="1629" spans="1:3" x14ac:dyDescent="0.45">
      <c r="A1629" s="2">
        <v>35847</v>
      </c>
      <c r="B1629" s="7">
        <v>327000</v>
      </c>
      <c r="C1629" s="8">
        <v>1.8691588785046731E-2</v>
      </c>
    </row>
    <row r="1630" spans="1:3" x14ac:dyDescent="0.45">
      <c r="A1630" s="2">
        <v>35854</v>
      </c>
      <c r="B1630" s="7">
        <v>317000</v>
      </c>
      <c r="C1630" s="8">
        <v>-3.0581039755351647E-2</v>
      </c>
    </row>
    <row r="1631" spans="1:3" x14ac:dyDescent="0.45">
      <c r="A1631" s="2">
        <v>35861</v>
      </c>
      <c r="B1631" s="7">
        <v>308000</v>
      </c>
      <c r="C1631" s="8">
        <v>-2.8391167192429068E-2</v>
      </c>
    </row>
    <row r="1632" spans="1:3" x14ac:dyDescent="0.45">
      <c r="A1632" s="2">
        <v>35868</v>
      </c>
      <c r="B1632" s="7">
        <v>319000</v>
      </c>
      <c r="C1632" s="8">
        <v>3.5714285714285809E-2</v>
      </c>
    </row>
    <row r="1633" spans="1:3" x14ac:dyDescent="0.45">
      <c r="A1633" s="2">
        <v>35875</v>
      </c>
      <c r="B1633" s="7">
        <v>321000</v>
      </c>
      <c r="C1633" s="8">
        <v>6.2695924764890609E-3</v>
      </c>
    </row>
    <row r="1634" spans="1:3" x14ac:dyDescent="0.45">
      <c r="A1634" s="2">
        <v>35882</v>
      </c>
      <c r="B1634" s="7">
        <v>312000</v>
      </c>
      <c r="C1634" s="8">
        <v>-2.8037383177570097E-2</v>
      </c>
    </row>
    <row r="1635" spans="1:3" x14ac:dyDescent="0.45">
      <c r="A1635" s="2">
        <v>35889</v>
      </c>
      <c r="B1635" s="7">
        <v>312000</v>
      </c>
      <c r="C1635" s="8">
        <v>0</v>
      </c>
    </row>
    <row r="1636" spans="1:3" x14ac:dyDescent="0.45">
      <c r="A1636" s="2">
        <v>35896</v>
      </c>
      <c r="B1636" s="7">
        <v>304000</v>
      </c>
      <c r="C1636" s="8">
        <v>-2.5641025641025661E-2</v>
      </c>
    </row>
    <row r="1637" spans="1:3" x14ac:dyDescent="0.45">
      <c r="A1637" s="2">
        <v>35903</v>
      </c>
      <c r="B1637" s="7">
        <v>317000</v>
      </c>
      <c r="C1637" s="8">
        <v>4.2763157894736947E-2</v>
      </c>
    </row>
    <row r="1638" spans="1:3" x14ac:dyDescent="0.45">
      <c r="A1638" s="2">
        <v>35910</v>
      </c>
      <c r="B1638" s="7">
        <v>311000</v>
      </c>
      <c r="C1638" s="8">
        <v>-1.8927444794952675E-2</v>
      </c>
    </row>
    <row r="1639" spans="1:3" x14ac:dyDescent="0.45">
      <c r="A1639" s="2">
        <v>35917</v>
      </c>
      <c r="B1639" s="7">
        <v>304000</v>
      </c>
      <c r="C1639" s="8">
        <v>-2.2508038585209E-2</v>
      </c>
    </row>
    <row r="1640" spans="1:3" x14ac:dyDescent="0.45">
      <c r="A1640" s="2">
        <v>35924</v>
      </c>
      <c r="B1640" s="7">
        <v>306000</v>
      </c>
      <c r="C1640" s="8">
        <v>6.5789473684210176E-3</v>
      </c>
    </row>
    <row r="1641" spans="1:3" x14ac:dyDescent="0.45">
      <c r="A1641" s="2">
        <v>35931</v>
      </c>
      <c r="B1641" s="7">
        <v>315000</v>
      </c>
      <c r="C1641" s="8">
        <v>2.9411764705882248E-2</v>
      </c>
    </row>
    <row r="1642" spans="1:3" x14ac:dyDescent="0.45">
      <c r="A1642" s="2">
        <v>35938</v>
      </c>
      <c r="B1642" s="7">
        <v>309000</v>
      </c>
      <c r="C1642" s="8">
        <v>-1.9047619047619091E-2</v>
      </c>
    </row>
    <row r="1643" spans="1:3" x14ac:dyDescent="0.45">
      <c r="A1643" s="2">
        <v>35945</v>
      </c>
      <c r="B1643" s="7">
        <v>322000</v>
      </c>
      <c r="C1643" s="8">
        <v>4.2071197411003292E-2</v>
      </c>
    </row>
    <row r="1644" spans="1:3" x14ac:dyDescent="0.45">
      <c r="A1644" s="2">
        <v>35952</v>
      </c>
      <c r="B1644" s="7">
        <v>306000</v>
      </c>
      <c r="C1644" s="8">
        <v>-4.9689440993788803E-2</v>
      </c>
    </row>
    <row r="1645" spans="1:3" x14ac:dyDescent="0.45">
      <c r="A1645" s="2">
        <v>35959</v>
      </c>
      <c r="B1645" s="7">
        <v>321000</v>
      </c>
      <c r="C1645" s="8">
        <v>4.9019607843137303E-2</v>
      </c>
    </row>
    <row r="1646" spans="1:3" x14ac:dyDescent="0.45">
      <c r="A1646" s="2">
        <v>35966</v>
      </c>
      <c r="B1646" s="7">
        <v>349000</v>
      </c>
      <c r="C1646" s="8">
        <v>8.7227414330218078E-2</v>
      </c>
    </row>
    <row r="1647" spans="1:3" x14ac:dyDescent="0.45">
      <c r="A1647" s="2">
        <v>35973</v>
      </c>
      <c r="B1647" s="7">
        <v>376000</v>
      </c>
      <c r="C1647" s="8">
        <v>7.7363896848137603E-2</v>
      </c>
    </row>
    <row r="1648" spans="1:3" x14ac:dyDescent="0.45">
      <c r="A1648" s="2">
        <v>35980</v>
      </c>
      <c r="B1648" s="7">
        <v>362000</v>
      </c>
      <c r="C1648" s="8">
        <v>-3.7234042553191515E-2</v>
      </c>
    </row>
    <row r="1649" spans="1:3" x14ac:dyDescent="0.45">
      <c r="A1649" s="2">
        <v>35987</v>
      </c>
      <c r="B1649" s="7">
        <v>320000</v>
      </c>
      <c r="C1649" s="8">
        <v>-0.11602209944751385</v>
      </c>
    </row>
    <row r="1650" spans="1:3" x14ac:dyDescent="0.45">
      <c r="A1650" s="2">
        <v>35994</v>
      </c>
      <c r="B1650" s="7">
        <v>315000</v>
      </c>
      <c r="C1650" s="8">
        <v>-1.5625E-2</v>
      </c>
    </row>
    <row r="1651" spans="1:3" x14ac:dyDescent="0.45">
      <c r="A1651" s="2">
        <v>36001</v>
      </c>
      <c r="B1651" s="7">
        <v>335000</v>
      </c>
      <c r="C1651" s="8">
        <v>6.3492063492063489E-2</v>
      </c>
    </row>
    <row r="1652" spans="1:3" x14ac:dyDescent="0.45">
      <c r="A1652" s="2">
        <v>36008</v>
      </c>
      <c r="B1652" s="7">
        <v>327000</v>
      </c>
      <c r="C1652" s="8">
        <v>-2.3880597014925398E-2</v>
      </c>
    </row>
    <row r="1653" spans="1:3" x14ac:dyDescent="0.45">
      <c r="A1653" s="2">
        <v>36015</v>
      </c>
      <c r="B1653" s="7">
        <v>316000</v>
      </c>
      <c r="C1653" s="8">
        <v>-3.3639143730886834E-2</v>
      </c>
    </row>
    <row r="1654" spans="1:3" x14ac:dyDescent="0.45">
      <c r="A1654" s="2">
        <v>36022</v>
      </c>
      <c r="B1654" s="7">
        <v>308000</v>
      </c>
      <c r="C1654" s="8">
        <v>-2.5316455696202556E-2</v>
      </c>
    </row>
    <row r="1655" spans="1:3" x14ac:dyDescent="0.45">
      <c r="A1655" s="2">
        <v>36029</v>
      </c>
      <c r="B1655" s="7">
        <v>302000</v>
      </c>
      <c r="C1655" s="8">
        <v>-1.9480519480519431E-2</v>
      </c>
    </row>
    <row r="1656" spans="1:3" x14ac:dyDescent="0.45">
      <c r="A1656" s="2">
        <v>36036</v>
      </c>
      <c r="B1656" s="7">
        <v>310000</v>
      </c>
      <c r="C1656" s="8">
        <v>2.6490066225165476E-2</v>
      </c>
    </row>
    <row r="1657" spans="1:3" x14ac:dyDescent="0.45">
      <c r="A1657" s="2">
        <v>36043</v>
      </c>
      <c r="B1657" s="7">
        <v>313000</v>
      </c>
      <c r="C1657" s="8">
        <v>9.6774193548387899E-3</v>
      </c>
    </row>
    <row r="1658" spans="1:3" x14ac:dyDescent="0.45">
      <c r="A1658" s="2">
        <v>36050</v>
      </c>
      <c r="B1658" s="7">
        <v>304000</v>
      </c>
      <c r="C1658" s="8">
        <v>-2.8753993610223683E-2</v>
      </c>
    </row>
    <row r="1659" spans="1:3" x14ac:dyDescent="0.45">
      <c r="A1659" s="2">
        <v>36057</v>
      </c>
      <c r="B1659" s="7">
        <v>305000</v>
      </c>
      <c r="C1659" s="8">
        <v>3.2894736842106198E-3</v>
      </c>
    </row>
    <row r="1660" spans="1:3" x14ac:dyDescent="0.45">
      <c r="A1660" s="2">
        <v>36064</v>
      </c>
      <c r="B1660" s="7">
        <v>294000</v>
      </c>
      <c r="C1660" s="8">
        <v>-3.6065573770491799E-2</v>
      </c>
    </row>
    <row r="1661" spans="1:3" x14ac:dyDescent="0.45">
      <c r="A1661" s="2">
        <v>36071</v>
      </c>
      <c r="B1661" s="7">
        <v>302000</v>
      </c>
      <c r="C1661" s="8">
        <v>2.7210884353741527E-2</v>
      </c>
    </row>
    <row r="1662" spans="1:3" x14ac:dyDescent="0.45">
      <c r="A1662" s="2">
        <v>36078</v>
      </c>
      <c r="B1662" s="7">
        <v>316000</v>
      </c>
      <c r="C1662" s="8">
        <v>4.635761589403975E-2</v>
      </c>
    </row>
    <row r="1663" spans="1:3" x14ac:dyDescent="0.45">
      <c r="A1663" s="2">
        <v>36085</v>
      </c>
      <c r="B1663" s="7">
        <v>318000</v>
      </c>
      <c r="C1663" s="8">
        <v>6.3291139240506666E-3</v>
      </c>
    </row>
    <row r="1664" spans="1:3" x14ac:dyDescent="0.45">
      <c r="A1664" s="2">
        <v>36092</v>
      </c>
      <c r="B1664" s="7">
        <v>309000</v>
      </c>
      <c r="C1664" s="8">
        <v>-2.8301886792452824E-2</v>
      </c>
    </row>
    <row r="1665" spans="1:3" x14ac:dyDescent="0.45">
      <c r="A1665" s="2">
        <v>36099</v>
      </c>
      <c r="B1665" s="7">
        <v>308000</v>
      </c>
      <c r="C1665" s="8">
        <v>-3.2362459546925182E-3</v>
      </c>
    </row>
    <row r="1666" spans="1:3" x14ac:dyDescent="0.45">
      <c r="A1666" s="2">
        <v>36106</v>
      </c>
      <c r="B1666" s="7">
        <v>316000</v>
      </c>
      <c r="C1666" s="8">
        <v>2.5974025974025983E-2</v>
      </c>
    </row>
    <row r="1667" spans="1:3" x14ac:dyDescent="0.45">
      <c r="A1667" s="2">
        <v>36113</v>
      </c>
      <c r="B1667" s="7">
        <v>334000</v>
      </c>
      <c r="C1667" s="8">
        <v>5.6962025316455778E-2</v>
      </c>
    </row>
    <row r="1668" spans="1:3" x14ac:dyDescent="0.45">
      <c r="A1668" s="2">
        <v>36120</v>
      </c>
      <c r="B1668" s="7">
        <v>304000</v>
      </c>
      <c r="C1668" s="8">
        <v>-8.9820359281437168E-2</v>
      </c>
    </row>
    <row r="1669" spans="1:3" x14ac:dyDescent="0.45">
      <c r="A1669" s="2">
        <v>36127</v>
      </c>
      <c r="B1669" s="7">
        <v>310000</v>
      </c>
      <c r="C1669" s="8">
        <v>1.9736842105263053E-2</v>
      </c>
    </row>
    <row r="1670" spans="1:3" x14ac:dyDescent="0.45">
      <c r="A1670" s="2">
        <v>36134</v>
      </c>
      <c r="B1670" s="7">
        <v>326000</v>
      </c>
      <c r="C1670" s="8">
        <v>5.1612903225806361E-2</v>
      </c>
    </row>
    <row r="1671" spans="1:3" x14ac:dyDescent="0.45">
      <c r="A1671" s="2">
        <v>36141</v>
      </c>
      <c r="B1671" s="7">
        <v>305000</v>
      </c>
      <c r="C1671" s="8">
        <v>-6.4417177914110391E-2</v>
      </c>
    </row>
    <row r="1672" spans="1:3" x14ac:dyDescent="0.45">
      <c r="A1672" s="2">
        <v>36148</v>
      </c>
      <c r="B1672" s="7">
        <v>297000</v>
      </c>
      <c r="C1672" s="8">
        <v>-2.6229508196721318E-2</v>
      </c>
    </row>
    <row r="1673" spans="1:3" x14ac:dyDescent="0.45">
      <c r="A1673" s="2">
        <v>36155</v>
      </c>
      <c r="B1673" s="7">
        <v>336000</v>
      </c>
      <c r="C1673" s="8">
        <v>0.13131313131313127</v>
      </c>
    </row>
    <row r="1674" spans="1:3" x14ac:dyDescent="0.45">
      <c r="A1674" s="2">
        <v>36162</v>
      </c>
      <c r="B1674" s="7">
        <v>331000</v>
      </c>
      <c r="C1674" s="8">
        <v>-1.4880952380952328E-2</v>
      </c>
    </row>
    <row r="1675" spans="1:3" x14ac:dyDescent="0.45">
      <c r="A1675" s="2">
        <v>36169</v>
      </c>
      <c r="B1675" s="7">
        <v>345000</v>
      </c>
      <c r="C1675" s="8">
        <v>4.2296072507552962E-2</v>
      </c>
    </row>
    <row r="1676" spans="1:3" x14ac:dyDescent="0.45">
      <c r="A1676" s="2">
        <v>36176</v>
      </c>
      <c r="B1676" s="7">
        <v>339000</v>
      </c>
      <c r="C1676" s="8">
        <v>-1.7391304347826098E-2</v>
      </c>
    </row>
    <row r="1677" spans="1:3" x14ac:dyDescent="0.45">
      <c r="A1677" s="2">
        <v>36183</v>
      </c>
      <c r="B1677" s="7">
        <v>311000</v>
      </c>
      <c r="C1677" s="8">
        <v>-8.259587020648973E-2</v>
      </c>
    </row>
    <row r="1678" spans="1:3" x14ac:dyDescent="0.45">
      <c r="A1678" s="2">
        <v>36190</v>
      </c>
      <c r="B1678" s="7">
        <v>305000</v>
      </c>
      <c r="C1678" s="8">
        <v>-1.9292604501607746E-2</v>
      </c>
    </row>
    <row r="1679" spans="1:3" x14ac:dyDescent="0.45">
      <c r="A1679" s="2">
        <v>36197</v>
      </c>
      <c r="B1679" s="7">
        <v>291000</v>
      </c>
      <c r="C1679" s="8">
        <v>-4.5901639344262279E-2</v>
      </c>
    </row>
    <row r="1680" spans="1:3" x14ac:dyDescent="0.45">
      <c r="A1680" s="2">
        <v>36204</v>
      </c>
      <c r="B1680" s="7">
        <v>312000</v>
      </c>
      <c r="C1680" s="8">
        <v>7.2164948453608213E-2</v>
      </c>
    </row>
    <row r="1681" spans="1:3" x14ac:dyDescent="0.45">
      <c r="A1681" s="2">
        <v>36211</v>
      </c>
      <c r="B1681" s="7">
        <v>302000</v>
      </c>
      <c r="C1681" s="8">
        <v>-3.2051282051282048E-2</v>
      </c>
    </row>
    <row r="1682" spans="1:3" x14ac:dyDescent="0.45">
      <c r="A1682" s="2">
        <v>36218</v>
      </c>
      <c r="B1682" s="7">
        <v>301000</v>
      </c>
      <c r="C1682" s="8">
        <v>-3.3112582781457123E-3</v>
      </c>
    </row>
    <row r="1683" spans="1:3" x14ac:dyDescent="0.45">
      <c r="A1683" s="2">
        <v>36225</v>
      </c>
      <c r="B1683" s="7">
        <v>300000</v>
      </c>
      <c r="C1683" s="8">
        <v>-3.3222591362126463E-3</v>
      </c>
    </row>
    <row r="1684" spans="1:3" x14ac:dyDescent="0.45">
      <c r="A1684" s="2">
        <v>36232</v>
      </c>
      <c r="B1684" s="7">
        <v>308000</v>
      </c>
      <c r="C1684" s="8">
        <v>2.6666666666666616E-2</v>
      </c>
    </row>
    <row r="1685" spans="1:3" x14ac:dyDescent="0.45">
      <c r="A1685" s="2">
        <v>36239</v>
      </c>
      <c r="B1685" s="7">
        <v>305000</v>
      </c>
      <c r="C1685" s="8">
        <v>-9.7402597402597157E-3</v>
      </c>
    </row>
    <row r="1686" spans="1:3" x14ac:dyDescent="0.45">
      <c r="A1686" s="2">
        <v>36246</v>
      </c>
      <c r="B1686" s="7">
        <v>298000</v>
      </c>
      <c r="C1686" s="8">
        <v>-2.2950819672131195E-2</v>
      </c>
    </row>
    <row r="1687" spans="1:3" x14ac:dyDescent="0.45">
      <c r="A1687" s="2">
        <v>36253</v>
      </c>
      <c r="B1687" s="7">
        <v>310000</v>
      </c>
      <c r="C1687" s="8">
        <v>4.0268456375838868E-2</v>
      </c>
    </row>
    <row r="1688" spans="1:3" x14ac:dyDescent="0.45">
      <c r="A1688" s="2">
        <v>36260</v>
      </c>
      <c r="B1688" s="7">
        <v>319000</v>
      </c>
      <c r="C1688" s="8">
        <v>2.9032258064516148E-2</v>
      </c>
    </row>
    <row r="1689" spans="1:3" x14ac:dyDescent="0.45">
      <c r="A1689" s="2">
        <v>36267</v>
      </c>
      <c r="B1689" s="7">
        <v>314000</v>
      </c>
      <c r="C1689" s="8">
        <v>-1.5673981191222541E-2</v>
      </c>
    </row>
    <row r="1690" spans="1:3" x14ac:dyDescent="0.45">
      <c r="A1690" s="2">
        <v>36274</v>
      </c>
      <c r="B1690" s="7">
        <v>291000</v>
      </c>
      <c r="C1690" s="8">
        <v>-7.3248407643312086E-2</v>
      </c>
    </row>
    <row r="1691" spans="1:3" x14ac:dyDescent="0.45">
      <c r="A1691" s="2">
        <v>36281</v>
      </c>
      <c r="B1691" s="7">
        <v>296000</v>
      </c>
      <c r="C1691" s="8">
        <v>1.7182130584192379E-2</v>
      </c>
    </row>
    <row r="1692" spans="1:3" x14ac:dyDescent="0.45">
      <c r="A1692" s="2">
        <v>36288</v>
      </c>
      <c r="B1692" s="7">
        <v>310000</v>
      </c>
      <c r="C1692" s="8">
        <v>4.7297297297297369E-2</v>
      </c>
    </row>
    <row r="1693" spans="1:3" x14ac:dyDescent="0.45">
      <c r="A1693" s="2">
        <v>36295</v>
      </c>
      <c r="B1693" s="7">
        <v>301000</v>
      </c>
      <c r="C1693" s="8">
        <v>-2.9032258064516148E-2</v>
      </c>
    </row>
    <row r="1694" spans="1:3" x14ac:dyDescent="0.45">
      <c r="A1694" s="2">
        <v>36302</v>
      </c>
      <c r="B1694" s="7">
        <v>298000</v>
      </c>
      <c r="C1694" s="8">
        <v>-9.966777408637828E-3</v>
      </c>
    </row>
    <row r="1695" spans="1:3" x14ac:dyDescent="0.45">
      <c r="A1695" s="2">
        <v>36309</v>
      </c>
      <c r="B1695" s="7">
        <v>303000</v>
      </c>
      <c r="C1695" s="8">
        <v>1.6778523489932917E-2</v>
      </c>
    </row>
    <row r="1696" spans="1:3" x14ac:dyDescent="0.45">
      <c r="A1696" s="2">
        <v>36316</v>
      </c>
      <c r="B1696" s="7">
        <v>303000</v>
      </c>
      <c r="C1696" s="8">
        <v>0</v>
      </c>
    </row>
    <row r="1697" spans="1:3" x14ac:dyDescent="0.45">
      <c r="A1697" s="2">
        <v>36323</v>
      </c>
      <c r="B1697" s="7">
        <v>290000</v>
      </c>
      <c r="C1697" s="8">
        <v>-4.2904290429042868E-2</v>
      </c>
    </row>
    <row r="1698" spans="1:3" x14ac:dyDescent="0.45">
      <c r="A1698" s="2">
        <v>36330</v>
      </c>
      <c r="B1698" s="7">
        <v>292000</v>
      </c>
      <c r="C1698" s="8">
        <v>6.8965517241379448E-3</v>
      </c>
    </row>
    <row r="1699" spans="1:3" x14ac:dyDescent="0.45">
      <c r="A1699" s="2">
        <v>36337</v>
      </c>
      <c r="B1699" s="7">
        <v>291000</v>
      </c>
      <c r="C1699" s="8">
        <v>-3.424657534246589E-3</v>
      </c>
    </row>
    <row r="1700" spans="1:3" x14ac:dyDescent="0.45">
      <c r="A1700" s="2">
        <v>36344</v>
      </c>
      <c r="B1700" s="7">
        <v>287000</v>
      </c>
      <c r="C1700" s="8">
        <v>-1.3745704467353903E-2</v>
      </c>
    </row>
    <row r="1701" spans="1:3" x14ac:dyDescent="0.45">
      <c r="A1701" s="2">
        <v>36351</v>
      </c>
      <c r="B1701" s="7">
        <v>288000</v>
      </c>
      <c r="C1701" s="8">
        <v>3.4843205574912606E-3</v>
      </c>
    </row>
    <row r="1702" spans="1:3" x14ac:dyDescent="0.45">
      <c r="A1702" s="2">
        <v>36358</v>
      </c>
      <c r="B1702" s="7">
        <v>309000</v>
      </c>
      <c r="C1702" s="8">
        <v>7.2916666666666741E-2</v>
      </c>
    </row>
    <row r="1703" spans="1:3" x14ac:dyDescent="0.45">
      <c r="A1703" s="2">
        <v>36365</v>
      </c>
      <c r="B1703" s="7">
        <v>306000</v>
      </c>
      <c r="C1703" s="8">
        <v>-9.7087378640776656E-3</v>
      </c>
    </row>
    <row r="1704" spans="1:3" x14ac:dyDescent="0.45">
      <c r="A1704" s="2">
        <v>36372</v>
      </c>
      <c r="B1704" s="7">
        <v>300000</v>
      </c>
      <c r="C1704" s="8">
        <v>-1.9607843137254943E-2</v>
      </c>
    </row>
    <row r="1705" spans="1:3" x14ac:dyDescent="0.45">
      <c r="A1705" s="2">
        <v>36379</v>
      </c>
      <c r="B1705" s="7">
        <v>295000</v>
      </c>
      <c r="C1705" s="8">
        <v>-1.6666666666666718E-2</v>
      </c>
    </row>
    <row r="1706" spans="1:3" x14ac:dyDescent="0.45">
      <c r="A1706" s="2">
        <v>36386</v>
      </c>
      <c r="B1706" s="7">
        <v>292000</v>
      </c>
      <c r="C1706" s="8">
        <v>-1.016949152542368E-2</v>
      </c>
    </row>
    <row r="1707" spans="1:3" x14ac:dyDescent="0.45">
      <c r="A1707" s="2">
        <v>36393</v>
      </c>
      <c r="B1707" s="7">
        <v>286000</v>
      </c>
      <c r="C1707" s="8">
        <v>-2.0547945205479423E-2</v>
      </c>
    </row>
    <row r="1708" spans="1:3" x14ac:dyDescent="0.45">
      <c r="A1708" s="2">
        <v>36400</v>
      </c>
      <c r="B1708" s="7">
        <v>290000</v>
      </c>
      <c r="C1708" s="8">
        <v>1.3986013986013957E-2</v>
      </c>
    </row>
    <row r="1709" spans="1:3" x14ac:dyDescent="0.45">
      <c r="A1709" s="2">
        <v>36407</v>
      </c>
      <c r="B1709" s="7">
        <v>290000</v>
      </c>
      <c r="C1709" s="8">
        <v>0</v>
      </c>
    </row>
    <row r="1710" spans="1:3" x14ac:dyDescent="0.45">
      <c r="A1710" s="2">
        <v>36414</v>
      </c>
      <c r="B1710" s="7">
        <v>281000</v>
      </c>
      <c r="C1710" s="8">
        <v>-3.1034482758620641E-2</v>
      </c>
    </row>
    <row r="1711" spans="1:3" x14ac:dyDescent="0.45">
      <c r="A1711" s="2">
        <v>36421</v>
      </c>
      <c r="B1711" s="7">
        <v>281000</v>
      </c>
      <c r="C1711" s="8">
        <v>0</v>
      </c>
    </row>
    <row r="1712" spans="1:3" x14ac:dyDescent="0.45">
      <c r="A1712" s="2">
        <v>36428</v>
      </c>
      <c r="B1712" s="7">
        <v>306000</v>
      </c>
      <c r="C1712" s="8">
        <v>8.8967971530249157E-2</v>
      </c>
    </row>
    <row r="1713" spans="1:3" x14ac:dyDescent="0.45">
      <c r="A1713" s="2">
        <v>36435</v>
      </c>
      <c r="B1713" s="7">
        <v>309000</v>
      </c>
      <c r="C1713" s="8">
        <v>9.8039215686274161E-3</v>
      </c>
    </row>
    <row r="1714" spans="1:3" x14ac:dyDescent="0.45">
      <c r="A1714" s="2">
        <v>36442</v>
      </c>
      <c r="B1714" s="7">
        <v>291000</v>
      </c>
      <c r="C1714" s="8">
        <v>-5.8252427184465994E-2</v>
      </c>
    </row>
    <row r="1715" spans="1:3" x14ac:dyDescent="0.45">
      <c r="A1715" s="2">
        <v>36449</v>
      </c>
      <c r="B1715" s="7">
        <v>287000</v>
      </c>
      <c r="C1715" s="8">
        <v>-1.3745704467353903E-2</v>
      </c>
    </row>
    <row r="1716" spans="1:3" x14ac:dyDescent="0.45">
      <c r="A1716" s="2">
        <v>36456</v>
      </c>
      <c r="B1716" s="7">
        <v>280000</v>
      </c>
      <c r="C1716" s="8">
        <v>-2.4390243902439046E-2</v>
      </c>
    </row>
    <row r="1717" spans="1:3" x14ac:dyDescent="0.45">
      <c r="A1717" s="2">
        <v>36463</v>
      </c>
      <c r="B1717" s="7">
        <v>285000</v>
      </c>
      <c r="C1717" s="8">
        <v>1.7857142857142794E-2</v>
      </c>
    </row>
    <row r="1718" spans="1:3" x14ac:dyDescent="0.45">
      <c r="A1718" s="2">
        <v>36470</v>
      </c>
      <c r="B1718" s="7">
        <v>282000</v>
      </c>
      <c r="C1718" s="8">
        <v>-1.0526315789473717E-2</v>
      </c>
    </row>
    <row r="1719" spans="1:3" x14ac:dyDescent="0.45">
      <c r="A1719" s="2">
        <v>36477</v>
      </c>
      <c r="B1719" s="7">
        <v>281000</v>
      </c>
      <c r="C1719" s="8">
        <v>-3.5460992907800915E-3</v>
      </c>
    </row>
    <row r="1720" spans="1:3" x14ac:dyDescent="0.45">
      <c r="A1720" s="2">
        <v>36484</v>
      </c>
      <c r="B1720" s="7">
        <v>276000</v>
      </c>
      <c r="C1720" s="8">
        <v>-1.7793594306049876E-2</v>
      </c>
    </row>
    <row r="1721" spans="1:3" x14ac:dyDescent="0.45">
      <c r="A1721" s="2">
        <v>36491</v>
      </c>
      <c r="B1721" s="7">
        <v>288000</v>
      </c>
      <c r="C1721" s="8">
        <v>4.3478260869565188E-2</v>
      </c>
    </row>
    <row r="1722" spans="1:3" x14ac:dyDescent="0.45">
      <c r="A1722" s="2">
        <v>36498</v>
      </c>
      <c r="B1722" s="7">
        <v>287000</v>
      </c>
      <c r="C1722" s="8">
        <v>-3.4722222222222099E-3</v>
      </c>
    </row>
    <row r="1723" spans="1:3" x14ac:dyDescent="0.45">
      <c r="A1723" s="2">
        <v>36505</v>
      </c>
      <c r="B1723" s="7">
        <v>272000</v>
      </c>
      <c r="C1723" s="8">
        <v>-5.2264808362369353E-2</v>
      </c>
    </row>
    <row r="1724" spans="1:3" x14ac:dyDescent="0.45">
      <c r="A1724" s="2">
        <v>36512</v>
      </c>
      <c r="B1724" s="7">
        <v>287000</v>
      </c>
      <c r="C1724" s="8">
        <v>5.5147058823529438E-2</v>
      </c>
    </row>
    <row r="1725" spans="1:3" x14ac:dyDescent="0.45">
      <c r="A1725" s="2">
        <v>36519</v>
      </c>
      <c r="B1725" s="7">
        <v>268000</v>
      </c>
      <c r="C1725" s="8">
        <v>-6.6202090592334506E-2</v>
      </c>
    </row>
    <row r="1726" spans="1:3" x14ac:dyDescent="0.45">
      <c r="A1726" s="2">
        <v>36526</v>
      </c>
      <c r="B1726" s="7">
        <v>286000</v>
      </c>
      <c r="C1726" s="8">
        <v>6.7164179104477695E-2</v>
      </c>
    </row>
    <row r="1727" spans="1:3" x14ac:dyDescent="0.45">
      <c r="A1727" s="2">
        <v>36533</v>
      </c>
      <c r="B1727" s="7">
        <v>298000</v>
      </c>
      <c r="C1727" s="8">
        <v>4.195804195804187E-2</v>
      </c>
    </row>
    <row r="1728" spans="1:3" x14ac:dyDescent="0.45">
      <c r="A1728" s="2">
        <v>36540</v>
      </c>
      <c r="B1728" s="7">
        <v>289000</v>
      </c>
      <c r="C1728" s="8">
        <v>-3.0201342281879207E-2</v>
      </c>
    </row>
    <row r="1729" spans="1:3" x14ac:dyDescent="0.45">
      <c r="A1729" s="2">
        <v>36547</v>
      </c>
      <c r="B1729" s="7">
        <v>284000</v>
      </c>
      <c r="C1729" s="8">
        <v>-1.730103806228378E-2</v>
      </c>
    </row>
    <row r="1730" spans="1:3" x14ac:dyDescent="0.45">
      <c r="A1730" s="2">
        <v>36554</v>
      </c>
      <c r="B1730" s="7">
        <v>285000</v>
      </c>
      <c r="C1730" s="8">
        <v>3.5211267605634866E-3</v>
      </c>
    </row>
    <row r="1731" spans="1:3" x14ac:dyDescent="0.45">
      <c r="A1731" s="2">
        <v>36561</v>
      </c>
      <c r="B1731" s="7">
        <v>312000</v>
      </c>
      <c r="C1731" s="8">
        <v>9.473684210526323E-2</v>
      </c>
    </row>
    <row r="1732" spans="1:3" x14ac:dyDescent="0.45">
      <c r="A1732" s="2">
        <v>36568</v>
      </c>
      <c r="B1732" s="7">
        <v>300000</v>
      </c>
      <c r="C1732" s="8">
        <v>-3.8461538461538436E-2</v>
      </c>
    </row>
    <row r="1733" spans="1:3" x14ac:dyDescent="0.45">
      <c r="A1733" s="2">
        <v>36575</v>
      </c>
      <c r="B1733" s="7">
        <v>283000</v>
      </c>
      <c r="C1733" s="8">
        <v>-5.6666666666666643E-2</v>
      </c>
    </row>
    <row r="1734" spans="1:3" x14ac:dyDescent="0.45">
      <c r="A1734" s="2">
        <v>36582</v>
      </c>
      <c r="B1734" s="7">
        <v>280000</v>
      </c>
      <c r="C1734" s="8">
        <v>-1.0600706713780883E-2</v>
      </c>
    </row>
    <row r="1735" spans="1:3" x14ac:dyDescent="0.45">
      <c r="A1735" s="2">
        <v>36589</v>
      </c>
      <c r="B1735" s="7">
        <v>286000</v>
      </c>
      <c r="C1735" s="8">
        <v>2.1428571428571352E-2</v>
      </c>
    </row>
    <row r="1736" spans="1:3" x14ac:dyDescent="0.45">
      <c r="A1736" s="2">
        <v>36596</v>
      </c>
      <c r="B1736" s="7">
        <v>270000</v>
      </c>
      <c r="C1736" s="8">
        <v>-5.5944055944055937E-2</v>
      </c>
    </row>
    <row r="1737" spans="1:3" x14ac:dyDescent="0.45">
      <c r="A1737" s="2">
        <v>36603</v>
      </c>
      <c r="B1737" s="7">
        <v>271000</v>
      </c>
      <c r="C1737" s="8">
        <v>3.7037037037037646E-3</v>
      </c>
    </row>
    <row r="1738" spans="1:3" x14ac:dyDescent="0.45">
      <c r="A1738" s="2">
        <v>36610</v>
      </c>
      <c r="B1738" s="7">
        <v>272000</v>
      </c>
      <c r="C1738" s="8">
        <v>3.6900369003689537E-3</v>
      </c>
    </row>
    <row r="1739" spans="1:3" x14ac:dyDescent="0.45">
      <c r="A1739" s="2">
        <v>36617</v>
      </c>
      <c r="B1739" s="7">
        <v>266000</v>
      </c>
      <c r="C1739" s="8">
        <v>-2.2058823529411797E-2</v>
      </c>
    </row>
    <row r="1740" spans="1:3" x14ac:dyDescent="0.45">
      <c r="A1740" s="2">
        <v>36624</v>
      </c>
      <c r="B1740" s="7">
        <v>268000</v>
      </c>
      <c r="C1740" s="8">
        <v>7.5187969924812581E-3</v>
      </c>
    </row>
    <row r="1741" spans="1:3" x14ac:dyDescent="0.45">
      <c r="A1741" s="2">
        <v>36631</v>
      </c>
      <c r="B1741" s="7">
        <v>259000</v>
      </c>
      <c r="C1741" s="8">
        <v>-3.3582089552238847E-2</v>
      </c>
    </row>
    <row r="1742" spans="1:3" x14ac:dyDescent="0.45">
      <c r="A1742" s="2">
        <v>36638</v>
      </c>
      <c r="B1742" s="7">
        <v>274000</v>
      </c>
      <c r="C1742" s="8">
        <v>5.7915057915058021E-2</v>
      </c>
    </row>
    <row r="1743" spans="1:3" x14ac:dyDescent="0.45">
      <c r="A1743" s="2">
        <v>36645</v>
      </c>
      <c r="B1743" s="7">
        <v>291000</v>
      </c>
      <c r="C1743" s="8">
        <v>6.2043795620438047E-2</v>
      </c>
    </row>
    <row r="1744" spans="1:3" x14ac:dyDescent="0.45">
      <c r="A1744" s="2">
        <v>36652</v>
      </c>
      <c r="B1744" s="7">
        <v>293000</v>
      </c>
      <c r="C1744" s="8">
        <v>6.8728522336769515E-3</v>
      </c>
    </row>
    <row r="1745" spans="1:3" x14ac:dyDescent="0.45">
      <c r="A1745" s="2">
        <v>36659</v>
      </c>
      <c r="B1745" s="7">
        <v>276000</v>
      </c>
      <c r="C1745" s="8">
        <v>-5.8020477815699634E-2</v>
      </c>
    </row>
    <row r="1746" spans="1:3" x14ac:dyDescent="0.45">
      <c r="A1746" s="2">
        <v>36666</v>
      </c>
      <c r="B1746" s="7">
        <v>280000</v>
      </c>
      <c r="C1746" s="8">
        <v>1.449275362318847E-2</v>
      </c>
    </row>
    <row r="1747" spans="1:3" x14ac:dyDescent="0.45">
      <c r="A1747" s="2">
        <v>36673</v>
      </c>
      <c r="B1747" s="7">
        <v>280000</v>
      </c>
      <c r="C1747" s="8">
        <v>0</v>
      </c>
    </row>
    <row r="1748" spans="1:3" x14ac:dyDescent="0.45">
      <c r="A1748" s="2">
        <v>36680</v>
      </c>
      <c r="B1748" s="7">
        <v>290000</v>
      </c>
      <c r="C1748" s="8">
        <v>3.5714285714285809E-2</v>
      </c>
    </row>
    <row r="1749" spans="1:3" x14ac:dyDescent="0.45">
      <c r="A1749" s="2">
        <v>36687</v>
      </c>
      <c r="B1749" s="7">
        <v>284000</v>
      </c>
      <c r="C1749" s="8">
        <v>-2.0689655172413834E-2</v>
      </c>
    </row>
    <row r="1750" spans="1:3" x14ac:dyDescent="0.45">
      <c r="A1750" s="2">
        <v>36694</v>
      </c>
      <c r="B1750" s="7">
        <v>294000</v>
      </c>
      <c r="C1750" s="8">
        <v>3.5211267605633756E-2</v>
      </c>
    </row>
    <row r="1751" spans="1:3" x14ac:dyDescent="0.45">
      <c r="A1751" s="2">
        <v>36701</v>
      </c>
      <c r="B1751" s="7">
        <v>296000</v>
      </c>
      <c r="C1751" s="8">
        <v>6.8027210884353817E-3</v>
      </c>
    </row>
    <row r="1752" spans="1:3" x14ac:dyDescent="0.45">
      <c r="A1752" s="2">
        <v>36708</v>
      </c>
      <c r="B1752" s="7">
        <v>281000</v>
      </c>
      <c r="C1752" s="8">
        <v>-5.0675675675675658E-2</v>
      </c>
    </row>
    <row r="1753" spans="1:3" x14ac:dyDescent="0.45">
      <c r="A1753" s="2">
        <v>36715</v>
      </c>
      <c r="B1753" s="7">
        <v>293000</v>
      </c>
      <c r="C1753" s="8">
        <v>4.2704626334519658E-2</v>
      </c>
    </row>
    <row r="1754" spans="1:3" x14ac:dyDescent="0.45">
      <c r="A1754" s="2">
        <v>36722</v>
      </c>
      <c r="B1754" s="7">
        <v>303000</v>
      </c>
      <c r="C1754" s="8">
        <v>3.4129692832764569E-2</v>
      </c>
    </row>
    <row r="1755" spans="1:3" x14ac:dyDescent="0.45">
      <c r="A1755" s="2">
        <v>36729</v>
      </c>
      <c r="B1755" s="7">
        <v>300000</v>
      </c>
      <c r="C1755" s="8">
        <v>-9.9009900990099098E-3</v>
      </c>
    </row>
    <row r="1756" spans="1:3" x14ac:dyDescent="0.45">
      <c r="A1756" s="2">
        <v>36736</v>
      </c>
      <c r="B1756" s="7">
        <v>298000</v>
      </c>
      <c r="C1756" s="8">
        <v>-6.6666666666667096E-3</v>
      </c>
    </row>
    <row r="1757" spans="1:3" x14ac:dyDescent="0.45">
      <c r="A1757" s="2">
        <v>36743</v>
      </c>
      <c r="B1757" s="7">
        <v>306000</v>
      </c>
      <c r="C1757" s="8">
        <v>2.6845637583892579E-2</v>
      </c>
    </row>
    <row r="1758" spans="1:3" x14ac:dyDescent="0.45">
      <c r="A1758" s="2">
        <v>36750</v>
      </c>
      <c r="B1758" s="7">
        <v>315000</v>
      </c>
      <c r="C1758" s="8">
        <v>2.9411764705882248E-2</v>
      </c>
    </row>
    <row r="1759" spans="1:3" x14ac:dyDescent="0.45">
      <c r="A1759" s="2">
        <v>36757</v>
      </c>
      <c r="B1759" s="7">
        <v>318000</v>
      </c>
      <c r="C1759" s="8">
        <v>9.52380952380949E-3</v>
      </c>
    </row>
    <row r="1760" spans="1:3" x14ac:dyDescent="0.45">
      <c r="A1760" s="2">
        <v>36764</v>
      </c>
      <c r="B1760" s="7">
        <v>312000</v>
      </c>
      <c r="C1760" s="8">
        <v>-1.8867924528301883E-2</v>
      </c>
    </row>
    <row r="1761" spans="1:3" x14ac:dyDescent="0.45">
      <c r="A1761" s="2">
        <v>36771</v>
      </c>
      <c r="B1761" s="7">
        <v>301000</v>
      </c>
      <c r="C1761" s="8">
        <v>-3.5256410256410242E-2</v>
      </c>
    </row>
    <row r="1762" spans="1:3" x14ac:dyDescent="0.45">
      <c r="A1762" s="2">
        <v>36778</v>
      </c>
      <c r="B1762" s="7">
        <v>309000</v>
      </c>
      <c r="C1762" s="8">
        <v>2.6578073089700949E-2</v>
      </c>
    </row>
    <row r="1763" spans="1:3" x14ac:dyDescent="0.45">
      <c r="A1763" s="2">
        <v>36785</v>
      </c>
      <c r="B1763" s="7">
        <v>311000</v>
      </c>
      <c r="C1763" s="8">
        <v>6.4724919093850364E-3</v>
      </c>
    </row>
    <row r="1764" spans="1:3" x14ac:dyDescent="0.45">
      <c r="A1764" s="2">
        <v>36792</v>
      </c>
      <c r="B1764" s="7">
        <v>288000</v>
      </c>
      <c r="C1764" s="8">
        <v>-7.395498392282962E-2</v>
      </c>
    </row>
    <row r="1765" spans="1:3" x14ac:dyDescent="0.45">
      <c r="A1765" s="2">
        <v>36799</v>
      </c>
      <c r="B1765" s="7">
        <v>292000</v>
      </c>
      <c r="C1765" s="8">
        <v>1.388888888888884E-2</v>
      </c>
    </row>
    <row r="1766" spans="1:3" x14ac:dyDescent="0.45">
      <c r="A1766" s="2">
        <v>36806</v>
      </c>
      <c r="B1766" s="7">
        <v>309000</v>
      </c>
      <c r="C1766" s="8">
        <v>5.821917808219168E-2</v>
      </c>
    </row>
    <row r="1767" spans="1:3" x14ac:dyDescent="0.45">
      <c r="A1767" s="2">
        <v>36813</v>
      </c>
      <c r="B1767" s="7">
        <v>299000</v>
      </c>
      <c r="C1767" s="8">
        <v>-3.2362459546925515E-2</v>
      </c>
    </row>
    <row r="1768" spans="1:3" x14ac:dyDescent="0.45">
      <c r="A1768" s="2">
        <v>36820</v>
      </c>
      <c r="B1768" s="7">
        <v>295000</v>
      </c>
      <c r="C1768" s="8">
        <v>-1.3377926421404673E-2</v>
      </c>
    </row>
    <row r="1769" spans="1:3" x14ac:dyDescent="0.45">
      <c r="A1769" s="2">
        <v>36827</v>
      </c>
      <c r="B1769" s="7">
        <v>301000</v>
      </c>
      <c r="C1769" s="8">
        <v>2.0338983050847359E-2</v>
      </c>
    </row>
    <row r="1770" spans="1:3" x14ac:dyDescent="0.45">
      <c r="A1770" s="2">
        <v>36834</v>
      </c>
      <c r="B1770" s="7">
        <v>331000</v>
      </c>
      <c r="C1770" s="8">
        <v>9.9667774086378724E-2</v>
      </c>
    </row>
    <row r="1771" spans="1:3" x14ac:dyDescent="0.45">
      <c r="A1771" s="2">
        <v>36841</v>
      </c>
      <c r="B1771" s="7">
        <v>318000</v>
      </c>
      <c r="C1771" s="8">
        <v>-3.92749244712991E-2</v>
      </c>
    </row>
    <row r="1772" spans="1:3" x14ac:dyDescent="0.45">
      <c r="A1772" s="2">
        <v>36848</v>
      </c>
      <c r="B1772" s="7">
        <v>332000</v>
      </c>
      <c r="C1772" s="8">
        <v>4.4025157232704393E-2</v>
      </c>
    </row>
    <row r="1773" spans="1:3" x14ac:dyDescent="0.45">
      <c r="A1773" s="2">
        <v>36855</v>
      </c>
      <c r="B1773" s="7">
        <v>356000</v>
      </c>
      <c r="C1773" s="8">
        <v>7.2289156626506035E-2</v>
      </c>
    </row>
    <row r="1774" spans="1:3" x14ac:dyDescent="0.45">
      <c r="A1774" s="2">
        <v>36862</v>
      </c>
      <c r="B1774" s="7">
        <v>338000</v>
      </c>
      <c r="C1774" s="8">
        <v>-5.0561797752809001E-2</v>
      </c>
    </row>
    <row r="1775" spans="1:3" x14ac:dyDescent="0.45">
      <c r="A1775" s="2">
        <v>36869</v>
      </c>
      <c r="B1775" s="7">
        <v>321000</v>
      </c>
      <c r="C1775" s="8">
        <v>-5.0295857988165715E-2</v>
      </c>
    </row>
    <row r="1776" spans="1:3" x14ac:dyDescent="0.45">
      <c r="A1776" s="2">
        <v>36876</v>
      </c>
      <c r="B1776" s="7">
        <v>354000</v>
      </c>
      <c r="C1776" s="8">
        <v>0.10280373831775691</v>
      </c>
    </row>
    <row r="1777" spans="1:3" x14ac:dyDescent="0.45">
      <c r="A1777" s="2">
        <v>36883</v>
      </c>
      <c r="B1777" s="7">
        <v>364000</v>
      </c>
      <c r="C1777" s="8">
        <v>2.8248587570621542E-2</v>
      </c>
    </row>
    <row r="1778" spans="1:3" x14ac:dyDescent="0.45">
      <c r="A1778" s="2">
        <v>36890</v>
      </c>
      <c r="B1778" s="7">
        <v>353000</v>
      </c>
      <c r="C1778" s="8">
        <v>-3.0219780219780223E-2</v>
      </c>
    </row>
    <row r="1779" spans="1:3" x14ac:dyDescent="0.45">
      <c r="A1779" s="2">
        <v>36897</v>
      </c>
      <c r="B1779" s="7">
        <v>337000</v>
      </c>
      <c r="C1779" s="8">
        <v>-4.5325779036827218E-2</v>
      </c>
    </row>
    <row r="1780" spans="1:3" x14ac:dyDescent="0.45">
      <c r="A1780" s="2">
        <v>36904</v>
      </c>
      <c r="B1780" s="7">
        <v>318000</v>
      </c>
      <c r="C1780" s="8">
        <v>-5.6379821958456922E-2</v>
      </c>
    </row>
    <row r="1781" spans="1:3" x14ac:dyDescent="0.45">
      <c r="A1781" s="2">
        <v>36911</v>
      </c>
      <c r="B1781" s="7">
        <v>343000</v>
      </c>
      <c r="C1781" s="8">
        <v>7.8616352201257955E-2</v>
      </c>
    </row>
    <row r="1782" spans="1:3" x14ac:dyDescent="0.45">
      <c r="A1782" s="2">
        <v>36918</v>
      </c>
      <c r="B1782" s="7">
        <v>362000</v>
      </c>
      <c r="C1782" s="8">
        <v>5.5393586005830997E-2</v>
      </c>
    </row>
    <row r="1783" spans="1:3" x14ac:dyDescent="0.45">
      <c r="A1783" s="2">
        <v>36925</v>
      </c>
      <c r="B1783" s="7">
        <v>376000</v>
      </c>
      <c r="C1783" s="8">
        <v>3.8674033149171283E-2</v>
      </c>
    </row>
    <row r="1784" spans="1:3" x14ac:dyDescent="0.45">
      <c r="A1784" s="2">
        <v>36932</v>
      </c>
      <c r="B1784" s="7">
        <v>365000</v>
      </c>
      <c r="C1784" s="8">
        <v>-2.9255319148936199E-2</v>
      </c>
    </row>
    <row r="1785" spans="1:3" x14ac:dyDescent="0.45">
      <c r="A1785" s="2">
        <v>36939</v>
      </c>
      <c r="B1785" s="7">
        <v>358000</v>
      </c>
      <c r="C1785" s="8">
        <v>-1.9178082191780854E-2</v>
      </c>
    </row>
    <row r="1786" spans="1:3" x14ac:dyDescent="0.45">
      <c r="A1786" s="2">
        <v>36946</v>
      </c>
      <c r="B1786" s="7">
        <v>386000</v>
      </c>
      <c r="C1786" s="8">
        <v>7.8212290502793325E-2</v>
      </c>
    </row>
    <row r="1787" spans="1:3" x14ac:dyDescent="0.45">
      <c r="A1787" s="2">
        <v>36953</v>
      </c>
      <c r="B1787" s="7">
        <v>384000</v>
      </c>
      <c r="C1787" s="8">
        <v>-5.1813471502590858E-3</v>
      </c>
    </row>
    <row r="1788" spans="1:3" x14ac:dyDescent="0.45">
      <c r="A1788" s="2">
        <v>36960</v>
      </c>
      <c r="B1788" s="7">
        <v>393000</v>
      </c>
      <c r="C1788" s="8">
        <v>2.34375E-2</v>
      </c>
    </row>
    <row r="1789" spans="1:3" x14ac:dyDescent="0.45">
      <c r="A1789" s="2">
        <v>36967</v>
      </c>
      <c r="B1789" s="7">
        <v>393000</v>
      </c>
      <c r="C1789" s="8">
        <v>0</v>
      </c>
    </row>
    <row r="1790" spans="1:3" x14ac:dyDescent="0.45">
      <c r="A1790" s="2">
        <v>36974</v>
      </c>
      <c r="B1790" s="7">
        <v>378000</v>
      </c>
      <c r="C1790" s="8">
        <v>-3.8167938931297662E-2</v>
      </c>
    </row>
    <row r="1791" spans="1:3" x14ac:dyDescent="0.45">
      <c r="A1791" s="2">
        <v>36981</v>
      </c>
      <c r="B1791" s="7">
        <v>388000</v>
      </c>
      <c r="C1791" s="8">
        <v>2.6455026455026509E-2</v>
      </c>
    </row>
    <row r="1792" spans="1:3" x14ac:dyDescent="0.45">
      <c r="A1792" s="2">
        <v>36988</v>
      </c>
      <c r="B1792" s="7">
        <v>398000</v>
      </c>
      <c r="C1792" s="8">
        <v>2.5773195876288568E-2</v>
      </c>
    </row>
    <row r="1793" spans="1:3" x14ac:dyDescent="0.45">
      <c r="A1793" s="2">
        <v>36995</v>
      </c>
      <c r="B1793" s="7">
        <v>383000</v>
      </c>
      <c r="C1793" s="8">
        <v>-3.7688442211055273E-2</v>
      </c>
    </row>
    <row r="1794" spans="1:3" x14ac:dyDescent="0.45">
      <c r="A1794" s="2">
        <v>37002</v>
      </c>
      <c r="B1794" s="7">
        <v>400000</v>
      </c>
      <c r="C1794" s="8">
        <v>4.4386422976501416E-2</v>
      </c>
    </row>
    <row r="1795" spans="1:3" x14ac:dyDescent="0.45">
      <c r="A1795" s="2">
        <v>37009</v>
      </c>
      <c r="B1795" s="7">
        <v>406000</v>
      </c>
      <c r="C1795" s="8">
        <v>1.4999999999999902E-2</v>
      </c>
    </row>
    <row r="1796" spans="1:3" x14ac:dyDescent="0.45">
      <c r="A1796" s="2">
        <v>37016</v>
      </c>
      <c r="B1796" s="7">
        <v>381000</v>
      </c>
      <c r="C1796" s="8">
        <v>-6.1576354679802936E-2</v>
      </c>
    </row>
    <row r="1797" spans="1:3" x14ac:dyDescent="0.45">
      <c r="A1797" s="2">
        <v>37023</v>
      </c>
      <c r="B1797" s="7">
        <v>390000</v>
      </c>
      <c r="C1797" s="8">
        <v>2.3622047244094446E-2</v>
      </c>
    </row>
    <row r="1798" spans="1:3" x14ac:dyDescent="0.45">
      <c r="A1798" s="2">
        <v>37030</v>
      </c>
      <c r="B1798" s="7">
        <v>402000</v>
      </c>
      <c r="C1798" s="8">
        <v>3.076923076923066E-2</v>
      </c>
    </row>
    <row r="1799" spans="1:3" x14ac:dyDescent="0.45">
      <c r="A1799" s="2">
        <v>37037</v>
      </c>
      <c r="B1799" s="7">
        <v>405000</v>
      </c>
      <c r="C1799" s="8">
        <v>7.4626865671640896E-3</v>
      </c>
    </row>
    <row r="1800" spans="1:3" x14ac:dyDescent="0.45">
      <c r="A1800" s="2">
        <v>37044</v>
      </c>
      <c r="B1800" s="7">
        <v>406000</v>
      </c>
      <c r="C1800" s="8">
        <v>2.4691358024691024E-3</v>
      </c>
    </row>
    <row r="1801" spans="1:3" x14ac:dyDescent="0.45">
      <c r="A1801" s="2">
        <v>37051</v>
      </c>
      <c r="B1801" s="7">
        <v>411000</v>
      </c>
      <c r="C1801" s="8">
        <v>1.2315270935960632E-2</v>
      </c>
    </row>
    <row r="1802" spans="1:3" x14ac:dyDescent="0.45">
      <c r="A1802" s="2">
        <v>37058</v>
      </c>
      <c r="B1802" s="7">
        <v>394000</v>
      </c>
      <c r="C1802" s="8">
        <v>-4.1362530413625254E-2</v>
      </c>
    </row>
    <row r="1803" spans="1:3" x14ac:dyDescent="0.45">
      <c r="A1803" s="2">
        <v>37065</v>
      </c>
      <c r="B1803" s="7">
        <v>381000</v>
      </c>
      <c r="C1803" s="8">
        <v>-3.2994923857868064E-2</v>
      </c>
    </row>
    <row r="1804" spans="1:3" x14ac:dyDescent="0.45">
      <c r="A1804" s="2">
        <v>37072</v>
      </c>
      <c r="B1804" s="7">
        <v>394000</v>
      </c>
      <c r="C1804" s="8">
        <v>3.4120734908136496E-2</v>
      </c>
    </row>
    <row r="1805" spans="1:3" x14ac:dyDescent="0.45">
      <c r="A1805" s="2">
        <v>37079</v>
      </c>
      <c r="B1805" s="7">
        <v>401000</v>
      </c>
      <c r="C1805" s="8">
        <v>1.7766497461928932E-2</v>
      </c>
    </row>
    <row r="1806" spans="1:3" x14ac:dyDescent="0.45">
      <c r="A1806" s="2">
        <v>37086</v>
      </c>
      <c r="B1806" s="7">
        <v>405000</v>
      </c>
      <c r="C1806" s="8">
        <v>9.9750623441396957E-3</v>
      </c>
    </row>
    <row r="1807" spans="1:3" x14ac:dyDescent="0.45">
      <c r="A1807" s="2">
        <v>37093</v>
      </c>
      <c r="B1807" s="7">
        <v>398000</v>
      </c>
      <c r="C1807" s="8">
        <v>-1.7283950617283939E-2</v>
      </c>
    </row>
    <row r="1808" spans="1:3" x14ac:dyDescent="0.45">
      <c r="A1808" s="2">
        <v>37100</v>
      </c>
      <c r="B1808" s="7">
        <v>388000</v>
      </c>
      <c r="C1808" s="8">
        <v>-2.5125628140703515E-2</v>
      </c>
    </row>
    <row r="1809" spans="1:3" x14ac:dyDescent="0.45">
      <c r="A1809" s="2">
        <v>37107</v>
      </c>
      <c r="B1809" s="7">
        <v>401000</v>
      </c>
      <c r="C1809" s="8">
        <v>3.3505154639175361E-2</v>
      </c>
    </row>
    <row r="1810" spans="1:3" x14ac:dyDescent="0.45">
      <c r="A1810" s="2">
        <v>37114</v>
      </c>
      <c r="B1810" s="7">
        <v>394000</v>
      </c>
      <c r="C1810" s="8">
        <v>-1.7456359102244412E-2</v>
      </c>
    </row>
    <row r="1811" spans="1:3" x14ac:dyDescent="0.45">
      <c r="A1811" s="2">
        <v>37121</v>
      </c>
      <c r="B1811" s="7">
        <v>402000</v>
      </c>
      <c r="C1811" s="8">
        <v>2.0304568527918843E-2</v>
      </c>
    </row>
    <row r="1812" spans="1:3" x14ac:dyDescent="0.45">
      <c r="A1812" s="2">
        <v>37128</v>
      </c>
      <c r="B1812" s="7">
        <v>395000</v>
      </c>
      <c r="C1812" s="8">
        <v>-1.7412935323383061E-2</v>
      </c>
    </row>
    <row r="1813" spans="1:3" x14ac:dyDescent="0.45">
      <c r="A1813" s="2">
        <v>37135</v>
      </c>
      <c r="B1813" s="7">
        <v>402000</v>
      </c>
      <c r="C1813" s="8">
        <v>1.7721518987341867E-2</v>
      </c>
    </row>
    <row r="1814" spans="1:3" x14ac:dyDescent="0.45">
      <c r="A1814" s="2">
        <v>37142</v>
      </c>
      <c r="B1814" s="7">
        <v>408000</v>
      </c>
      <c r="C1814" s="8">
        <v>1.4925373134328401E-2</v>
      </c>
    </row>
    <row r="1815" spans="1:3" x14ac:dyDescent="0.45">
      <c r="A1815" s="2">
        <v>37149</v>
      </c>
      <c r="B1815" s="7">
        <v>395000</v>
      </c>
      <c r="C1815" s="8">
        <v>-3.1862745098039214E-2</v>
      </c>
    </row>
    <row r="1816" spans="1:3" x14ac:dyDescent="0.45">
      <c r="A1816" s="2">
        <v>37156</v>
      </c>
      <c r="B1816" s="7">
        <v>453000</v>
      </c>
      <c r="C1816" s="8">
        <v>0.14683544303797458</v>
      </c>
    </row>
    <row r="1817" spans="1:3" x14ac:dyDescent="0.45">
      <c r="A1817" s="2">
        <v>37163</v>
      </c>
      <c r="B1817" s="7">
        <v>517000</v>
      </c>
      <c r="C1817" s="8">
        <v>0.14128035320088306</v>
      </c>
    </row>
    <row r="1818" spans="1:3" x14ac:dyDescent="0.45">
      <c r="A1818" s="2">
        <v>37170</v>
      </c>
      <c r="B1818" s="7">
        <v>476000</v>
      </c>
      <c r="C1818" s="8">
        <v>-7.9303675048355893E-2</v>
      </c>
    </row>
    <row r="1819" spans="1:3" x14ac:dyDescent="0.45">
      <c r="A1819" s="2">
        <v>37177</v>
      </c>
      <c r="B1819" s="7">
        <v>482000</v>
      </c>
      <c r="C1819" s="8">
        <v>1.2605042016806678E-2</v>
      </c>
    </row>
    <row r="1820" spans="1:3" x14ac:dyDescent="0.45">
      <c r="A1820" s="2">
        <v>37184</v>
      </c>
      <c r="B1820" s="7">
        <v>482000</v>
      </c>
      <c r="C1820" s="8">
        <v>0</v>
      </c>
    </row>
    <row r="1821" spans="1:3" x14ac:dyDescent="0.45">
      <c r="A1821" s="2">
        <v>37191</v>
      </c>
      <c r="B1821" s="7">
        <v>483000</v>
      </c>
      <c r="C1821" s="8">
        <v>2.0746887966804906E-3</v>
      </c>
    </row>
    <row r="1822" spans="1:3" x14ac:dyDescent="0.45">
      <c r="A1822" s="2">
        <v>37198</v>
      </c>
      <c r="B1822" s="7">
        <v>440000</v>
      </c>
      <c r="C1822" s="8">
        <v>-8.9026915113871619E-2</v>
      </c>
    </row>
    <row r="1823" spans="1:3" x14ac:dyDescent="0.45">
      <c r="A1823" s="2">
        <v>37205</v>
      </c>
      <c r="B1823" s="7">
        <v>428000</v>
      </c>
      <c r="C1823" s="8">
        <v>-2.7272727272727226E-2</v>
      </c>
    </row>
    <row r="1824" spans="1:3" x14ac:dyDescent="0.45">
      <c r="A1824" s="2">
        <v>37212</v>
      </c>
      <c r="B1824" s="7">
        <v>431000</v>
      </c>
      <c r="C1824" s="8">
        <v>7.0093457943924964E-3</v>
      </c>
    </row>
    <row r="1825" spans="1:3" x14ac:dyDescent="0.45">
      <c r="A1825" s="2">
        <v>37219</v>
      </c>
      <c r="B1825" s="7">
        <v>491000</v>
      </c>
      <c r="C1825" s="8">
        <v>0.13921113689095121</v>
      </c>
    </row>
    <row r="1826" spans="1:3" x14ac:dyDescent="0.45">
      <c r="A1826" s="2">
        <v>37226</v>
      </c>
      <c r="B1826" s="7">
        <v>465000</v>
      </c>
      <c r="C1826" s="8">
        <v>-5.2953156822810543E-2</v>
      </c>
    </row>
    <row r="1827" spans="1:3" x14ac:dyDescent="0.45">
      <c r="A1827" s="2">
        <v>37233</v>
      </c>
      <c r="B1827" s="7">
        <v>393000</v>
      </c>
      <c r="C1827" s="8">
        <v>-0.15483870967741931</v>
      </c>
    </row>
    <row r="1828" spans="1:3" x14ac:dyDescent="0.45">
      <c r="A1828" s="2">
        <v>37240</v>
      </c>
      <c r="B1828" s="7">
        <v>389000</v>
      </c>
      <c r="C1828" s="8">
        <v>-1.0178117048346036E-2</v>
      </c>
    </row>
    <row r="1829" spans="1:3" x14ac:dyDescent="0.45">
      <c r="A1829" s="2">
        <v>37247</v>
      </c>
      <c r="B1829" s="7">
        <v>416000</v>
      </c>
      <c r="C1829" s="8">
        <v>6.9408740359897081E-2</v>
      </c>
    </row>
    <row r="1830" spans="1:3" x14ac:dyDescent="0.45">
      <c r="A1830" s="2">
        <v>37254</v>
      </c>
      <c r="B1830" s="7">
        <v>421000</v>
      </c>
      <c r="C1830" s="8">
        <v>1.2019230769230838E-2</v>
      </c>
    </row>
    <row r="1831" spans="1:3" x14ac:dyDescent="0.45">
      <c r="A1831" s="2">
        <v>37261</v>
      </c>
      <c r="B1831" s="7">
        <v>397000</v>
      </c>
      <c r="C1831" s="8">
        <v>-5.700712589073631E-2</v>
      </c>
    </row>
    <row r="1832" spans="1:3" x14ac:dyDescent="0.45">
      <c r="A1832" s="2">
        <v>37268</v>
      </c>
      <c r="B1832" s="7">
        <v>418000</v>
      </c>
      <c r="C1832" s="8">
        <v>5.2896725440806147E-2</v>
      </c>
    </row>
    <row r="1833" spans="1:3" x14ac:dyDescent="0.45">
      <c r="A1833" s="2">
        <v>37275</v>
      </c>
      <c r="B1833" s="7">
        <v>405000</v>
      </c>
      <c r="C1833" s="8">
        <v>-3.1100478468899517E-2</v>
      </c>
    </row>
    <row r="1834" spans="1:3" x14ac:dyDescent="0.45">
      <c r="A1834" s="2">
        <v>37282</v>
      </c>
      <c r="B1834" s="7">
        <v>414000</v>
      </c>
      <c r="C1834" s="8">
        <v>2.2222222222222143E-2</v>
      </c>
    </row>
    <row r="1835" spans="1:3" x14ac:dyDescent="0.45">
      <c r="A1835" s="2">
        <v>37289</v>
      </c>
      <c r="B1835" s="7">
        <v>404000</v>
      </c>
      <c r="C1835" s="8">
        <v>-2.4154589371980673E-2</v>
      </c>
    </row>
    <row r="1836" spans="1:3" x14ac:dyDescent="0.45">
      <c r="A1836" s="2">
        <v>37296</v>
      </c>
      <c r="B1836" s="7">
        <v>397000</v>
      </c>
      <c r="C1836" s="8">
        <v>-1.7326732673267342E-2</v>
      </c>
    </row>
    <row r="1837" spans="1:3" x14ac:dyDescent="0.45">
      <c r="A1837" s="2">
        <v>37303</v>
      </c>
      <c r="B1837" s="7">
        <v>397000</v>
      </c>
      <c r="C1837" s="8">
        <v>0</v>
      </c>
    </row>
    <row r="1838" spans="1:3" x14ac:dyDescent="0.45">
      <c r="A1838" s="2">
        <v>37310</v>
      </c>
      <c r="B1838" s="7">
        <v>398000</v>
      </c>
      <c r="C1838" s="8">
        <v>2.5188916876575096E-3</v>
      </c>
    </row>
    <row r="1839" spans="1:3" x14ac:dyDescent="0.45">
      <c r="A1839" s="2">
        <v>37317</v>
      </c>
      <c r="B1839" s="7">
        <v>392000</v>
      </c>
      <c r="C1839" s="8">
        <v>-1.5075376884422065E-2</v>
      </c>
    </row>
    <row r="1840" spans="1:3" x14ac:dyDescent="0.45">
      <c r="A1840" s="2">
        <v>37324</v>
      </c>
      <c r="B1840" s="7">
        <v>399000</v>
      </c>
      <c r="C1840" s="8">
        <v>1.7857142857142794E-2</v>
      </c>
    </row>
    <row r="1841" spans="1:3" x14ac:dyDescent="0.45">
      <c r="A1841" s="2">
        <v>37331</v>
      </c>
      <c r="B1841" s="7">
        <v>392000</v>
      </c>
      <c r="C1841" s="8">
        <v>-1.7543859649122862E-2</v>
      </c>
    </row>
    <row r="1842" spans="1:3" x14ac:dyDescent="0.45">
      <c r="A1842" s="2">
        <v>37338</v>
      </c>
      <c r="B1842" s="7">
        <v>415000</v>
      </c>
      <c r="C1842" s="8">
        <v>5.8673469387755084E-2</v>
      </c>
    </row>
    <row r="1843" spans="1:3" x14ac:dyDescent="0.45">
      <c r="A1843" s="2">
        <v>37345</v>
      </c>
      <c r="B1843" s="7">
        <v>479000</v>
      </c>
      <c r="C1843" s="8">
        <v>0.15421686746987961</v>
      </c>
    </row>
    <row r="1844" spans="1:3" x14ac:dyDescent="0.45">
      <c r="A1844" s="2">
        <v>37352</v>
      </c>
      <c r="B1844" s="7">
        <v>445000</v>
      </c>
      <c r="C1844" s="8">
        <v>-7.0981210855949883E-2</v>
      </c>
    </row>
    <row r="1845" spans="1:3" x14ac:dyDescent="0.45">
      <c r="A1845" s="2">
        <v>37359</v>
      </c>
      <c r="B1845" s="7">
        <v>442000</v>
      </c>
      <c r="C1845" s="8">
        <v>-6.741573033707815E-3</v>
      </c>
    </row>
    <row r="1846" spans="1:3" x14ac:dyDescent="0.45">
      <c r="A1846" s="2">
        <v>37366</v>
      </c>
      <c r="B1846" s="7">
        <v>416000</v>
      </c>
      <c r="C1846" s="8">
        <v>-5.8823529411764719E-2</v>
      </c>
    </row>
    <row r="1847" spans="1:3" x14ac:dyDescent="0.45">
      <c r="A1847" s="2">
        <v>37373</v>
      </c>
      <c r="B1847" s="7">
        <v>414000</v>
      </c>
      <c r="C1847" s="8">
        <v>-4.8076923076922906E-3</v>
      </c>
    </row>
    <row r="1848" spans="1:3" x14ac:dyDescent="0.45">
      <c r="A1848" s="2">
        <v>37380</v>
      </c>
      <c r="B1848" s="7">
        <v>409000</v>
      </c>
      <c r="C1848" s="8">
        <v>-1.2077294685990392E-2</v>
      </c>
    </row>
    <row r="1849" spans="1:3" x14ac:dyDescent="0.45">
      <c r="A1849" s="2">
        <v>37387</v>
      </c>
      <c r="B1849" s="7">
        <v>413000</v>
      </c>
      <c r="C1849" s="8">
        <v>9.7799511002445438E-3</v>
      </c>
    </row>
    <row r="1850" spans="1:3" x14ac:dyDescent="0.45">
      <c r="A1850" s="2">
        <v>37394</v>
      </c>
      <c r="B1850" s="7">
        <v>411000</v>
      </c>
      <c r="C1850" s="8">
        <v>-4.8426150121065881E-3</v>
      </c>
    </row>
    <row r="1851" spans="1:3" x14ac:dyDescent="0.45">
      <c r="A1851" s="2">
        <v>37401</v>
      </c>
      <c r="B1851" s="7">
        <v>403000</v>
      </c>
      <c r="C1851" s="8">
        <v>-1.9464720194647178E-2</v>
      </c>
    </row>
    <row r="1852" spans="1:3" x14ac:dyDescent="0.45">
      <c r="A1852" s="2">
        <v>37408</v>
      </c>
      <c r="B1852" s="7">
        <v>378000</v>
      </c>
      <c r="C1852" s="8">
        <v>-6.2034739454094323E-2</v>
      </c>
    </row>
    <row r="1853" spans="1:3" x14ac:dyDescent="0.45">
      <c r="A1853" s="2">
        <v>37415</v>
      </c>
      <c r="B1853" s="7">
        <v>388000</v>
      </c>
      <c r="C1853" s="8">
        <v>2.6455026455026509E-2</v>
      </c>
    </row>
    <row r="1854" spans="1:3" x14ac:dyDescent="0.45">
      <c r="A1854" s="2">
        <v>37422</v>
      </c>
      <c r="B1854" s="7">
        <v>396000</v>
      </c>
      <c r="C1854" s="8">
        <v>2.0618556701030855E-2</v>
      </c>
    </row>
    <row r="1855" spans="1:3" x14ac:dyDescent="0.45">
      <c r="A1855" s="2">
        <v>37429</v>
      </c>
      <c r="B1855" s="7">
        <v>388000</v>
      </c>
      <c r="C1855" s="8">
        <v>-2.0202020202020221E-2</v>
      </c>
    </row>
    <row r="1856" spans="1:3" x14ac:dyDescent="0.45">
      <c r="A1856" s="2">
        <v>37436</v>
      </c>
      <c r="B1856" s="7">
        <v>386000</v>
      </c>
      <c r="C1856" s="8">
        <v>-5.1546391752577136E-3</v>
      </c>
    </row>
    <row r="1857" spans="1:3" x14ac:dyDescent="0.45">
      <c r="A1857" s="2">
        <v>37443</v>
      </c>
      <c r="B1857" s="7">
        <v>391000</v>
      </c>
      <c r="C1857" s="8">
        <v>1.2953367875647714E-2</v>
      </c>
    </row>
    <row r="1858" spans="1:3" x14ac:dyDescent="0.45">
      <c r="A1858" s="2">
        <v>37450</v>
      </c>
      <c r="B1858" s="7">
        <v>384000</v>
      </c>
      <c r="C1858" s="8">
        <v>-1.7902813299232712E-2</v>
      </c>
    </row>
    <row r="1859" spans="1:3" x14ac:dyDescent="0.45">
      <c r="A1859" s="2">
        <v>37457</v>
      </c>
      <c r="B1859" s="7">
        <v>379000</v>
      </c>
      <c r="C1859" s="8">
        <v>-1.302083333333337E-2</v>
      </c>
    </row>
    <row r="1860" spans="1:3" x14ac:dyDescent="0.45">
      <c r="A1860" s="2">
        <v>37464</v>
      </c>
      <c r="B1860" s="7">
        <v>390000</v>
      </c>
      <c r="C1860" s="8">
        <v>2.9023746701847042E-2</v>
      </c>
    </row>
    <row r="1861" spans="1:3" x14ac:dyDescent="0.45">
      <c r="A1861" s="2">
        <v>37471</v>
      </c>
      <c r="B1861" s="7">
        <v>388000</v>
      </c>
      <c r="C1861" s="8">
        <v>-5.12820512820511E-3</v>
      </c>
    </row>
    <row r="1862" spans="1:3" x14ac:dyDescent="0.45">
      <c r="A1862" s="2">
        <v>37478</v>
      </c>
      <c r="B1862" s="7">
        <v>389000</v>
      </c>
      <c r="C1862" s="8">
        <v>2.5773195876288568E-3</v>
      </c>
    </row>
    <row r="1863" spans="1:3" x14ac:dyDescent="0.45">
      <c r="A1863" s="2">
        <v>37485</v>
      </c>
      <c r="B1863" s="7">
        <v>399000</v>
      </c>
      <c r="C1863" s="8">
        <v>2.5706940874036022E-2</v>
      </c>
    </row>
    <row r="1864" spans="1:3" x14ac:dyDescent="0.45">
      <c r="A1864" s="2">
        <v>37492</v>
      </c>
      <c r="B1864" s="7">
        <v>398000</v>
      </c>
      <c r="C1864" s="8">
        <v>-2.5062656641604564E-3</v>
      </c>
    </row>
    <row r="1865" spans="1:3" x14ac:dyDescent="0.45">
      <c r="A1865" s="2">
        <v>37499</v>
      </c>
      <c r="B1865" s="7">
        <v>394000</v>
      </c>
      <c r="C1865" s="8">
        <v>-1.0050251256281451E-2</v>
      </c>
    </row>
    <row r="1866" spans="1:3" x14ac:dyDescent="0.45">
      <c r="A1866" s="2">
        <v>37506</v>
      </c>
      <c r="B1866" s="7">
        <v>416000</v>
      </c>
      <c r="C1866" s="8">
        <v>5.5837563451776706E-2</v>
      </c>
    </row>
    <row r="1867" spans="1:3" x14ac:dyDescent="0.45">
      <c r="A1867" s="2">
        <v>37513</v>
      </c>
      <c r="B1867" s="7">
        <v>412000</v>
      </c>
      <c r="C1867" s="8">
        <v>-9.6153846153845812E-3</v>
      </c>
    </row>
    <row r="1868" spans="1:3" x14ac:dyDescent="0.45">
      <c r="A1868" s="2">
        <v>37520</v>
      </c>
      <c r="B1868" s="7">
        <v>401000</v>
      </c>
      <c r="C1868" s="8">
        <v>-2.669902912621358E-2</v>
      </c>
    </row>
    <row r="1869" spans="1:3" x14ac:dyDescent="0.45">
      <c r="A1869" s="2">
        <v>37527</v>
      </c>
      <c r="B1869" s="7">
        <v>409000</v>
      </c>
      <c r="C1869" s="8">
        <v>1.9950124688279391E-2</v>
      </c>
    </row>
    <row r="1870" spans="1:3" x14ac:dyDescent="0.45">
      <c r="A1870" s="2">
        <v>37534</v>
      </c>
      <c r="B1870" s="7">
        <v>404000</v>
      </c>
      <c r="C1870" s="8">
        <v>-1.2224938875305624E-2</v>
      </c>
    </row>
    <row r="1871" spans="1:3" x14ac:dyDescent="0.45">
      <c r="A1871" s="2">
        <v>37541</v>
      </c>
      <c r="B1871" s="7">
        <v>405000</v>
      </c>
      <c r="C1871" s="8">
        <v>2.4752475247524774E-3</v>
      </c>
    </row>
    <row r="1872" spans="1:3" x14ac:dyDescent="0.45">
      <c r="A1872" s="2">
        <v>37548</v>
      </c>
      <c r="B1872" s="7">
        <v>412000</v>
      </c>
      <c r="C1872" s="8">
        <v>1.7283950617283939E-2</v>
      </c>
    </row>
    <row r="1873" spans="1:3" x14ac:dyDescent="0.45">
      <c r="A1873" s="2">
        <v>37555</v>
      </c>
      <c r="B1873" s="7">
        <v>409000</v>
      </c>
      <c r="C1873" s="8">
        <v>-7.2815533980582492E-3</v>
      </c>
    </row>
    <row r="1874" spans="1:3" x14ac:dyDescent="0.45">
      <c r="A1874" s="2">
        <v>37562</v>
      </c>
      <c r="B1874" s="7">
        <v>405000</v>
      </c>
      <c r="C1874" s="8">
        <v>-9.7799511002445438E-3</v>
      </c>
    </row>
    <row r="1875" spans="1:3" x14ac:dyDescent="0.45">
      <c r="A1875" s="2">
        <v>37569</v>
      </c>
      <c r="B1875" s="7">
        <v>400000</v>
      </c>
      <c r="C1875" s="8">
        <v>-1.2345679012345734E-2</v>
      </c>
    </row>
    <row r="1876" spans="1:3" x14ac:dyDescent="0.45">
      <c r="A1876" s="2">
        <v>37576</v>
      </c>
      <c r="B1876" s="7">
        <v>389000</v>
      </c>
      <c r="C1876" s="8">
        <v>-2.7499999999999969E-2</v>
      </c>
    </row>
    <row r="1877" spans="1:3" x14ac:dyDescent="0.45">
      <c r="A1877" s="2">
        <v>37583</v>
      </c>
      <c r="B1877" s="7">
        <v>390000</v>
      </c>
      <c r="C1877" s="8">
        <v>2.5706940874035134E-3</v>
      </c>
    </row>
    <row r="1878" spans="1:3" x14ac:dyDescent="0.45">
      <c r="A1878" s="2">
        <v>37590</v>
      </c>
      <c r="B1878" s="7">
        <v>377000</v>
      </c>
      <c r="C1878" s="8">
        <v>-3.3333333333333326E-2</v>
      </c>
    </row>
    <row r="1879" spans="1:3" x14ac:dyDescent="0.45">
      <c r="A1879" s="2">
        <v>37597</v>
      </c>
      <c r="B1879" s="7">
        <v>425000</v>
      </c>
      <c r="C1879" s="8">
        <v>0.12732095490716189</v>
      </c>
    </row>
    <row r="1880" spans="1:3" x14ac:dyDescent="0.45">
      <c r="A1880" s="2">
        <v>37604</v>
      </c>
      <c r="B1880" s="7">
        <v>429000</v>
      </c>
      <c r="C1880" s="8">
        <v>9.4117647058824527E-3</v>
      </c>
    </row>
    <row r="1881" spans="1:3" x14ac:dyDescent="0.45">
      <c r="A1881" s="2">
        <v>37611</v>
      </c>
      <c r="B1881" s="7">
        <v>394000</v>
      </c>
      <c r="C1881" s="8">
        <v>-8.1585081585081598E-2</v>
      </c>
    </row>
    <row r="1882" spans="1:3" x14ac:dyDescent="0.45">
      <c r="A1882" s="2">
        <v>37618</v>
      </c>
      <c r="B1882" s="7">
        <v>409000</v>
      </c>
      <c r="C1882" s="8">
        <v>3.8071065989847774E-2</v>
      </c>
    </row>
    <row r="1883" spans="1:3" x14ac:dyDescent="0.45">
      <c r="A1883" s="2">
        <v>37625</v>
      </c>
      <c r="B1883" s="7">
        <v>393000</v>
      </c>
      <c r="C1883" s="8">
        <v>-3.9119804400977953E-2</v>
      </c>
    </row>
    <row r="1884" spans="1:3" x14ac:dyDescent="0.45">
      <c r="A1884" s="2">
        <v>37632</v>
      </c>
      <c r="B1884" s="7">
        <v>378000</v>
      </c>
      <c r="C1884" s="8">
        <v>-3.8167938931297662E-2</v>
      </c>
    </row>
    <row r="1885" spans="1:3" x14ac:dyDescent="0.45">
      <c r="A1885" s="2">
        <v>37639</v>
      </c>
      <c r="B1885" s="7">
        <v>402000</v>
      </c>
      <c r="C1885" s="8">
        <v>6.3492063492063489E-2</v>
      </c>
    </row>
    <row r="1886" spans="1:3" x14ac:dyDescent="0.45">
      <c r="A1886" s="2">
        <v>37646</v>
      </c>
      <c r="B1886" s="7">
        <v>407000</v>
      </c>
      <c r="C1886" s="8">
        <v>1.2437810945273631E-2</v>
      </c>
    </row>
    <row r="1887" spans="1:3" x14ac:dyDescent="0.45">
      <c r="A1887" s="2">
        <v>37653</v>
      </c>
      <c r="B1887" s="7">
        <v>413000</v>
      </c>
      <c r="C1887" s="8">
        <v>1.4742014742014753E-2</v>
      </c>
    </row>
    <row r="1888" spans="1:3" x14ac:dyDescent="0.45">
      <c r="A1888" s="2">
        <v>37660</v>
      </c>
      <c r="B1888" s="7">
        <v>390000</v>
      </c>
      <c r="C1888" s="8">
        <v>-5.5690072639225208E-2</v>
      </c>
    </row>
    <row r="1889" spans="1:3" x14ac:dyDescent="0.45">
      <c r="A1889" s="2">
        <v>37667</v>
      </c>
      <c r="B1889" s="7">
        <v>420000</v>
      </c>
      <c r="C1889" s="8">
        <v>7.6923076923076872E-2</v>
      </c>
    </row>
    <row r="1890" spans="1:3" x14ac:dyDescent="0.45">
      <c r="A1890" s="2">
        <v>37674</v>
      </c>
      <c r="B1890" s="7">
        <v>421000</v>
      </c>
      <c r="C1890" s="8">
        <v>2.3809523809523725E-3</v>
      </c>
    </row>
    <row r="1891" spans="1:3" x14ac:dyDescent="0.45">
      <c r="A1891" s="2">
        <v>37681</v>
      </c>
      <c r="B1891" s="7">
        <v>436000</v>
      </c>
      <c r="C1891" s="8">
        <v>3.562945368171011E-2</v>
      </c>
    </row>
    <row r="1892" spans="1:3" x14ac:dyDescent="0.45">
      <c r="A1892" s="2">
        <v>37688</v>
      </c>
      <c r="B1892" s="7">
        <v>424000</v>
      </c>
      <c r="C1892" s="8">
        <v>-2.752293577981646E-2</v>
      </c>
    </row>
    <row r="1893" spans="1:3" x14ac:dyDescent="0.45">
      <c r="A1893" s="2">
        <v>37695</v>
      </c>
      <c r="B1893" s="7">
        <v>430000</v>
      </c>
      <c r="C1893" s="8">
        <v>1.4150943396226356E-2</v>
      </c>
    </row>
    <row r="1894" spans="1:3" x14ac:dyDescent="0.45">
      <c r="A1894" s="2">
        <v>37702</v>
      </c>
      <c r="B1894" s="7">
        <v>411000</v>
      </c>
      <c r="C1894" s="8">
        <v>-4.4186046511627941E-2</v>
      </c>
    </row>
    <row r="1895" spans="1:3" x14ac:dyDescent="0.45">
      <c r="A1895" s="2">
        <v>37709</v>
      </c>
      <c r="B1895" s="7">
        <v>436000</v>
      </c>
      <c r="C1895" s="8">
        <v>6.0827250608272543E-2</v>
      </c>
    </row>
    <row r="1896" spans="1:3" x14ac:dyDescent="0.45">
      <c r="A1896" s="2">
        <v>37716</v>
      </c>
      <c r="B1896" s="7">
        <v>417000</v>
      </c>
      <c r="C1896" s="8">
        <v>-4.3577981651376163E-2</v>
      </c>
    </row>
    <row r="1897" spans="1:3" x14ac:dyDescent="0.45">
      <c r="A1897" s="2">
        <v>37723</v>
      </c>
      <c r="B1897" s="7">
        <v>434000</v>
      </c>
      <c r="C1897" s="8">
        <v>4.0767386091127067E-2</v>
      </c>
    </row>
    <row r="1898" spans="1:3" x14ac:dyDescent="0.45">
      <c r="A1898" s="2">
        <v>37730</v>
      </c>
      <c r="B1898" s="7">
        <v>450000</v>
      </c>
      <c r="C1898" s="8">
        <v>3.6866359447004671E-2</v>
      </c>
    </row>
    <row r="1899" spans="1:3" x14ac:dyDescent="0.45">
      <c r="A1899" s="2">
        <v>37737</v>
      </c>
      <c r="B1899" s="7">
        <v>444000</v>
      </c>
      <c r="C1899" s="8">
        <v>-1.3333333333333308E-2</v>
      </c>
    </row>
    <row r="1900" spans="1:3" x14ac:dyDescent="0.45">
      <c r="A1900" s="2">
        <v>37744</v>
      </c>
      <c r="B1900" s="7">
        <v>428000</v>
      </c>
      <c r="C1900" s="8">
        <v>-3.6036036036036001E-2</v>
      </c>
    </row>
    <row r="1901" spans="1:3" x14ac:dyDescent="0.45">
      <c r="A1901" s="2">
        <v>37751</v>
      </c>
      <c r="B1901" s="7">
        <v>417000</v>
      </c>
      <c r="C1901" s="8">
        <v>-2.5700934579439227E-2</v>
      </c>
    </row>
    <row r="1902" spans="1:3" x14ac:dyDescent="0.45">
      <c r="A1902" s="2">
        <v>37758</v>
      </c>
      <c r="B1902" s="7">
        <v>425000</v>
      </c>
      <c r="C1902" s="8">
        <v>1.9184652278177561E-2</v>
      </c>
    </row>
    <row r="1903" spans="1:3" x14ac:dyDescent="0.45">
      <c r="A1903" s="2">
        <v>37765</v>
      </c>
      <c r="B1903" s="7">
        <v>419000</v>
      </c>
      <c r="C1903" s="8">
        <v>-1.4117647058823568E-2</v>
      </c>
    </row>
    <row r="1904" spans="1:3" x14ac:dyDescent="0.45">
      <c r="A1904" s="2">
        <v>37772</v>
      </c>
      <c r="B1904" s="7">
        <v>431000</v>
      </c>
      <c r="C1904" s="8">
        <v>2.8639618138424749E-2</v>
      </c>
    </row>
    <row r="1905" spans="1:3" x14ac:dyDescent="0.45">
      <c r="A1905" s="2">
        <v>37779</v>
      </c>
      <c r="B1905" s="7">
        <v>429000</v>
      </c>
      <c r="C1905" s="8">
        <v>-4.6403712296984034E-3</v>
      </c>
    </row>
    <row r="1906" spans="1:3" x14ac:dyDescent="0.45">
      <c r="A1906" s="2">
        <v>37786</v>
      </c>
      <c r="B1906" s="7">
        <v>421000</v>
      </c>
      <c r="C1906" s="8">
        <v>-1.8648018648018683E-2</v>
      </c>
    </row>
    <row r="1907" spans="1:3" x14ac:dyDescent="0.45">
      <c r="A1907" s="2">
        <v>37793</v>
      </c>
      <c r="B1907" s="7">
        <v>408000</v>
      </c>
      <c r="C1907" s="8">
        <v>-3.0878859857482177E-2</v>
      </c>
    </row>
    <row r="1908" spans="1:3" x14ac:dyDescent="0.45">
      <c r="A1908" s="2">
        <v>37800</v>
      </c>
      <c r="B1908" s="7">
        <v>429000</v>
      </c>
      <c r="C1908" s="8">
        <v>5.1470588235294157E-2</v>
      </c>
    </row>
    <row r="1909" spans="1:3" x14ac:dyDescent="0.45">
      <c r="A1909" s="2">
        <v>37807</v>
      </c>
      <c r="B1909" s="7">
        <v>433000</v>
      </c>
      <c r="C1909" s="8">
        <v>9.3240093240092303E-3</v>
      </c>
    </row>
    <row r="1910" spans="1:3" x14ac:dyDescent="0.45">
      <c r="A1910" s="2">
        <v>37814</v>
      </c>
      <c r="B1910" s="7">
        <v>412000</v>
      </c>
      <c r="C1910" s="8">
        <v>-4.8498845265588897E-2</v>
      </c>
    </row>
    <row r="1911" spans="1:3" x14ac:dyDescent="0.45">
      <c r="A1911" s="2">
        <v>37821</v>
      </c>
      <c r="B1911" s="7">
        <v>403000</v>
      </c>
      <c r="C1911" s="8">
        <v>-2.1844660194174748E-2</v>
      </c>
    </row>
    <row r="1912" spans="1:3" x14ac:dyDescent="0.45">
      <c r="A1912" s="2">
        <v>37828</v>
      </c>
      <c r="B1912" s="7">
        <v>398000</v>
      </c>
      <c r="C1912" s="8">
        <v>-1.2406947890818865E-2</v>
      </c>
    </row>
    <row r="1913" spans="1:3" x14ac:dyDescent="0.45">
      <c r="A1913" s="2">
        <v>37835</v>
      </c>
      <c r="B1913" s="7">
        <v>401000</v>
      </c>
      <c r="C1913" s="8">
        <v>7.5376884422111434E-3</v>
      </c>
    </row>
    <row r="1914" spans="1:3" x14ac:dyDescent="0.45">
      <c r="A1914" s="2">
        <v>37842</v>
      </c>
      <c r="B1914" s="7">
        <v>404000</v>
      </c>
      <c r="C1914" s="8">
        <v>7.4812967581048273E-3</v>
      </c>
    </row>
    <row r="1915" spans="1:3" x14ac:dyDescent="0.45">
      <c r="A1915" s="2">
        <v>37849</v>
      </c>
      <c r="B1915" s="7">
        <v>398000</v>
      </c>
      <c r="C1915" s="8">
        <v>-1.4851485148514865E-2</v>
      </c>
    </row>
    <row r="1916" spans="1:3" x14ac:dyDescent="0.45">
      <c r="A1916" s="2">
        <v>37856</v>
      </c>
      <c r="B1916" s="7">
        <v>391000</v>
      </c>
      <c r="C1916" s="8">
        <v>-1.7587939698492483E-2</v>
      </c>
    </row>
    <row r="1917" spans="1:3" x14ac:dyDescent="0.45">
      <c r="A1917" s="2">
        <v>37863</v>
      </c>
      <c r="B1917" s="7">
        <v>407000</v>
      </c>
      <c r="C1917" s="8">
        <v>4.0920716112532007E-2</v>
      </c>
    </row>
    <row r="1918" spans="1:3" x14ac:dyDescent="0.45">
      <c r="A1918" s="2">
        <v>37870</v>
      </c>
      <c r="B1918" s="7">
        <v>422000</v>
      </c>
      <c r="C1918" s="8">
        <v>3.6855036855036882E-2</v>
      </c>
    </row>
    <row r="1919" spans="1:3" x14ac:dyDescent="0.45">
      <c r="A1919" s="2">
        <v>37877</v>
      </c>
      <c r="B1919" s="7">
        <v>394000</v>
      </c>
      <c r="C1919" s="8">
        <v>-6.6350710900473953E-2</v>
      </c>
    </row>
    <row r="1920" spans="1:3" x14ac:dyDescent="0.45">
      <c r="A1920" s="2">
        <v>37884</v>
      </c>
      <c r="B1920" s="7">
        <v>379000</v>
      </c>
      <c r="C1920" s="8">
        <v>-3.8071065989847663E-2</v>
      </c>
    </row>
    <row r="1921" spans="1:3" x14ac:dyDescent="0.45">
      <c r="A1921" s="2">
        <v>37891</v>
      </c>
      <c r="B1921" s="7">
        <v>387000</v>
      </c>
      <c r="C1921" s="8">
        <v>2.1108179419525142E-2</v>
      </c>
    </row>
    <row r="1922" spans="1:3" x14ac:dyDescent="0.45">
      <c r="A1922" s="2">
        <v>37898</v>
      </c>
      <c r="B1922" s="7">
        <v>386000</v>
      </c>
      <c r="C1922" s="8">
        <v>-2.5839793281653423E-3</v>
      </c>
    </row>
    <row r="1923" spans="1:3" x14ac:dyDescent="0.45">
      <c r="A1923" s="2">
        <v>37905</v>
      </c>
      <c r="B1923" s="7">
        <v>376000</v>
      </c>
      <c r="C1923" s="8">
        <v>-2.5906735751295318E-2</v>
      </c>
    </row>
    <row r="1924" spans="1:3" x14ac:dyDescent="0.45">
      <c r="A1924" s="2">
        <v>37912</v>
      </c>
      <c r="B1924" s="7">
        <v>387000</v>
      </c>
      <c r="C1924" s="8">
        <v>2.9255319148936199E-2</v>
      </c>
    </row>
    <row r="1925" spans="1:3" x14ac:dyDescent="0.45">
      <c r="A1925" s="2">
        <v>37919</v>
      </c>
      <c r="B1925" s="7">
        <v>379000</v>
      </c>
      <c r="C1925" s="8">
        <v>-2.067183462532296E-2</v>
      </c>
    </row>
    <row r="1926" spans="1:3" x14ac:dyDescent="0.45">
      <c r="A1926" s="2">
        <v>37926</v>
      </c>
      <c r="B1926" s="7">
        <v>363000</v>
      </c>
      <c r="C1926" s="8">
        <v>-4.2216358839050172E-2</v>
      </c>
    </row>
    <row r="1927" spans="1:3" x14ac:dyDescent="0.45">
      <c r="A1927" s="2">
        <v>37933</v>
      </c>
      <c r="B1927" s="7">
        <v>371000</v>
      </c>
      <c r="C1927" s="8">
        <v>2.2038567493112948E-2</v>
      </c>
    </row>
    <row r="1928" spans="1:3" x14ac:dyDescent="0.45">
      <c r="A1928" s="2">
        <v>37940</v>
      </c>
      <c r="B1928" s="7">
        <v>370000</v>
      </c>
      <c r="C1928" s="8">
        <v>-2.6954177897574594E-3</v>
      </c>
    </row>
    <row r="1929" spans="1:3" x14ac:dyDescent="0.45">
      <c r="A1929" s="2">
        <v>37947</v>
      </c>
      <c r="B1929" s="7">
        <v>354000</v>
      </c>
      <c r="C1929" s="8">
        <v>-4.3243243243243246E-2</v>
      </c>
    </row>
    <row r="1930" spans="1:3" x14ac:dyDescent="0.45">
      <c r="A1930" s="2">
        <v>37954</v>
      </c>
      <c r="B1930" s="7">
        <v>357000</v>
      </c>
      <c r="C1930" s="8">
        <v>8.4745762711864181E-3</v>
      </c>
    </row>
    <row r="1931" spans="1:3" x14ac:dyDescent="0.45">
      <c r="A1931" s="2">
        <v>37961</v>
      </c>
      <c r="B1931" s="7">
        <v>367000</v>
      </c>
      <c r="C1931" s="8">
        <v>2.8011204481792618E-2</v>
      </c>
    </row>
    <row r="1932" spans="1:3" x14ac:dyDescent="0.45">
      <c r="A1932" s="2">
        <v>37968</v>
      </c>
      <c r="B1932" s="7">
        <v>363000</v>
      </c>
      <c r="C1932" s="8">
        <v>-1.0899182561307952E-2</v>
      </c>
    </row>
    <row r="1933" spans="1:3" x14ac:dyDescent="0.45">
      <c r="A1933" s="2">
        <v>37975</v>
      </c>
      <c r="B1933" s="7">
        <v>354000</v>
      </c>
      <c r="C1933" s="8">
        <v>-2.4793388429752095E-2</v>
      </c>
    </row>
    <row r="1934" spans="1:3" x14ac:dyDescent="0.45">
      <c r="A1934" s="2">
        <v>37982</v>
      </c>
      <c r="B1934" s="7">
        <v>349000</v>
      </c>
      <c r="C1934" s="8">
        <v>-1.4124293785310771E-2</v>
      </c>
    </row>
    <row r="1935" spans="1:3" x14ac:dyDescent="0.45">
      <c r="A1935" s="2">
        <v>37989</v>
      </c>
      <c r="B1935" s="7">
        <v>356000</v>
      </c>
      <c r="C1935" s="8">
        <v>2.005730659025784E-2</v>
      </c>
    </row>
    <row r="1936" spans="1:3" x14ac:dyDescent="0.45">
      <c r="A1936" s="2">
        <v>37996</v>
      </c>
      <c r="B1936" s="7">
        <v>354000</v>
      </c>
      <c r="C1936" s="8">
        <v>-5.6179775280899014E-3</v>
      </c>
    </row>
    <row r="1937" spans="1:3" x14ac:dyDescent="0.45">
      <c r="A1937" s="2">
        <v>38003</v>
      </c>
      <c r="B1937" s="7">
        <v>362000</v>
      </c>
      <c r="C1937" s="8">
        <v>2.2598870056497189E-2</v>
      </c>
    </row>
    <row r="1938" spans="1:3" x14ac:dyDescent="0.45">
      <c r="A1938" s="2">
        <v>38010</v>
      </c>
      <c r="B1938" s="7">
        <v>353000</v>
      </c>
      <c r="C1938" s="8">
        <v>-2.4861878453038666E-2</v>
      </c>
    </row>
    <row r="1939" spans="1:3" x14ac:dyDescent="0.45">
      <c r="A1939" s="2">
        <v>38017</v>
      </c>
      <c r="B1939" s="7">
        <v>376000</v>
      </c>
      <c r="C1939" s="8">
        <v>6.5155807365439022E-2</v>
      </c>
    </row>
    <row r="1940" spans="1:3" x14ac:dyDescent="0.45">
      <c r="A1940" s="2">
        <v>38024</v>
      </c>
      <c r="B1940" s="7">
        <v>380000</v>
      </c>
      <c r="C1940" s="8">
        <v>1.0638297872340496E-2</v>
      </c>
    </row>
    <row r="1941" spans="1:3" x14ac:dyDescent="0.45">
      <c r="A1941" s="2">
        <v>38031</v>
      </c>
      <c r="B1941" s="7">
        <v>356000</v>
      </c>
      <c r="C1941" s="8">
        <v>-6.315789473684208E-2</v>
      </c>
    </row>
    <row r="1942" spans="1:3" x14ac:dyDescent="0.45">
      <c r="A1942" s="2">
        <v>38038</v>
      </c>
      <c r="B1942" s="7">
        <v>359000</v>
      </c>
      <c r="C1942" s="8">
        <v>8.4269662921347965E-3</v>
      </c>
    </row>
    <row r="1943" spans="1:3" x14ac:dyDescent="0.45">
      <c r="A1943" s="2">
        <v>38045</v>
      </c>
      <c r="B1943" s="7">
        <v>348000</v>
      </c>
      <c r="C1943" s="8">
        <v>-3.0640668523676862E-2</v>
      </c>
    </row>
    <row r="1944" spans="1:3" x14ac:dyDescent="0.45">
      <c r="A1944" s="2">
        <v>38052</v>
      </c>
      <c r="B1944" s="7">
        <v>344000</v>
      </c>
      <c r="C1944" s="8">
        <v>-1.1494252873563204E-2</v>
      </c>
    </row>
    <row r="1945" spans="1:3" x14ac:dyDescent="0.45">
      <c r="A1945" s="2">
        <v>38059</v>
      </c>
      <c r="B1945" s="7">
        <v>338000</v>
      </c>
      <c r="C1945" s="8">
        <v>-1.744186046511631E-2</v>
      </c>
    </row>
    <row r="1946" spans="1:3" x14ac:dyDescent="0.45">
      <c r="A1946" s="2">
        <v>38066</v>
      </c>
      <c r="B1946" s="7">
        <v>346000</v>
      </c>
      <c r="C1946" s="8">
        <v>2.3668639053254337E-2</v>
      </c>
    </row>
    <row r="1947" spans="1:3" x14ac:dyDescent="0.45">
      <c r="A1947" s="2">
        <v>38073</v>
      </c>
      <c r="B1947" s="7">
        <v>340000</v>
      </c>
      <c r="C1947" s="8">
        <v>-1.7341040462427793E-2</v>
      </c>
    </row>
    <row r="1948" spans="1:3" x14ac:dyDescent="0.45">
      <c r="A1948" s="2">
        <v>38080</v>
      </c>
      <c r="B1948" s="7">
        <v>335000</v>
      </c>
      <c r="C1948" s="8">
        <v>-1.4705882352941124E-2</v>
      </c>
    </row>
    <row r="1949" spans="1:3" x14ac:dyDescent="0.45">
      <c r="A1949" s="2">
        <v>38087</v>
      </c>
      <c r="B1949" s="7">
        <v>355000</v>
      </c>
      <c r="C1949" s="8">
        <v>5.9701492537313383E-2</v>
      </c>
    </row>
    <row r="1950" spans="1:3" x14ac:dyDescent="0.45">
      <c r="A1950" s="2">
        <v>38094</v>
      </c>
      <c r="B1950" s="7">
        <v>364000</v>
      </c>
      <c r="C1950" s="8">
        <v>2.5352112676056304E-2</v>
      </c>
    </row>
    <row r="1951" spans="1:3" x14ac:dyDescent="0.45">
      <c r="A1951" s="2">
        <v>38101</v>
      </c>
      <c r="B1951" s="7">
        <v>339000</v>
      </c>
      <c r="C1951" s="8">
        <v>-6.8681318681318659E-2</v>
      </c>
    </row>
    <row r="1952" spans="1:3" x14ac:dyDescent="0.45">
      <c r="A1952" s="2">
        <v>38108</v>
      </c>
      <c r="B1952" s="7">
        <v>324000</v>
      </c>
      <c r="C1952" s="8">
        <v>-4.4247787610619427E-2</v>
      </c>
    </row>
    <row r="1953" spans="1:3" x14ac:dyDescent="0.45">
      <c r="A1953" s="2">
        <v>38115</v>
      </c>
      <c r="B1953" s="7">
        <v>329000</v>
      </c>
      <c r="C1953" s="8">
        <v>1.5432098765432167E-2</v>
      </c>
    </row>
    <row r="1954" spans="1:3" x14ac:dyDescent="0.45">
      <c r="A1954" s="2">
        <v>38122</v>
      </c>
      <c r="B1954" s="7">
        <v>349000</v>
      </c>
      <c r="C1954" s="8">
        <v>6.07902735562309E-2</v>
      </c>
    </row>
    <row r="1955" spans="1:3" x14ac:dyDescent="0.45">
      <c r="A1955" s="2">
        <v>38129</v>
      </c>
      <c r="B1955" s="7">
        <v>342000</v>
      </c>
      <c r="C1955" s="8">
        <v>-2.005730659025784E-2</v>
      </c>
    </row>
    <row r="1956" spans="1:3" x14ac:dyDescent="0.45">
      <c r="A1956" s="2">
        <v>38136</v>
      </c>
      <c r="B1956" s="7">
        <v>337000</v>
      </c>
      <c r="C1956" s="8">
        <v>-1.4619883040935644E-2</v>
      </c>
    </row>
    <row r="1957" spans="1:3" x14ac:dyDescent="0.45">
      <c r="A1957" s="2">
        <v>38143</v>
      </c>
      <c r="B1957" s="7">
        <v>355000</v>
      </c>
      <c r="C1957" s="8">
        <v>5.3412462908011937E-2</v>
      </c>
    </row>
    <row r="1958" spans="1:3" x14ac:dyDescent="0.45">
      <c r="A1958" s="2">
        <v>38150</v>
      </c>
      <c r="B1958" s="7">
        <v>339000</v>
      </c>
      <c r="C1958" s="8">
        <v>-4.5070422535211319E-2</v>
      </c>
    </row>
    <row r="1959" spans="1:3" x14ac:dyDescent="0.45">
      <c r="A1959" s="2">
        <v>38157</v>
      </c>
      <c r="B1959" s="7">
        <v>354000</v>
      </c>
      <c r="C1959" s="8">
        <v>4.4247787610619538E-2</v>
      </c>
    </row>
    <row r="1960" spans="1:3" x14ac:dyDescent="0.45">
      <c r="A1960" s="2">
        <v>38164</v>
      </c>
      <c r="B1960" s="7">
        <v>348000</v>
      </c>
      <c r="C1960" s="8">
        <v>-1.6949152542372836E-2</v>
      </c>
    </row>
    <row r="1961" spans="1:3" x14ac:dyDescent="0.45">
      <c r="A1961" s="2">
        <v>38171</v>
      </c>
      <c r="B1961" s="7">
        <v>326000</v>
      </c>
      <c r="C1961" s="8">
        <v>-6.3218390804597679E-2</v>
      </c>
    </row>
    <row r="1962" spans="1:3" x14ac:dyDescent="0.45">
      <c r="A1962" s="2">
        <v>38178</v>
      </c>
      <c r="B1962" s="7">
        <v>345000</v>
      </c>
      <c r="C1962" s="8">
        <v>5.8282208588957163E-2</v>
      </c>
    </row>
    <row r="1963" spans="1:3" x14ac:dyDescent="0.45">
      <c r="A1963" s="2">
        <v>38185</v>
      </c>
      <c r="B1963" s="7">
        <v>355000</v>
      </c>
      <c r="C1963" s="8">
        <v>2.8985507246376718E-2</v>
      </c>
    </row>
    <row r="1964" spans="1:3" x14ac:dyDescent="0.45">
      <c r="A1964" s="2">
        <v>38192</v>
      </c>
      <c r="B1964" s="7">
        <v>348000</v>
      </c>
      <c r="C1964" s="8">
        <v>-1.9718309859154903E-2</v>
      </c>
    </row>
    <row r="1965" spans="1:3" x14ac:dyDescent="0.45">
      <c r="A1965" s="2">
        <v>38199</v>
      </c>
      <c r="B1965" s="7">
        <v>341000</v>
      </c>
      <c r="C1965" s="8">
        <v>-2.011494252873558E-2</v>
      </c>
    </row>
    <row r="1966" spans="1:3" x14ac:dyDescent="0.45">
      <c r="A1966" s="2">
        <v>38206</v>
      </c>
      <c r="B1966" s="7">
        <v>336000</v>
      </c>
      <c r="C1966" s="8">
        <v>-1.4662756598240456E-2</v>
      </c>
    </row>
    <row r="1967" spans="1:3" x14ac:dyDescent="0.45">
      <c r="A1967" s="2">
        <v>38213</v>
      </c>
      <c r="B1967" s="7">
        <v>332000</v>
      </c>
      <c r="C1967" s="8">
        <v>-1.1904761904761862E-2</v>
      </c>
    </row>
    <row r="1968" spans="1:3" x14ac:dyDescent="0.45">
      <c r="A1968" s="2">
        <v>38220</v>
      </c>
      <c r="B1968" s="7">
        <v>343000</v>
      </c>
      <c r="C1968" s="8">
        <v>3.3132530120481896E-2</v>
      </c>
    </row>
    <row r="1969" spans="1:3" x14ac:dyDescent="0.45">
      <c r="A1969" s="2">
        <v>38227</v>
      </c>
      <c r="B1969" s="7">
        <v>352000</v>
      </c>
      <c r="C1969" s="8">
        <v>2.6239067055393583E-2</v>
      </c>
    </row>
    <row r="1970" spans="1:3" x14ac:dyDescent="0.45">
      <c r="A1970" s="2">
        <v>38234</v>
      </c>
      <c r="B1970" s="7">
        <v>326000</v>
      </c>
      <c r="C1970" s="8">
        <v>-7.3863636363636354E-2</v>
      </c>
    </row>
    <row r="1971" spans="1:3" x14ac:dyDescent="0.45">
      <c r="A1971" s="2">
        <v>38241</v>
      </c>
      <c r="B1971" s="7">
        <v>331000</v>
      </c>
      <c r="C1971" s="8">
        <v>1.5337423312883347E-2</v>
      </c>
    </row>
    <row r="1972" spans="1:3" x14ac:dyDescent="0.45">
      <c r="A1972" s="2">
        <v>38248</v>
      </c>
      <c r="B1972" s="7">
        <v>341000</v>
      </c>
      <c r="C1972" s="8">
        <v>3.0211480362537735E-2</v>
      </c>
    </row>
    <row r="1973" spans="1:3" x14ac:dyDescent="0.45">
      <c r="A1973" s="2">
        <v>38255</v>
      </c>
      <c r="B1973" s="7">
        <v>351000</v>
      </c>
      <c r="C1973" s="8">
        <v>2.9325513196480912E-2</v>
      </c>
    </row>
    <row r="1974" spans="1:3" x14ac:dyDescent="0.45">
      <c r="A1974" s="2">
        <v>38262</v>
      </c>
      <c r="B1974" s="7">
        <v>335000</v>
      </c>
      <c r="C1974" s="8">
        <v>-4.5584045584045607E-2</v>
      </c>
    </row>
    <row r="1975" spans="1:3" x14ac:dyDescent="0.45">
      <c r="A1975" s="2">
        <v>38269</v>
      </c>
      <c r="B1975" s="7">
        <v>338000</v>
      </c>
      <c r="C1975" s="8">
        <v>8.9552238805969964E-3</v>
      </c>
    </row>
    <row r="1976" spans="1:3" x14ac:dyDescent="0.45">
      <c r="A1976" s="2">
        <v>38276</v>
      </c>
      <c r="B1976" s="7">
        <v>327000</v>
      </c>
      <c r="C1976" s="8">
        <v>-3.2544378698224907E-2</v>
      </c>
    </row>
    <row r="1977" spans="1:3" x14ac:dyDescent="0.45">
      <c r="A1977" s="2">
        <v>38283</v>
      </c>
      <c r="B1977" s="7">
        <v>338000</v>
      </c>
      <c r="C1977" s="8">
        <v>3.3639143730886945E-2</v>
      </c>
    </row>
    <row r="1978" spans="1:3" x14ac:dyDescent="0.45">
      <c r="A1978" s="2">
        <v>38290</v>
      </c>
      <c r="B1978" s="7">
        <v>332000</v>
      </c>
      <c r="C1978" s="8">
        <v>-1.7751479289940808E-2</v>
      </c>
    </row>
    <row r="1979" spans="1:3" x14ac:dyDescent="0.45">
      <c r="A1979" s="2">
        <v>38297</v>
      </c>
      <c r="B1979" s="7">
        <v>330000</v>
      </c>
      <c r="C1979" s="8">
        <v>-6.0240963855421326E-3</v>
      </c>
    </row>
    <row r="1980" spans="1:3" x14ac:dyDescent="0.45">
      <c r="A1980" s="2">
        <v>38304</v>
      </c>
      <c r="B1980" s="7">
        <v>337000</v>
      </c>
      <c r="C1980" s="8">
        <v>2.1212121212121238E-2</v>
      </c>
    </row>
    <row r="1981" spans="1:3" x14ac:dyDescent="0.45">
      <c r="A1981" s="2">
        <v>38311</v>
      </c>
      <c r="B1981" s="7">
        <v>313000</v>
      </c>
      <c r="C1981" s="8">
        <v>-7.1216617210682509E-2</v>
      </c>
    </row>
    <row r="1982" spans="1:3" x14ac:dyDescent="0.45">
      <c r="A1982" s="2">
        <v>38318</v>
      </c>
      <c r="B1982" s="7">
        <v>335000</v>
      </c>
      <c r="C1982" s="8">
        <v>7.0287539936102261E-2</v>
      </c>
    </row>
    <row r="1983" spans="1:3" x14ac:dyDescent="0.45">
      <c r="A1983" s="2">
        <v>38325</v>
      </c>
      <c r="B1983" s="7">
        <v>343000</v>
      </c>
      <c r="C1983" s="8">
        <v>2.3880597014925398E-2</v>
      </c>
    </row>
    <row r="1984" spans="1:3" x14ac:dyDescent="0.45">
      <c r="A1984" s="2">
        <v>38332</v>
      </c>
      <c r="B1984" s="7">
        <v>316000</v>
      </c>
      <c r="C1984" s="8">
        <v>-7.871720116618075E-2</v>
      </c>
    </row>
    <row r="1985" spans="1:3" x14ac:dyDescent="0.45">
      <c r="A1985" s="2">
        <v>38339</v>
      </c>
      <c r="B1985" s="7">
        <v>322000</v>
      </c>
      <c r="C1985" s="8">
        <v>1.8987341772152E-2</v>
      </c>
    </row>
    <row r="1986" spans="1:3" x14ac:dyDescent="0.45">
      <c r="A1986" s="2">
        <v>38346</v>
      </c>
      <c r="B1986" s="7">
        <v>320000</v>
      </c>
      <c r="C1986" s="8">
        <v>-6.2111801242236142E-3</v>
      </c>
    </row>
    <row r="1987" spans="1:3" x14ac:dyDescent="0.45">
      <c r="A1987" s="2">
        <v>38353</v>
      </c>
      <c r="B1987" s="7">
        <v>356000</v>
      </c>
      <c r="C1987" s="8">
        <v>0.11250000000000004</v>
      </c>
    </row>
    <row r="1988" spans="1:3" x14ac:dyDescent="0.45">
      <c r="A1988" s="2">
        <v>38360</v>
      </c>
      <c r="B1988" s="7">
        <v>369000</v>
      </c>
      <c r="C1988" s="8">
        <v>3.6516853932584192E-2</v>
      </c>
    </row>
    <row r="1989" spans="1:3" x14ac:dyDescent="0.45">
      <c r="A1989" s="2">
        <v>38367</v>
      </c>
      <c r="B1989" s="7">
        <v>332000</v>
      </c>
      <c r="C1989" s="8">
        <v>-0.10027100271002709</v>
      </c>
    </row>
    <row r="1990" spans="1:3" x14ac:dyDescent="0.45">
      <c r="A1990" s="2">
        <v>38374</v>
      </c>
      <c r="B1990" s="7">
        <v>329000</v>
      </c>
      <c r="C1990" s="8">
        <v>-9.0361445783132543E-3</v>
      </c>
    </row>
    <row r="1991" spans="1:3" x14ac:dyDescent="0.45">
      <c r="A1991" s="2">
        <v>38381</v>
      </c>
      <c r="B1991" s="7">
        <v>331000</v>
      </c>
      <c r="C1991" s="8">
        <v>6.0790273556230456E-3</v>
      </c>
    </row>
    <row r="1992" spans="1:3" x14ac:dyDescent="0.45">
      <c r="A1992" s="2">
        <v>38388</v>
      </c>
      <c r="B1992" s="7">
        <v>307000</v>
      </c>
      <c r="C1992" s="8">
        <v>-7.2507552870090586E-2</v>
      </c>
    </row>
    <row r="1993" spans="1:3" x14ac:dyDescent="0.45">
      <c r="A1993" s="2">
        <v>38395</v>
      </c>
      <c r="B1993" s="7">
        <v>308000</v>
      </c>
      <c r="C1993" s="8">
        <v>3.2573289902280145E-3</v>
      </c>
    </row>
    <row r="1994" spans="1:3" x14ac:dyDescent="0.45">
      <c r="A1994" s="2">
        <v>38402</v>
      </c>
      <c r="B1994" s="7">
        <v>318000</v>
      </c>
      <c r="C1994" s="8">
        <v>3.2467532467532534E-2</v>
      </c>
    </row>
    <row r="1995" spans="1:3" x14ac:dyDescent="0.45">
      <c r="A1995" s="2">
        <v>38409</v>
      </c>
      <c r="B1995" s="7">
        <v>314000</v>
      </c>
      <c r="C1995" s="8">
        <v>-1.2578616352201255E-2</v>
      </c>
    </row>
    <row r="1996" spans="1:3" x14ac:dyDescent="0.45">
      <c r="A1996" s="2">
        <v>38416</v>
      </c>
      <c r="B1996" s="7">
        <v>333000</v>
      </c>
      <c r="C1996" s="8">
        <v>6.0509554140127486E-2</v>
      </c>
    </row>
    <row r="1997" spans="1:3" x14ac:dyDescent="0.45">
      <c r="A1997" s="2">
        <v>38423</v>
      </c>
      <c r="B1997" s="7">
        <v>324000</v>
      </c>
      <c r="C1997" s="8">
        <v>-2.7027027027026973E-2</v>
      </c>
    </row>
    <row r="1998" spans="1:3" x14ac:dyDescent="0.45">
      <c r="A1998" s="2">
        <v>38430</v>
      </c>
      <c r="B1998" s="7">
        <v>329000</v>
      </c>
      <c r="C1998" s="8">
        <v>1.5432098765432167E-2</v>
      </c>
    </row>
    <row r="1999" spans="1:3" x14ac:dyDescent="0.45">
      <c r="A1999" s="2">
        <v>38437</v>
      </c>
      <c r="B1999" s="7">
        <v>342000</v>
      </c>
      <c r="C1999" s="8">
        <v>3.951367781155013E-2</v>
      </c>
    </row>
    <row r="2000" spans="1:3" x14ac:dyDescent="0.45">
      <c r="A2000" s="2">
        <v>38444</v>
      </c>
      <c r="B2000" s="7">
        <v>335000</v>
      </c>
      <c r="C2000" s="8">
        <v>-2.0467836257309968E-2</v>
      </c>
    </row>
    <row r="2001" spans="1:3" x14ac:dyDescent="0.45">
      <c r="A2001" s="2">
        <v>38451</v>
      </c>
      <c r="B2001" s="7">
        <v>323000</v>
      </c>
      <c r="C2001" s="8">
        <v>-3.5820895522388096E-2</v>
      </c>
    </row>
    <row r="2002" spans="1:3" x14ac:dyDescent="0.45">
      <c r="A2002" s="2">
        <v>38458</v>
      </c>
      <c r="B2002" s="7">
        <v>307000</v>
      </c>
      <c r="C2002" s="8">
        <v>-4.9535603715170295E-2</v>
      </c>
    </row>
    <row r="2003" spans="1:3" x14ac:dyDescent="0.45">
      <c r="A2003" s="2">
        <v>38465</v>
      </c>
      <c r="B2003" s="7">
        <v>317000</v>
      </c>
      <c r="C2003" s="8">
        <v>3.2573289902280145E-2</v>
      </c>
    </row>
    <row r="2004" spans="1:3" x14ac:dyDescent="0.45">
      <c r="A2004" s="2">
        <v>38472</v>
      </c>
      <c r="B2004" s="7">
        <v>334000</v>
      </c>
      <c r="C2004" s="8">
        <v>5.3627760252366041E-2</v>
      </c>
    </row>
    <row r="2005" spans="1:3" x14ac:dyDescent="0.45">
      <c r="A2005" s="2">
        <v>38479</v>
      </c>
      <c r="B2005" s="7">
        <v>327000</v>
      </c>
      <c r="C2005" s="8">
        <v>-2.0958083832335328E-2</v>
      </c>
    </row>
    <row r="2006" spans="1:3" x14ac:dyDescent="0.45">
      <c r="A2006" s="2">
        <v>38486</v>
      </c>
      <c r="B2006" s="7">
        <v>321000</v>
      </c>
      <c r="C2006" s="8">
        <v>-1.834862385321101E-2</v>
      </c>
    </row>
    <row r="2007" spans="1:3" x14ac:dyDescent="0.45">
      <c r="A2007" s="2">
        <v>38493</v>
      </c>
      <c r="B2007" s="7">
        <v>320000</v>
      </c>
      <c r="C2007" s="8">
        <v>-3.1152647975077885E-3</v>
      </c>
    </row>
    <row r="2008" spans="1:3" x14ac:dyDescent="0.45">
      <c r="A2008" s="2">
        <v>38500</v>
      </c>
      <c r="B2008" s="7">
        <v>340000</v>
      </c>
      <c r="C2008" s="8">
        <v>6.25E-2</v>
      </c>
    </row>
    <row r="2009" spans="1:3" x14ac:dyDescent="0.45">
      <c r="A2009" s="2">
        <v>38507</v>
      </c>
      <c r="B2009" s="7">
        <v>338000</v>
      </c>
      <c r="C2009" s="8">
        <v>-5.8823529411764497E-3</v>
      </c>
    </row>
    <row r="2010" spans="1:3" x14ac:dyDescent="0.45">
      <c r="A2010" s="2">
        <v>38514</v>
      </c>
      <c r="B2010" s="7">
        <v>333000</v>
      </c>
      <c r="C2010" s="8">
        <v>-1.4792899408283988E-2</v>
      </c>
    </row>
    <row r="2011" spans="1:3" x14ac:dyDescent="0.45">
      <c r="A2011" s="2">
        <v>38521</v>
      </c>
      <c r="B2011" s="7">
        <v>321000</v>
      </c>
      <c r="C2011" s="8">
        <v>-3.6036036036036001E-2</v>
      </c>
    </row>
    <row r="2012" spans="1:3" x14ac:dyDescent="0.45">
      <c r="A2012" s="2">
        <v>38528</v>
      </c>
      <c r="B2012" s="7">
        <v>311000</v>
      </c>
      <c r="C2012" s="8">
        <v>-3.1152647975077885E-2</v>
      </c>
    </row>
    <row r="2013" spans="1:3" x14ac:dyDescent="0.45">
      <c r="A2013" s="2">
        <v>38535</v>
      </c>
      <c r="B2013" s="7">
        <v>327000</v>
      </c>
      <c r="C2013" s="8">
        <v>5.1446945337620509E-2</v>
      </c>
    </row>
    <row r="2014" spans="1:3" x14ac:dyDescent="0.45">
      <c r="A2014" s="2">
        <v>38542</v>
      </c>
      <c r="B2014" s="7">
        <v>338000</v>
      </c>
      <c r="C2014" s="8">
        <v>3.3639143730886945E-2</v>
      </c>
    </row>
    <row r="2015" spans="1:3" x14ac:dyDescent="0.45">
      <c r="A2015" s="2">
        <v>38549</v>
      </c>
      <c r="B2015" s="7">
        <v>323000</v>
      </c>
      <c r="C2015" s="8">
        <v>-4.4378698224852076E-2</v>
      </c>
    </row>
    <row r="2016" spans="1:3" x14ac:dyDescent="0.45">
      <c r="A2016" s="2">
        <v>38556</v>
      </c>
      <c r="B2016" s="7">
        <v>318000</v>
      </c>
      <c r="C2016" s="8">
        <v>-1.5479876160990669E-2</v>
      </c>
    </row>
    <row r="2017" spans="1:3" x14ac:dyDescent="0.45">
      <c r="A2017" s="2">
        <v>38563</v>
      </c>
      <c r="B2017" s="7">
        <v>316000</v>
      </c>
      <c r="C2017" s="8">
        <v>-6.2893081761006275E-3</v>
      </c>
    </row>
    <row r="2018" spans="1:3" x14ac:dyDescent="0.45">
      <c r="A2018" s="2">
        <v>38570</v>
      </c>
      <c r="B2018" s="7">
        <v>311000</v>
      </c>
      <c r="C2018" s="8">
        <v>-1.5822784810126556E-2</v>
      </c>
    </row>
    <row r="2019" spans="1:3" x14ac:dyDescent="0.45">
      <c r="A2019" s="2">
        <v>38577</v>
      </c>
      <c r="B2019" s="7">
        <v>319000</v>
      </c>
      <c r="C2019" s="8">
        <v>2.5723472668810254E-2</v>
      </c>
    </row>
    <row r="2020" spans="1:3" x14ac:dyDescent="0.45">
      <c r="A2020" s="2">
        <v>38584</v>
      </c>
      <c r="B2020" s="7">
        <v>315000</v>
      </c>
      <c r="C2020" s="8">
        <v>-1.2539184952978011E-2</v>
      </c>
    </row>
    <row r="2021" spans="1:3" x14ac:dyDescent="0.45">
      <c r="A2021" s="2">
        <v>38591</v>
      </c>
      <c r="B2021" s="7">
        <v>318000</v>
      </c>
      <c r="C2021" s="8">
        <v>9.52380952380949E-3</v>
      </c>
    </row>
    <row r="2022" spans="1:3" x14ac:dyDescent="0.45">
      <c r="A2022" s="2">
        <v>38598</v>
      </c>
      <c r="B2022" s="7">
        <v>326000</v>
      </c>
      <c r="C2022" s="8">
        <v>2.515723270440251E-2</v>
      </c>
    </row>
    <row r="2023" spans="1:3" x14ac:dyDescent="0.45">
      <c r="A2023" s="2">
        <v>38605</v>
      </c>
      <c r="B2023" s="7">
        <v>422000</v>
      </c>
      <c r="C2023" s="8">
        <v>0.29447852760736204</v>
      </c>
    </row>
    <row r="2024" spans="1:3" x14ac:dyDescent="0.45">
      <c r="A2024" s="2">
        <v>38612</v>
      </c>
      <c r="B2024" s="7">
        <v>424000</v>
      </c>
      <c r="C2024" s="8">
        <v>4.7393364928909332E-3</v>
      </c>
    </row>
    <row r="2025" spans="1:3" x14ac:dyDescent="0.45">
      <c r="A2025" s="2">
        <v>38619</v>
      </c>
      <c r="B2025" s="7">
        <v>359000</v>
      </c>
      <c r="C2025" s="8">
        <v>-0.15330188679245282</v>
      </c>
    </row>
    <row r="2026" spans="1:3" x14ac:dyDescent="0.45">
      <c r="A2026" s="2">
        <v>38626</v>
      </c>
      <c r="B2026" s="7">
        <v>384000</v>
      </c>
      <c r="C2026" s="8">
        <v>6.9637883008356605E-2</v>
      </c>
    </row>
    <row r="2027" spans="1:3" x14ac:dyDescent="0.45">
      <c r="A2027" s="2">
        <v>38633</v>
      </c>
      <c r="B2027" s="7">
        <v>383000</v>
      </c>
      <c r="C2027" s="8">
        <v>-2.6041666666666297E-3</v>
      </c>
    </row>
    <row r="2028" spans="1:3" x14ac:dyDescent="0.45">
      <c r="A2028" s="2">
        <v>38640</v>
      </c>
      <c r="B2028" s="7">
        <v>348000</v>
      </c>
      <c r="C2028" s="8">
        <v>-9.1383812010443877E-2</v>
      </c>
    </row>
    <row r="2029" spans="1:3" x14ac:dyDescent="0.45">
      <c r="A2029" s="2">
        <v>38647</v>
      </c>
      <c r="B2029" s="7">
        <v>324000</v>
      </c>
      <c r="C2029" s="8">
        <v>-6.8965517241379337E-2</v>
      </c>
    </row>
    <row r="2030" spans="1:3" x14ac:dyDescent="0.45">
      <c r="A2030" s="2">
        <v>38654</v>
      </c>
      <c r="B2030" s="7">
        <v>322000</v>
      </c>
      <c r="C2030" s="8">
        <v>-6.1728395061728669E-3</v>
      </c>
    </row>
    <row r="2031" spans="1:3" x14ac:dyDescent="0.45">
      <c r="A2031" s="2">
        <v>38661</v>
      </c>
      <c r="B2031" s="7">
        <v>325000</v>
      </c>
      <c r="C2031" s="8">
        <v>9.3167701863354768E-3</v>
      </c>
    </row>
    <row r="2032" spans="1:3" x14ac:dyDescent="0.45">
      <c r="A2032" s="2">
        <v>38668</v>
      </c>
      <c r="B2032" s="7">
        <v>309000</v>
      </c>
      <c r="C2032" s="8">
        <v>-4.9230769230769189E-2</v>
      </c>
    </row>
    <row r="2033" spans="1:3" x14ac:dyDescent="0.45">
      <c r="A2033" s="2">
        <v>38675</v>
      </c>
      <c r="B2033" s="7">
        <v>324000</v>
      </c>
      <c r="C2033" s="8">
        <v>4.8543689320388328E-2</v>
      </c>
    </row>
    <row r="2034" spans="1:3" x14ac:dyDescent="0.45">
      <c r="A2034" s="2">
        <v>38682</v>
      </c>
      <c r="B2034" s="7">
        <v>311000</v>
      </c>
      <c r="C2034" s="8">
        <v>-4.0123456790123413E-2</v>
      </c>
    </row>
    <row r="2035" spans="1:3" x14ac:dyDescent="0.45">
      <c r="A2035" s="2">
        <v>38689</v>
      </c>
      <c r="B2035" s="7">
        <v>321000</v>
      </c>
      <c r="C2035" s="8">
        <v>3.2154340836012762E-2</v>
      </c>
    </row>
    <row r="2036" spans="1:3" x14ac:dyDescent="0.45">
      <c r="A2036" s="2">
        <v>38696</v>
      </c>
      <c r="B2036" s="7">
        <v>327000</v>
      </c>
      <c r="C2036" s="8">
        <v>1.8691588785046731E-2</v>
      </c>
    </row>
    <row r="2037" spans="1:3" x14ac:dyDescent="0.45">
      <c r="A2037" s="2">
        <v>38703</v>
      </c>
      <c r="B2037" s="7">
        <v>312000</v>
      </c>
      <c r="C2037" s="8">
        <v>-4.587155963302747E-2</v>
      </c>
    </row>
    <row r="2038" spans="1:3" x14ac:dyDescent="0.45">
      <c r="A2038" s="2">
        <v>38710</v>
      </c>
      <c r="B2038" s="7">
        <v>320000</v>
      </c>
      <c r="C2038" s="8">
        <v>2.564102564102555E-2</v>
      </c>
    </row>
    <row r="2039" spans="1:3" x14ac:dyDescent="0.45">
      <c r="A2039" s="2">
        <v>38717</v>
      </c>
      <c r="B2039" s="7">
        <v>302000</v>
      </c>
      <c r="C2039" s="8">
        <v>-5.6250000000000022E-2</v>
      </c>
    </row>
    <row r="2040" spans="1:3" x14ac:dyDescent="0.45">
      <c r="A2040" s="2">
        <v>38724</v>
      </c>
      <c r="B2040" s="7">
        <v>326000</v>
      </c>
      <c r="C2040" s="8">
        <v>7.9470198675496651E-2</v>
      </c>
    </row>
    <row r="2041" spans="1:3" x14ac:dyDescent="0.45">
      <c r="A2041" s="2">
        <v>38731</v>
      </c>
      <c r="B2041" s="7">
        <v>285000</v>
      </c>
      <c r="C2041" s="8">
        <v>-0.12576687116564422</v>
      </c>
    </row>
    <row r="2042" spans="1:3" x14ac:dyDescent="0.45">
      <c r="A2042" s="2">
        <v>38738</v>
      </c>
      <c r="B2042" s="7">
        <v>290000</v>
      </c>
      <c r="C2042" s="8">
        <v>1.7543859649122862E-2</v>
      </c>
    </row>
    <row r="2043" spans="1:3" x14ac:dyDescent="0.45">
      <c r="A2043" s="2">
        <v>38745</v>
      </c>
      <c r="B2043" s="7">
        <v>282000</v>
      </c>
      <c r="C2043" s="8">
        <v>-2.7586206896551779E-2</v>
      </c>
    </row>
    <row r="2044" spans="1:3" x14ac:dyDescent="0.45">
      <c r="A2044" s="2">
        <v>38752</v>
      </c>
      <c r="B2044" s="7">
        <v>289000</v>
      </c>
      <c r="C2044" s="8">
        <v>2.4822695035461084E-2</v>
      </c>
    </row>
    <row r="2045" spans="1:3" x14ac:dyDescent="0.45">
      <c r="A2045" s="2">
        <v>38759</v>
      </c>
      <c r="B2045" s="7">
        <v>298000</v>
      </c>
      <c r="C2045" s="8">
        <v>3.114186851211076E-2</v>
      </c>
    </row>
    <row r="2046" spans="1:3" x14ac:dyDescent="0.45">
      <c r="A2046" s="2">
        <v>38766</v>
      </c>
      <c r="B2046" s="7">
        <v>283000</v>
      </c>
      <c r="C2046" s="8">
        <v>-5.0335570469798641E-2</v>
      </c>
    </row>
    <row r="2047" spans="1:3" x14ac:dyDescent="0.45">
      <c r="A2047" s="2">
        <v>38773</v>
      </c>
      <c r="B2047" s="7">
        <v>293000</v>
      </c>
      <c r="C2047" s="8">
        <v>3.5335689045936425E-2</v>
      </c>
    </row>
    <row r="2048" spans="1:3" x14ac:dyDescent="0.45">
      <c r="A2048" s="2">
        <v>38780</v>
      </c>
      <c r="B2048" s="7">
        <v>302000</v>
      </c>
      <c r="C2048" s="8">
        <v>3.0716723549488067E-2</v>
      </c>
    </row>
    <row r="2049" spans="1:3" x14ac:dyDescent="0.45">
      <c r="A2049" s="2">
        <v>38787</v>
      </c>
      <c r="B2049" s="7">
        <v>307000</v>
      </c>
      <c r="C2049" s="8">
        <v>1.655629139072845E-2</v>
      </c>
    </row>
    <row r="2050" spans="1:3" x14ac:dyDescent="0.45">
      <c r="A2050" s="2">
        <v>38794</v>
      </c>
      <c r="B2050" s="7">
        <v>303000</v>
      </c>
      <c r="C2050" s="8">
        <v>-1.3029315960912058E-2</v>
      </c>
    </row>
    <row r="2051" spans="1:3" x14ac:dyDescent="0.45">
      <c r="A2051" s="2">
        <v>38801</v>
      </c>
      <c r="B2051" s="7">
        <v>295000</v>
      </c>
      <c r="C2051" s="8">
        <v>-2.6402640264026389E-2</v>
      </c>
    </row>
    <row r="2052" spans="1:3" x14ac:dyDescent="0.45">
      <c r="A2052" s="2">
        <v>38808</v>
      </c>
      <c r="B2052" s="7">
        <v>291000</v>
      </c>
      <c r="C2052" s="8">
        <v>-1.3559322033898313E-2</v>
      </c>
    </row>
    <row r="2053" spans="1:3" x14ac:dyDescent="0.45">
      <c r="A2053" s="2">
        <v>38815</v>
      </c>
      <c r="B2053" s="7">
        <v>299000</v>
      </c>
      <c r="C2053" s="8">
        <v>2.7491408934707806E-2</v>
      </c>
    </row>
    <row r="2054" spans="1:3" x14ac:dyDescent="0.45">
      <c r="A2054" s="2">
        <v>38822</v>
      </c>
      <c r="B2054" s="7">
        <v>299000</v>
      </c>
      <c r="C2054" s="8">
        <v>0</v>
      </c>
    </row>
    <row r="2055" spans="1:3" x14ac:dyDescent="0.45">
      <c r="A2055" s="2">
        <v>38829</v>
      </c>
      <c r="B2055" s="7">
        <v>308000</v>
      </c>
      <c r="C2055" s="8">
        <v>3.0100334448160515E-2</v>
      </c>
    </row>
    <row r="2056" spans="1:3" x14ac:dyDescent="0.45">
      <c r="A2056" s="2">
        <v>38836</v>
      </c>
      <c r="B2056" s="7">
        <v>321000</v>
      </c>
      <c r="C2056" s="8">
        <v>4.2207792207792139E-2</v>
      </c>
    </row>
    <row r="2057" spans="1:3" x14ac:dyDescent="0.45">
      <c r="A2057" s="2">
        <v>38843</v>
      </c>
      <c r="B2057" s="7">
        <v>347000</v>
      </c>
      <c r="C2057" s="8">
        <v>8.0996884735202501E-2</v>
      </c>
    </row>
    <row r="2058" spans="1:3" x14ac:dyDescent="0.45">
      <c r="A2058" s="2">
        <v>38850</v>
      </c>
      <c r="B2058" s="7">
        <v>335000</v>
      </c>
      <c r="C2058" s="8">
        <v>-3.458213256484155E-2</v>
      </c>
    </row>
    <row r="2059" spans="1:3" x14ac:dyDescent="0.45">
      <c r="A2059" s="2">
        <v>38857</v>
      </c>
      <c r="B2059" s="7">
        <v>319000</v>
      </c>
      <c r="C2059" s="8">
        <v>-4.7761194029850795E-2</v>
      </c>
    </row>
    <row r="2060" spans="1:3" x14ac:dyDescent="0.45">
      <c r="A2060" s="2">
        <v>38864</v>
      </c>
      <c r="B2060" s="7">
        <v>330000</v>
      </c>
      <c r="C2060" s="8">
        <v>3.4482758620689724E-2</v>
      </c>
    </row>
    <row r="2061" spans="1:3" x14ac:dyDescent="0.45">
      <c r="A2061" s="2">
        <v>38871</v>
      </c>
      <c r="B2061" s="7">
        <v>307000</v>
      </c>
      <c r="C2061" s="8">
        <v>-6.9696969696969702E-2</v>
      </c>
    </row>
    <row r="2062" spans="1:3" x14ac:dyDescent="0.45">
      <c r="A2062" s="2">
        <v>38878</v>
      </c>
      <c r="B2062" s="7">
        <v>298000</v>
      </c>
      <c r="C2062" s="8">
        <v>-2.931596091205213E-2</v>
      </c>
    </row>
    <row r="2063" spans="1:3" x14ac:dyDescent="0.45">
      <c r="A2063" s="2">
        <v>38885</v>
      </c>
      <c r="B2063" s="7">
        <v>308000</v>
      </c>
      <c r="C2063" s="8">
        <v>3.3557046979865834E-2</v>
      </c>
    </row>
    <row r="2064" spans="1:3" x14ac:dyDescent="0.45">
      <c r="A2064" s="2">
        <v>38892</v>
      </c>
      <c r="B2064" s="7">
        <v>309000</v>
      </c>
      <c r="C2064" s="8">
        <v>3.2467532467532756E-3</v>
      </c>
    </row>
    <row r="2065" spans="1:3" x14ac:dyDescent="0.45">
      <c r="A2065" s="2">
        <v>38899</v>
      </c>
      <c r="B2065" s="7">
        <v>316000</v>
      </c>
      <c r="C2065" s="8">
        <v>2.265372168284796E-2</v>
      </c>
    </row>
    <row r="2066" spans="1:3" x14ac:dyDescent="0.45">
      <c r="A2066" s="2">
        <v>38906</v>
      </c>
      <c r="B2066" s="7">
        <v>343000</v>
      </c>
      <c r="C2066" s="8">
        <v>8.5443037974683556E-2</v>
      </c>
    </row>
    <row r="2067" spans="1:3" x14ac:dyDescent="0.45">
      <c r="A2067" s="2">
        <v>38913</v>
      </c>
      <c r="B2067" s="7">
        <v>318000</v>
      </c>
      <c r="C2067" s="8">
        <v>-7.2886297376093312E-2</v>
      </c>
    </row>
    <row r="2068" spans="1:3" x14ac:dyDescent="0.45">
      <c r="A2068" s="2">
        <v>38920</v>
      </c>
      <c r="B2068" s="7">
        <v>306000</v>
      </c>
      <c r="C2068" s="8">
        <v>-3.7735849056603765E-2</v>
      </c>
    </row>
    <row r="2069" spans="1:3" x14ac:dyDescent="0.45">
      <c r="A2069" s="2">
        <v>38927</v>
      </c>
      <c r="B2069" s="7">
        <v>311000</v>
      </c>
      <c r="C2069" s="8">
        <v>1.6339869281045694E-2</v>
      </c>
    </row>
    <row r="2070" spans="1:3" x14ac:dyDescent="0.45">
      <c r="A2070" s="2">
        <v>38934</v>
      </c>
      <c r="B2070" s="7">
        <v>318000</v>
      </c>
      <c r="C2070" s="8">
        <v>2.2508038585209E-2</v>
      </c>
    </row>
    <row r="2071" spans="1:3" x14ac:dyDescent="0.45">
      <c r="A2071" s="2">
        <v>38941</v>
      </c>
      <c r="B2071" s="7">
        <v>310000</v>
      </c>
      <c r="C2071" s="8">
        <v>-2.515723270440251E-2</v>
      </c>
    </row>
    <row r="2072" spans="1:3" x14ac:dyDescent="0.45">
      <c r="A2072" s="2">
        <v>38948</v>
      </c>
      <c r="B2072" s="7">
        <v>315000</v>
      </c>
      <c r="C2072" s="8">
        <v>1.6129032258064502E-2</v>
      </c>
    </row>
    <row r="2073" spans="1:3" x14ac:dyDescent="0.45">
      <c r="A2073" s="2">
        <v>38955</v>
      </c>
      <c r="B2073" s="7">
        <v>314000</v>
      </c>
      <c r="C2073" s="8">
        <v>-3.1746031746031633E-3</v>
      </c>
    </row>
    <row r="2074" spans="1:3" x14ac:dyDescent="0.45">
      <c r="A2074" s="2">
        <v>38962</v>
      </c>
      <c r="B2074" s="7">
        <v>315000</v>
      </c>
      <c r="C2074" s="8">
        <v>3.1847133757962887E-3</v>
      </c>
    </row>
    <row r="2075" spans="1:3" x14ac:dyDescent="0.45">
      <c r="A2075" s="2">
        <v>38969</v>
      </c>
      <c r="B2075" s="7">
        <v>314000</v>
      </c>
      <c r="C2075" s="8">
        <v>-3.1746031746031633E-3</v>
      </c>
    </row>
    <row r="2076" spans="1:3" x14ac:dyDescent="0.45">
      <c r="A2076" s="2">
        <v>38976</v>
      </c>
      <c r="B2076" s="7">
        <v>324000</v>
      </c>
      <c r="C2076" s="8">
        <v>3.1847133757961776E-2</v>
      </c>
    </row>
    <row r="2077" spans="1:3" x14ac:dyDescent="0.45">
      <c r="A2077" s="2">
        <v>38983</v>
      </c>
      <c r="B2077" s="7">
        <v>319000</v>
      </c>
      <c r="C2077" s="8">
        <v>-1.5432098765432056E-2</v>
      </c>
    </row>
    <row r="2078" spans="1:3" x14ac:dyDescent="0.45">
      <c r="A2078" s="2">
        <v>38990</v>
      </c>
      <c r="B2078" s="7">
        <v>309000</v>
      </c>
      <c r="C2078" s="8">
        <v>-3.1347962382445194E-2</v>
      </c>
    </row>
    <row r="2079" spans="1:3" x14ac:dyDescent="0.45">
      <c r="A2079" s="2">
        <v>38997</v>
      </c>
      <c r="B2079" s="7">
        <v>316000</v>
      </c>
      <c r="C2079" s="8">
        <v>2.265372168284796E-2</v>
      </c>
    </row>
    <row r="2080" spans="1:3" x14ac:dyDescent="0.45">
      <c r="A2080" s="2">
        <v>39004</v>
      </c>
      <c r="B2080" s="7">
        <v>305000</v>
      </c>
      <c r="C2080" s="8">
        <v>-3.4810126582278444E-2</v>
      </c>
    </row>
    <row r="2081" spans="1:3" x14ac:dyDescent="0.45">
      <c r="A2081" s="2">
        <v>39011</v>
      </c>
      <c r="B2081" s="7">
        <v>313000</v>
      </c>
      <c r="C2081" s="8">
        <v>2.6229508196721207E-2</v>
      </c>
    </row>
    <row r="2082" spans="1:3" x14ac:dyDescent="0.45">
      <c r="A2082" s="2">
        <v>39018</v>
      </c>
      <c r="B2082" s="7">
        <v>328000</v>
      </c>
      <c r="C2082" s="8">
        <v>4.7923322683706138E-2</v>
      </c>
    </row>
    <row r="2083" spans="1:3" x14ac:dyDescent="0.45">
      <c r="A2083" s="2">
        <v>39025</v>
      </c>
      <c r="B2083" s="7">
        <v>319000</v>
      </c>
      <c r="C2083" s="8">
        <v>-2.7439024390243927E-2</v>
      </c>
    </row>
    <row r="2084" spans="1:3" x14ac:dyDescent="0.45">
      <c r="A2084" s="2">
        <v>39032</v>
      </c>
      <c r="B2084" s="7">
        <v>311000</v>
      </c>
      <c r="C2084" s="8">
        <v>-2.5078369905956133E-2</v>
      </c>
    </row>
    <row r="2085" spans="1:3" x14ac:dyDescent="0.45">
      <c r="A2085" s="2">
        <v>39039</v>
      </c>
      <c r="B2085" s="7">
        <v>326000</v>
      </c>
      <c r="C2085" s="8">
        <v>4.8231511254019255E-2</v>
      </c>
    </row>
    <row r="2086" spans="1:3" x14ac:dyDescent="0.45">
      <c r="A2086" s="2">
        <v>39046</v>
      </c>
      <c r="B2086" s="7">
        <v>349000</v>
      </c>
      <c r="C2086" s="8">
        <v>7.055214723926384E-2</v>
      </c>
    </row>
    <row r="2087" spans="1:3" x14ac:dyDescent="0.45">
      <c r="A2087" s="2">
        <v>39053</v>
      </c>
      <c r="B2087" s="7">
        <v>327000</v>
      </c>
      <c r="C2087" s="8">
        <v>-6.3037249283667607E-2</v>
      </c>
    </row>
    <row r="2088" spans="1:3" x14ac:dyDescent="0.45">
      <c r="A2088" s="2">
        <v>39060</v>
      </c>
      <c r="B2088" s="7">
        <v>311000</v>
      </c>
      <c r="C2088" s="8">
        <v>-4.8929663608562657E-2</v>
      </c>
    </row>
    <row r="2089" spans="1:3" x14ac:dyDescent="0.45">
      <c r="A2089" s="2">
        <v>39067</v>
      </c>
      <c r="B2089" s="7">
        <v>318000</v>
      </c>
      <c r="C2089" s="8">
        <v>2.2508038585209E-2</v>
      </c>
    </row>
    <row r="2090" spans="1:3" x14ac:dyDescent="0.45">
      <c r="A2090" s="2">
        <v>39074</v>
      </c>
      <c r="B2090" s="7">
        <v>323000</v>
      </c>
      <c r="C2090" s="8">
        <v>1.572327044025168E-2</v>
      </c>
    </row>
    <row r="2091" spans="1:3" x14ac:dyDescent="0.45">
      <c r="A2091" s="2">
        <v>39081</v>
      </c>
      <c r="B2091" s="7">
        <v>341000</v>
      </c>
      <c r="C2091" s="8">
        <v>5.5727554179566541E-2</v>
      </c>
    </row>
    <row r="2092" spans="1:3" x14ac:dyDescent="0.45">
      <c r="A2092" s="2">
        <v>39088</v>
      </c>
      <c r="B2092" s="7">
        <v>330000</v>
      </c>
      <c r="C2092" s="8">
        <v>-3.2258064516129004E-2</v>
      </c>
    </row>
    <row r="2093" spans="1:3" x14ac:dyDescent="0.45">
      <c r="A2093" s="2">
        <v>39095</v>
      </c>
      <c r="B2093" s="7">
        <v>296000</v>
      </c>
      <c r="C2093" s="8">
        <v>-0.10303030303030303</v>
      </c>
    </row>
    <row r="2094" spans="1:3" x14ac:dyDescent="0.45">
      <c r="A2094" s="2">
        <v>39102</v>
      </c>
      <c r="B2094" s="7">
        <v>335000</v>
      </c>
      <c r="C2094" s="8">
        <v>0.1317567567567568</v>
      </c>
    </row>
    <row r="2095" spans="1:3" x14ac:dyDescent="0.45">
      <c r="A2095" s="2">
        <v>39109</v>
      </c>
      <c r="B2095" s="7">
        <v>308000</v>
      </c>
      <c r="C2095" s="8">
        <v>-8.0597014925373189E-2</v>
      </c>
    </row>
    <row r="2096" spans="1:3" x14ac:dyDescent="0.45">
      <c r="A2096" s="2">
        <v>39116</v>
      </c>
      <c r="B2096" s="7">
        <v>310000</v>
      </c>
      <c r="C2096" s="8">
        <v>6.4935064935065512E-3</v>
      </c>
    </row>
    <row r="2097" spans="1:3" x14ac:dyDescent="0.45">
      <c r="A2097" s="2">
        <v>39123</v>
      </c>
      <c r="B2097" s="7">
        <v>338000</v>
      </c>
      <c r="C2097" s="8">
        <v>9.0322580645161299E-2</v>
      </c>
    </row>
    <row r="2098" spans="1:3" x14ac:dyDescent="0.45">
      <c r="A2098" s="2">
        <v>39130</v>
      </c>
      <c r="B2098" s="7">
        <v>321000</v>
      </c>
      <c r="C2098" s="8">
        <v>-5.0295857988165715E-2</v>
      </c>
    </row>
    <row r="2099" spans="1:3" x14ac:dyDescent="0.45">
      <c r="A2099" s="2">
        <v>39137</v>
      </c>
      <c r="B2099" s="7">
        <v>322000</v>
      </c>
      <c r="C2099" s="8">
        <v>3.1152647975076775E-3</v>
      </c>
    </row>
    <row r="2100" spans="1:3" x14ac:dyDescent="0.45">
      <c r="A2100" s="2">
        <v>39144</v>
      </c>
      <c r="B2100" s="7">
        <v>320000</v>
      </c>
      <c r="C2100" s="8">
        <v>-6.2111801242236142E-3</v>
      </c>
    </row>
    <row r="2101" spans="1:3" x14ac:dyDescent="0.45">
      <c r="A2101" s="2">
        <v>39151</v>
      </c>
      <c r="B2101" s="7">
        <v>308000</v>
      </c>
      <c r="C2101" s="8">
        <v>-3.7499999999999978E-2</v>
      </c>
    </row>
    <row r="2102" spans="1:3" x14ac:dyDescent="0.45">
      <c r="A2102" s="2">
        <v>39158</v>
      </c>
      <c r="B2102" s="7">
        <v>309000</v>
      </c>
      <c r="C2102" s="8">
        <v>3.2467532467532756E-3</v>
      </c>
    </row>
    <row r="2103" spans="1:3" x14ac:dyDescent="0.45">
      <c r="A2103" s="2">
        <v>39165</v>
      </c>
      <c r="B2103" s="7">
        <v>303000</v>
      </c>
      <c r="C2103" s="8">
        <v>-1.9417475728155331E-2</v>
      </c>
    </row>
    <row r="2104" spans="1:3" x14ac:dyDescent="0.45">
      <c r="A2104" s="2">
        <v>39172</v>
      </c>
      <c r="B2104" s="7">
        <v>307000</v>
      </c>
      <c r="C2104" s="8">
        <v>1.3201320132013139E-2</v>
      </c>
    </row>
    <row r="2105" spans="1:3" x14ac:dyDescent="0.45">
      <c r="A2105" s="2">
        <v>39179</v>
      </c>
      <c r="B2105" s="7">
        <v>332000</v>
      </c>
      <c r="C2105" s="8">
        <v>8.1433224755700362E-2</v>
      </c>
    </row>
    <row r="2106" spans="1:3" x14ac:dyDescent="0.45">
      <c r="A2106" s="2">
        <v>39186</v>
      </c>
      <c r="B2106" s="7">
        <v>327000</v>
      </c>
      <c r="C2106" s="8">
        <v>-1.5060240963855387E-2</v>
      </c>
    </row>
    <row r="2107" spans="1:3" x14ac:dyDescent="0.45">
      <c r="A2107" s="2">
        <v>39193</v>
      </c>
      <c r="B2107" s="7">
        <v>321000</v>
      </c>
      <c r="C2107" s="8">
        <v>-1.834862385321101E-2</v>
      </c>
    </row>
    <row r="2108" spans="1:3" x14ac:dyDescent="0.45">
      <c r="A2108" s="2">
        <v>39200</v>
      </c>
      <c r="B2108" s="7">
        <v>301000</v>
      </c>
      <c r="C2108" s="8">
        <v>-6.230529595015577E-2</v>
      </c>
    </row>
    <row r="2109" spans="1:3" x14ac:dyDescent="0.45">
      <c r="A2109" s="2">
        <v>39207</v>
      </c>
      <c r="B2109" s="7">
        <v>300000</v>
      </c>
      <c r="C2109" s="8">
        <v>-3.3222591362126463E-3</v>
      </c>
    </row>
    <row r="2110" spans="1:3" x14ac:dyDescent="0.45">
      <c r="A2110" s="2">
        <v>39214</v>
      </c>
      <c r="B2110" s="7">
        <v>297000</v>
      </c>
      <c r="C2110" s="8">
        <v>-1.0000000000000009E-2</v>
      </c>
    </row>
    <row r="2111" spans="1:3" x14ac:dyDescent="0.45">
      <c r="A2111" s="2">
        <v>39221</v>
      </c>
      <c r="B2111" s="7">
        <v>310000</v>
      </c>
      <c r="C2111" s="8">
        <v>4.3771043771043683E-2</v>
      </c>
    </row>
    <row r="2112" spans="1:3" x14ac:dyDescent="0.45">
      <c r="A2112" s="2">
        <v>39228</v>
      </c>
      <c r="B2112" s="7">
        <v>310000</v>
      </c>
      <c r="C2112" s="8">
        <v>0</v>
      </c>
    </row>
    <row r="2113" spans="1:3" x14ac:dyDescent="0.45">
      <c r="A2113" s="2">
        <v>39235</v>
      </c>
      <c r="B2113" s="7">
        <v>313000</v>
      </c>
      <c r="C2113" s="8">
        <v>9.6774193548387899E-3</v>
      </c>
    </row>
    <row r="2114" spans="1:3" x14ac:dyDescent="0.45">
      <c r="A2114" s="2">
        <v>39242</v>
      </c>
      <c r="B2114" s="7">
        <v>313000</v>
      </c>
      <c r="C2114" s="8">
        <v>0</v>
      </c>
    </row>
    <row r="2115" spans="1:3" x14ac:dyDescent="0.45">
      <c r="A2115" s="2">
        <v>39249</v>
      </c>
      <c r="B2115" s="7">
        <v>320000</v>
      </c>
      <c r="C2115" s="8">
        <v>2.2364217252396124E-2</v>
      </c>
    </row>
    <row r="2116" spans="1:3" x14ac:dyDescent="0.45">
      <c r="A2116" s="2">
        <v>39256</v>
      </c>
      <c r="B2116" s="7">
        <v>313000</v>
      </c>
      <c r="C2116" s="8">
        <v>-2.1874999999999978E-2</v>
      </c>
    </row>
    <row r="2117" spans="1:3" x14ac:dyDescent="0.45">
      <c r="A2117" s="2">
        <v>39263</v>
      </c>
      <c r="B2117" s="7">
        <v>317000</v>
      </c>
      <c r="C2117" s="8">
        <v>1.2779552715654896E-2</v>
      </c>
    </row>
    <row r="2118" spans="1:3" x14ac:dyDescent="0.45">
      <c r="A2118" s="2">
        <v>39270</v>
      </c>
      <c r="B2118" s="7">
        <v>321000</v>
      </c>
      <c r="C2118" s="8">
        <v>1.2618296529968376E-2</v>
      </c>
    </row>
    <row r="2119" spans="1:3" x14ac:dyDescent="0.45">
      <c r="A2119" s="2">
        <v>39277</v>
      </c>
      <c r="B2119" s="7">
        <v>317000</v>
      </c>
      <c r="C2119" s="8">
        <v>-1.2461059190031154E-2</v>
      </c>
    </row>
    <row r="2120" spans="1:3" x14ac:dyDescent="0.45">
      <c r="A2120" s="2">
        <v>39284</v>
      </c>
      <c r="B2120" s="7">
        <v>310000</v>
      </c>
      <c r="C2120" s="8">
        <v>-2.2082018927444769E-2</v>
      </c>
    </row>
    <row r="2121" spans="1:3" x14ac:dyDescent="0.45">
      <c r="A2121" s="2">
        <v>39291</v>
      </c>
      <c r="B2121" s="7">
        <v>305000</v>
      </c>
      <c r="C2121" s="8">
        <v>-1.6129032258064502E-2</v>
      </c>
    </row>
    <row r="2122" spans="1:3" x14ac:dyDescent="0.45">
      <c r="A2122" s="2">
        <v>39298</v>
      </c>
      <c r="B2122" s="7">
        <v>314000</v>
      </c>
      <c r="C2122" s="8">
        <v>2.9508196721311553E-2</v>
      </c>
    </row>
    <row r="2123" spans="1:3" x14ac:dyDescent="0.45">
      <c r="A2123" s="2">
        <v>39305</v>
      </c>
      <c r="B2123" s="7">
        <v>316000</v>
      </c>
      <c r="C2123" s="8">
        <v>6.3694267515923553E-3</v>
      </c>
    </row>
    <row r="2124" spans="1:3" x14ac:dyDescent="0.45">
      <c r="A2124" s="2">
        <v>39312</v>
      </c>
      <c r="B2124" s="7">
        <v>321000</v>
      </c>
      <c r="C2124" s="8">
        <v>1.5822784810126667E-2</v>
      </c>
    </row>
    <row r="2125" spans="1:3" x14ac:dyDescent="0.45">
      <c r="A2125" s="2">
        <v>39319</v>
      </c>
      <c r="B2125" s="7">
        <v>329000</v>
      </c>
      <c r="C2125" s="8">
        <v>2.4922118380062308E-2</v>
      </c>
    </row>
    <row r="2126" spans="1:3" x14ac:dyDescent="0.45">
      <c r="A2126" s="2">
        <v>39326</v>
      </c>
      <c r="B2126" s="7">
        <v>314000</v>
      </c>
      <c r="C2126" s="8">
        <v>-4.5592705167173286E-2</v>
      </c>
    </row>
    <row r="2127" spans="1:3" x14ac:dyDescent="0.45">
      <c r="A2127" s="2">
        <v>39333</v>
      </c>
      <c r="B2127" s="7">
        <v>321000</v>
      </c>
      <c r="C2127" s="8">
        <v>2.2292993630573354E-2</v>
      </c>
    </row>
    <row r="2128" spans="1:3" x14ac:dyDescent="0.45">
      <c r="A2128" s="2">
        <v>39340</v>
      </c>
      <c r="B2128" s="7">
        <v>313000</v>
      </c>
      <c r="C2128" s="8">
        <v>-2.4922118380062308E-2</v>
      </c>
    </row>
    <row r="2129" spans="1:3" x14ac:dyDescent="0.45">
      <c r="A2129" s="2">
        <v>39347</v>
      </c>
      <c r="B2129" s="7">
        <v>302000</v>
      </c>
      <c r="C2129" s="8">
        <v>-3.5143769968051131E-2</v>
      </c>
    </row>
    <row r="2130" spans="1:3" x14ac:dyDescent="0.45">
      <c r="A2130" s="2">
        <v>39354</v>
      </c>
      <c r="B2130" s="7">
        <v>317000</v>
      </c>
      <c r="C2130" s="8">
        <v>4.9668874172185351E-2</v>
      </c>
    </row>
    <row r="2131" spans="1:3" x14ac:dyDescent="0.45">
      <c r="A2131" s="2">
        <v>39361</v>
      </c>
      <c r="B2131" s="7">
        <v>316000</v>
      </c>
      <c r="C2131" s="8">
        <v>-3.154574132492094E-3</v>
      </c>
    </row>
    <row r="2132" spans="1:3" x14ac:dyDescent="0.45">
      <c r="A2132" s="2">
        <v>39368</v>
      </c>
      <c r="B2132" s="7">
        <v>335000</v>
      </c>
      <c r="C2132" s="8">
        <v>6.0126582278481111E-2</v>
      </c>
    </row>
    <row r="2133" spans="1:3" x14ac:dyDescent="0.45">
      <c r="A2133" s="2">
        <v>39375</v>
      </c>
      <c r="B2133" s="7">
        <v>334000</v>
      </c>
      <c r="C2133" s="8">
        <v>-2.9850746268657025E-3</v>
      </c>
    </row>
    <row r="2134" spans="1:3" x14ac:dyDescent="0.45">
      <c r="A2134" s="2">
        <v>39382</v>
      </c>
      <c r="B2134" s="7">
        <v>328000</v>
      </c>
      <c r="C2134" s="8">
        <v>-1.7964071856287456E-2</v>
      </c>
    </row>
    <row r="2135" spans="1:3" x14ac:dyDescent="0.45">
      <c r="A2135" s="2">
        <v>39389</v>
      </c>
      <c r="B2135" s="7">
        <v>327000</v>
      </c>
      <c r="C2135" s="8">
        <v>-3.0487804878048808E-3</v>
      </c>
    </row>
    <row r="2136" spans="1:3" x14ac:dyDescent="0.45">
      <c r="A2136" s="2">
        <v>39396</v>
      </c>
      <c r="B2136" s="7">
        <v>333000</v>
      </c>
      <c r="C2136" s="8">
        <v>1.8348623853210899E-2</v>
      </c>
    </row>
    <row r="2137" spans="1:3" x14ac:dyDescent="0.45">
      <c r="A2137" s="2">
        <v>39403</v>
      </c>
      <c r="B2137" s="7">
        <v>332000</v>
      </c>
      <c r="C2137" s="8">
        <v>-3.0030030030030463E-3</v>
      </c>
    </row>
    <row r="2138" spans="1:3" x14ac:dyDescent="0.45">
      <c r="A2138" s="2">
        <v>39410</v>
      </c>
      <c r="B2138" s="7">
        <v>352000</v>
      </c>
      <c r="C2138" s="8">
        <v>6.024096385542177E-2</v>
      </c>
    </row>
    <row r="2139" spans="1:3" x14ac:dyDescent="0.45">
      <c r="A2139" s="2">
        <v>39417</v>
      </c>
      <c r="B2139" s="7">
        <v>344000</v>
      </c>
      <c r="C2139" s="8">
        <v>-2.2727272727272707E-2</v>
      </c>
    </row>
    <row r="2140" spans="1:3" x14ac:dyDescent="0.45">
      <c r="A2140" s="2">
        <v>39424</v>
      </c>
      <c r="B2140" s="7">
        <v>332000</v>
      </c>
      <c r="C2140" s="8">
        <v>-3.4883720930232509E-2</v>
      </c>
    </row>
    <row r="2141" spans="1:3" x14ac:dyDescent="0.45">
      <c r="A2141" s="2">
        <v>39431</v>
      </c>
      <c r="B2141" s="7">
        <v>350000</v>
      </c>
      <c r="C2141" s="8">
        <v>5.4216867469879526E-2</v>
      </c>
    </row>
    <row r="2142" spans="1:3" x14ac:dyDescent="0.45">
      <c r="A2142" s="2">
        <v>39438</v>
      </c>
      <c r="B2142" s="7">
        <v>355000</v>
      </c>
      <c r="C2142" s="8">
        <v>1.4285714285714235E-2</v>
      </c>
    </row>
    <row r="2143" spans="1:3" x14ac:dyDescent="0.45">
      <c r="A2143" s="2">
        <v>39445</v>
      </c>
      <c r="B2143" s="7">
        <v>360000</v>
      </c>
      <c r="C2143" s="8">
        <v>1.4084507042253502E-2</v>
      </c>
    </row>
    <row r="2144" spans="1:3" x14ac:dyDescent="0.45">
      <c r="A2144" s="2">
        <v>39452</v>
      </c>
      <c r="B2144" s="7">
        <v>346000</v>
      </c>
      <c r="C2144" s="8">
        <v>-3.8888888888888862E-2</v>
      </c>
    </row>
    <row r="2145" spans="1:3" x14ac:dyDescent="0.45">
      <c r="A2145" s="2">
        <v>39459</v>
      </c>
      <c r="B2145" s="7">
        <v>322000</v>
      </c>
      <c r="C2145" s="8">
        <v>-6.9364161849710948E-2</v>
      </c>
    </row>
    <row r="2146" spans="1:3" x14ac:dyDescent="0.45">
      <c r="A2146" s="2">
        <v>39466</v>
      </c>
      <c r="B2146" s="7">
        <v>321000</v>
      </c>
      <c r="C2146" s="8">
        <v>-3.1055900621117516E-3</v>
      </c>
    </row>
    <row r="2147" spans="1:3" x14ac:dyDescent="0.45">
      <c r="A2147" s="2">
        <v>39473</v>
      </c>
      <c r="B2147" s="7">
        <v>366000</v>
      </c>
      <c r="C2147" s="8">
        <v>0.14018691588785037</v>
      </c>
    </row>
    <row r="2148" spans="1:3" x14ac:dyDescent="0.45">
      <c r="A2148" s="2">
        <v>39480</v>
      </c>
      <c r="B2148" s="7">
        <v>350000</v>
      </c>
      <c r="C2148" s="8">
        <v>-4.3715846994535568E-2</v>
      </c>
    </row>
    <row r="2149" spans="1:3" x14ac:dyDescent="0.45">
      <c r="A2149" s="2">
        <v>39487</v>
      </c>
      <c r="B2149" s="7">
        <v>344000</v>
      </c>
      <c r="C2149" s="8">
        <v>-1.7142857142857126E-2</v>
      </c>
    </row>
    <row r="2150" spans="1:3" x14ac:dyDescent="0.45">
      <c r="A2150" s="2">
        <v>39494</v>
      </c>
      <c r="B2150" s="7">
        <v>339000</v>
      </c>
      <c r="C2150" s="8">
        <v>-1.4534883720930258E-2</v>
      </c>
    </row>
    <row r="2151" spans="1:3" x14ac:dyDescent="0.45">
      <c r="A2151" s="2">
        <v>39501</v>
      </c>
      <c r="B2151" s="7">
        <v>354000</v>
      </c>
      <c r="C2151" s="8">
        <v>4.4247787610619538E-2</v>
      </c>
    </row>
    <row r="2152" spans="1:3" x14ac:dyDescent="0.45">
      <c r="A2152" s="2">
        <v>39508</v>
      </c>
      <c r="B2152" s="7">
        <v>345000</v>
      </c>
      <c r="C2152" s="8">
        <v>-2.5423728813559365E-2</v>
      </c>
    </row>
    <row r="2153" spans="1:3" x14ac:dyDescent="0.45">
      <c r="A2153" s="2">
        <v>39515</v>
      </c>
      <c r="B2153" s="7">
        <v>348000</v>
      </c>
      <c r="C2153" s="8">
        <v>8.6956521739129933E-3</v>
      </c>
    </row>
    <row r="2154" spans="1:3" x14ac:dyDescent="0.45">
      <c r="A2154" s="2">
        <v>39522</v>
      </c>
      <c r="B2154" s="7">
        <v>369000</v>
      </c>
      <c r="C2154" s="8">
        <v>6.0344827586206851E-2</v>
      </c>
    </row>
    <row r="2155" spans="1:3" x14ac:dyDescent="0.45">
      <c r="A2155" s="2">
        <v>39529</v>
      </c>
      <c r="B2155" s="7">
        <v>368000</v>
      </c>
      <c r="C2155" s="8">
        <v>-2.7100271002710175E-3</v>
      </c>
    </row>
    <row r="2156" spans="1:3" x14ac:dyDescent="0.45">
      <c r="A2156" s="2">
        <v>39536</v>
      </c>
      <c r="B2156" s="7">
        <v>387000</v>
      </c>
      <c r="C2156" s="8">
        <v>5.1630434782608647E-2</v>
      </c>
    </row>
    <row r="2157" spans="1:3" x14ac:dyDescent="0.45">
      <c r="A2157" s="2">
        <v>39543</v>
      </c>
      <c r="B2157" s="7">
        <v>354000</v>
      </c>
      <c r="C2157" s="8">
        <v>-8.5271317829457405E-2</v>
      </c>
    </row>
    <row r="2158" spans="1:3" x14ac:dyDescent="0.45">
      <c r="A2158" s="2">
        <v>39550</v>
      </c>
      <c r="B2158" s="7">
        <v>365000</v>
      </c>
      <c r="C2158" s="8">
        <v>3.1073446327683607E-2</v>
      </c>
    </row>
    <row r="2159" spans="1:3" x14ac:dyDescent="0.45">
      <c r="A2159" s="2">
        <v>39557</v>
      </c>
      <c r="B2159" s="7">
        <v>349000</v>
      </c>
      <c r="C2159" s="8">
        <v>-4.3835616438356206E-2</v>
      </c>
    </row>
    <row r="2160" spans="1:3" x14ac:dyDescent="0.45">
      <c r="A2160" s="2">
        <v>39564</v>
      </c>
      <c r="B2160" s="7">
        <v>370000</v>
      </c>
      <c r="C2160" s="8">
        <v>6.0171919770773741E-2</v>
      </c>
    </row>
    <row r="2161" spans="1:3" x14ac:dyDescent="0.45">
      <c r="A2161" s="2">
        <v>39571</v>
      </c>
      <c r="B2161" s="7">
        <v>370000</v>
      </c>
      <c r="C2161" s="8">
        <v>0</v>
      </c>
    </row>
    <row r="2162" spans="1:3" x14ac:dyDescent="0.45">
      <c r="A2162" s="2">
        <v>39578</v>
      </c>
      <c r="B2162" s="7">
        <v>366000</v>
      </c>
      <c r="C2162" s="8">
        <v>-1.0810810810810811E-2</v>
      </c>
    </row>
    <row r="2163" spans="1:3" x14ac:dyDescent="0.45">
      <c r="A2163" s="2">
        <v>39585</v>
      </c>
      <c r="B2163" s="7">
        <v>367000</v>
      </c>
      <c r="C2163" s="8">
        <v>2.732240437158362E-3</v>
      </c>
    </row>
    <row r="2164" spans="1:3" x14ac:dyDescent="0.45">
      <c r="A2164" s="2">
        <v>39592</v>
      </c>
      <c r="B2164" s="7">
        <v>369000</v>
      </c>
      <c r="C2164" s="8">
        <v>5.4495912806540314E-3</v>
      </c>
    </row>
    <row r="2165" spans="1:3" x14ac:dyDescent="0.45">
      <c r="A2165" s="2">
        <v>39599</v>
      </c>
      <c r="B2165" s="7">
        <v>362000</v>
      </c>
      <c r="C2165" s="8">
        <v>-1.8970189701897011E-2</v>
      </c>
    </row>
    <row r="2166" spans="1:3" x14ac:dyDescent="0.45">
      <c r="A2166" s="2">
        <v>39606</v>
      </c>
      <c r="B2166" s="7">
        <v>382000</v>
      </c>
      <c r="C2166" s="8">
        <v>5.5248618784530468E-2</v>
      </c>
    </row>
    <row r="2167" spans="1:3" x14ac:dyDescent="0.45">
      <c r="A2167" s="2">
        <v>39613</v>
      </c>
      <c r="B2167" s="7">
        <v>378000</v>
      </c>
      <c r="C2167" s="8">
        <v>-1.0471204188481686E-2</v>
      </c>
    </row>
    <row r="2168" spans="1:3" x14ac:dyDescent="0.45">
      <c r="A2168" s="2">
        <v>39620</v>
      </c>
      <c r="B2168" s="7">
        <v>381000</v>
      </c>
      <c r="C2168" s="8">
        <v>7.9365079365079083E-3</v>
      </c>
    </row>
    <row r="2169" spans="1:3" x14ac:dyDescent="0.45">
      <c r="A2169" s="2">
        <v>39627</v>
      </c>
      <c r="B2169" s="7">
        <v>392000</v>
      </c>
      <c r="C2169" s="8">
        <v>2.8871391076115582E-2</v>
      </c>
    </row>
    <row r="2170" spans="1:3" x14ac:dyDescent="0.45">
      <c r="A2170" s="2">
        <v>39634</v>
      </c>
      <c r="B2170" s="7">
        <v>371000</v>
      </c>
      <c r="C2170" s="8">
        <v>-5.3571428571428603E-2</v>
      </c>
    </row>
    <row r="2171" spans="1:3" x14ac:dyDescent="0.45">
      <c r="A2171" s="2">
        <v>39641</v>
      </c>
      <c r="B2171" s="7">
        <v>385000</v>
      </c>
      <c r="C2171" s="8">
        <v>3.7735849056603765E-2</v>
      </c>
    </row>
    <row r="2172" spans="1:3" x14ac:dyDescent="0.45">
      <c r="A2172" s="2">
        <v>39648</v>
      </c>
      <c r="B2172" s="7">
        <v>402000</v>
      </c>
      <c r="C2172" s="8">
        <v>4.415584415584406E-2</v>
      </c>
    </row>
    <row r="2173" spans="1:3" x14ac:dyDescent="0.45">
      <c r="A2173" s="2">
        <v>39655</v>
      </c>
      <c r="B2173" s="7">
        <v>434000</v>
      </c>
      <c r="C2173" s="8">
        <v>7.9601990049751326E-2</v>
      </c>
    </row>
    <row r="2174" spans="1:3" x14ac:dyDescent="0.45">
      <c r="A2174" s="2">
        <v>39662</v>
      </c>
      <c r="B2174" s="7">
        <v>448000</v>
      </c>
      <c r="C2174" s="8">
        <v>3.2258064516129004E-2</v>
      </c>
    </row>
    <row r="2175" spans="1:3" x14ac:dyDescent="0.45">
      <c r="A2175" s="2">
        <v>39669</v>
      </c>
      <c r="B2175" s="7">
        <v>430000</v>
      </c>
      <c r="C2175" s="8">
        <v>-4.0178571428571397E-2</v>
      </c>
    </row>
    <row r="2176" spans="1:3" x14ac:dyDescent="0.45">
      <c r="A2176" s="2">
        <v>39676</v>
      </c>
      <c r="B2176" s="7">
        <v>424000</v>
      </c>
      <c r="C2176" s="8">
        <v>-1.3953488372092981E-2</v>
      </c>
    </row>
    <row r="2177" spans="1:3" x14ac:dyDescent="0.45">
      <c r="A2177" s="2">
        <v>39683</v>
      </c>
      <c r="B2177" s="7">
        <v>421000</v>
      </c>
      <c r="C2177" s="8">
        <v>-7.0754716981131782E-3</v>
      </c>
    </row>
    <row r="2178" spans="1:3" x14ac:dyDescent="0.45">
      <c r="A2178" s="2">
        <v>39690</v>
      </c>
      <c r="B2178" s="7">
        <v>442000</v>
      </c>
      <c r="C2178" s="8">
        <v>4.9881235154394243E-2</v>
      </c>
    </row>
    <row r="2179" spans="1:3" x14ac:dyDescent="0.45">
      <c r="A2179" s="2">
        <v>39697</v>
      </c>
      <c r="B2179" s="7">
        <v>441000</v>
      </c>
      <c r="C2179" s="8">
        <v>-2.2624434389140191E-3</v>
      </c>
    </row>
    <row r="2180" spans="1:3" x14ac:dyDescent="0.45">
      <c r="A2180" s="2">
        <v>39704</v>
      </c>
      <c r="B2180" s="7">
        <v>449000</v>
      </c>
      <c r="C2180" s="8">
        <v>1.8140589569161092E-2</v>
      </c>
    </row>
    <row r="2181" spans="1:3" x14ac:dyDescent="0.45">
      <c r="A2181" s="2">
        <v>39711</v>
      </c>
      <c r="B2181" s="7">
        <v>483000</v>
      </c>
      <c r="C2181" s="8">
        <v>7.572383073496658E-2</v>
      </c>
    </row>
    <row r="2182" spans="1:3" x14ac:dyDescent="0.45">
      <c r="A2182" s="2">
        <v>39718</v>
      </c>
      <c r="B2182" s="7">
        <v>483000</v>
      </c>
      <c r="C2182" s="8">
        <v>0</v>
      </c>
    </row>
    <row r="2183" spans="1:3" x14ac:dyDescent="0.45">
      <c r="A2183" s="2">
        <v>39725</v>
      </c>
      <c r="B2183" s="7">
        <v>482000</v>
      </c>
      <c r="C2183" s="8">
        <v>-2.0703933747412417E-3</v>
      </c>
    </row>
    <row r="2184" spans="1:3" x14ac:dyDescent="0.45">
      <c r="A2184" s="2">
        <v>39732</v>
      </c>
      <c r="B2184" s="7">
        <v>461000</v>
      </c>
      <c r="C2184" s="8">
        <v>-4.3568464730290413E-2</v>
      </c>
    </row>
    <row r="2185" spans="1:3" x14ac:dyDescent="0.45">
      <c r="A2185" s="2">
        <v>39739</v>
      </c>
      <c r="B2185" s="7">
        <v>478000</v>
      </c>
      <c r="C2185" s="8">
        <v>3.6876355748373113E-2</v>
      </c>
    </row>
    <row r="2186" spans="1:3" x14ac:dyDescent="0.45">
      <c r="A2186" s="2">
        <v>39746</v>
      </c>
      <c r="B2186" s="7">
        <v>480000</v>
      </c>
      <c r="C2186" s="8">
        <v>4.1841004184099972E-3</v>
      </c>
    </row>
    <row r="2187" spans="1:3" x14ac:dyDescent="0.45">
      <c r="A2187" s="2">
        <v>39753</v>
      </c>
      <c r="B2187" s="7">
        <v>490000</v>
      </c>
      <c r="C2187" s="8">
        <v>2.0833333333333259E-2</v>
      </c>
    </row>
    <row r="2188" spans="1:3" x14ac:dyDescent="0.45">
      <c r="A2188" s="2">
        <v>39760</v>
      </c>
      <c r="B2188" s="7">
        <v>512000</v>
      </c>
      <c r="C2188" s="8">
        <v>4.4897959183673564E-2</v>
      </c>
    </row>
    <row r="2189" spans="1:3" x14ac:dyDescent="0.45">
      <c r="A2189" s="2">
        <v>39767</v>
      </c>
      <c r="B2189" s="7">
        <v>536000</v>
      </c>
      <c r="C2189" s="8">
        <v>4.6875E-2</v>
      </c>
    </row>
    <row r="2190" spans="1:3" x14ac:dyDescent="0.45">
      <c r="A2190" s="2">
        <v>39774</v>
      </c>
      <c r="B2190" s="7">
        <v>532000</v>
      </c>
      <c r="C2190" s="8">
        <v>-7.4626865671642006E-3</v>
      </c>
    </row>
    <row r="2191" spans="1:3" x14ac:dyDescent="0.45">
      <c r="A2191" s="2">
        <v>39781</v>
      </c>
      <c r="B2191" s="7">
        <v>529000</v>
      </c>
      <c r="C2191" s="8">
        <v>-5.6390977443608881E-3</v>
      </c>
    </row>
    <row r="2192" spans="1:3" x14ac:dyDescent="0.45">
      <c r="A2192" s="2">
        <v>39788</v>
      </c>
      <c r="B2192" s="7">
        <v>570000</v>
      </c>
      <c r="C2192" s="8">
        <v>7.7504725897920679E-2</v>
      </c>
    </row>
    <row r="2193" spans="1:3" x14ac:dyDescent="0.45">
      <c r="A2193" s="2">
        <v>39795</v>
      </c>
      <c r="B2193" s="7">
        <v>566000</v>
      </c>
      <c r="C2193" s="8">
        <v>-7.0175438596491446E-3</v>
      </c>
    </row>
    <row r="2194" spans="1:3" x14ac:dyDescent="0.45">
      <c r="A2194" s="2">
        <v>39802</v>
      </c>
      <c r="B2194" s="7">
        <v>587000</v>
      </c>
      <c r="C2194" s="8">
        <v>3.7102473498233257E-2</v>
      </c>
    </row>
    <row r="2195" spans="1:3" x14ac:dyDescent="0.45">
      <c r="A2195" s="2">
        <v>39809</v>
      </c>
      <c r="B2195" s="7">
        <v>533000</v>
      </c>
      <c r="C2195" s="8">
        <v>-9.1993185689948853E-2</v>
      </c>
    </row>
    <row r="2196" spans="1:3" x14ac:dyDescent="0.45">
      <c r="A2196" s="2">
        <v>39816</v>
      </c>
      <c r="B2196" s="7">
        <v>503000</v>
      </c>
      <c r="C2196" s="8">
        <v>-5.6285178236397782E-2</v>
      </c>
    </row>
    <row r="2197" spans="1:3" x14ac:dyDescent="0.45">
      <c r="A2197" s="2">
        <v>39823</v>
      </c>
      <c r="B2197" s="7">
        <v>551000</v>
      </c>
      <c r="C2197" s="8">
        <v>9.5427435387674064E-2</v>
      </c>
    </row>
    <row r="2198" spans="1:3" x14ac:dyDescent="0.45">
      <c r="A2198" s="2">
        <v>39830</v>
      </c>
      <c r="B2198" s="7">
        <v>591000</v>
      </c>
      <c r="C2198" s="8">
        <v>7.2595281306714998E-2</v>
      </c>
    </row>
    <row r="2199" spans="1:3" x14ac:dyDescent="0.45">
      <c r="A2199" s="2">
        <v>39837</v>
      </c>
      <c r="B2199" s="7">
        <v>586000</v>
      </c>
      <c r="C2199" s="8">
        <v>-8.4602368866327771E-3</v>
      </c>
    </row>
    <row r="2200" spans="1:3" x14ac:dyDescent="0.45">
      <c r="A2200" s="2">
        <v>39844</v>
      </c>
      <c r="B2200" s="7">
        <v>629000</v>
      </c>
      <c r="C2200" s="8">
        <v>7.3378839590443778E-2</v>
      </c>
    </row>
    <row r="2201" spans="1:3" x14ac:dyDescent="0.45">
      <c r="A2201" s="2">
        <v>39851</v>
      </c>
      <c r="B2201" s="7">
        <v>637000</v>
      </c>
      <c r="C2201" s="8">
        <v>1.2718600953895098E-2</v>
      </c>
    </row>
    <row r="2202" spans="1:3" x14ac:dyDescent="0.45">
      <c r="A2202" s="2">
        <v>39858</v>
      </c>
      <c r="B2202" s="7">
        <v>632000</v>
      </c>
      <c r="C2202" s="8">
        <v>-7.8492935635793293E-3</v>
      </c>
    </row>
    <row r="2203" spans="1:3" x14ac:dyDescent="0.45">
      <c r="A2203" s="2">
        <v>39865</v>
      </c>
      <c r="B2203" s="7">
        <v>655000</v>
      </c>
      <c r="C2203" s="8">
        <v>3.6392405063291111E-2</v>
      </c>
    </row>
    <row r="2204" spans="1:3" x14ac:dyDescent="0.45">
      <c r="A2204" s="2">
        <v>39872</v>
      </c>
      <c r="B2204" s="7">
        <v>652000</v>
      </c>
      <c r="C2204" s="8">
        <v>-4.5801526717557106E-3</v>
      </c>
    </row>
    <row r="2205" spans="1:3" x14ac:dyDescent="0.45">
      <c r="A2205" s="2">
        <v>39879</v>
      </c>
      <c r="B2205" s="7">
        <v>660000</v>
      </c>
      <c r="C2205" s="8">
        <v>1.2269938650306678E-2</v>
      </c>
    </row>
    <row r="2206" spans="1:3" x14ac:dyDescent="0.45">
      <c r="A2206" s="2">
        <v>39886</v>
      </c>
      <c r="B2206" s="7">
        <v>651000</v>
      </c>
      <c r="C2206" s="8">
        <v>-1.3636363636363669E-2</v>
      </c>
    </row>
    <row r="2207" spans="1:3" x14ac:dyDescent="0.45">
      <c r="A2207" s="2">
        <v>39893</v>
      </c>
      <c r="B2207" s="7">
        <v>661000</v>
      </c>
      <c r="C2207" s="8">
        <v>1.5360983102918668E-2</v>
      </c>
    </row>
    <row r="2208" spans="1:3" x14ac:dyDescent="0.45">
      <c r="A2208" s="2">
        <v>39900</v>
      </c>
      <c r="B2208" s="7">
        <v>665000</v>
      </c>
      <c r="C2208" s="8">
        <v>6.0514372163389396E-3</v>
      </c>
    </row>
    <row r="2209" spans="1:3" x14ac:dyDescent="0.45">
      <c r="A2209" s="2">
        <v>39907</v>
      </c>
      <c r="B2209" s="7">
        <v>653000</v>
      </c>
      <c r="C2209" s="8">
        <v>-1.8045112781954864E-2</v>
      </c>
    </row>
    <row r="2210" spans="1:3" x14ac:dyDescent="0.45">
      <c r="A2210" s="2">
        <v>39914</v>
      </c>
      <c r="B2210" s="7">
        <v>599000</v>
      </c>
      <c r="C2210" s="8">
        <v>-8.2695252679938713E-2</v>
      </c>
    </row>
    <row r="2211" spans="1:3" x14ac:dyDescent="0.45">
      <c r="A2211" s="2">
        <v>39921</v>
      </c>
      <c r="B2211" s="7">
        <v>639000</v>
      </c>
      <c r="C2211" s="8">
        <v>6.6777963272120155E-2</v>
      </c>
    </row>
    <row r="2212" spans="1:3" x14ac:dyDescent="0.45">
      <c r="A2212" s="2">
        <v>39928</v>
      </c>
      <c r="B2212" s="7">
        <v>620000</v>
      </c>
      <c r="C2212" s="8">
        <v>-2.9733959311424085E-2</v>
      </c>
    </row>
    <row r="2213" spans="1:3" x14ac:dyDescent="0.45">
      <c r="A2213" s="2">
        <v>39935</v>
      </c>
      <c r="B2213" s="7">
        <v>602000</v>
      </c>
      <c r="C2213" s="8">
        <v>-2.9032258064516148E-2</v>
      </c>
    </row>
    <row r="2214" spans="1:3" x14ac:dyDescent="0.45">
      <c r="A2214" s="2">
        <v>39942</v>
      </c>
      <c r="B2214" s="7">
        <v>625000</v>
      </c>
      <c r="C2214" s="8">
        <v>3.8205980066445155E-2</v>
      </c>
    </row>
    <row r="2215" spans="1:3" x14ac:dyDescent="0.45">
      <c r="A2215" s="2">
        <v>39949</v>
      </c>
      <c r="B2215" s="7">
        <v>620000</v>
      </c>
      <c r="C2215" s="8">
        <v>-8.0000000000000071E-3</v>
      </c>
    </row>
    <row r="2216" spans="1:3" x14ac:dyDescent="0.45">
      <c r="A2216" s="2">
        <v>39956</v>
      </c>
      <c r="B2216" s="7">
        <v>606000</v>
      </c>
      <c r="C2216" s="8">
        <v>-2.2580645161290325E-2</v>
      </c>
    </row>
    <row r="2217" spans="1:3" x14ac:dyDescent="0.45">
      <c r="A2217" s="2">
        <v>39963</v>
      </c>
      <c r="B2217" s="7">
        <v>607000</v>
      </c>
      <c r="C2217" s="8">
        <v>1.6501650165017256E-3</v>
      </c>
    </row>
    <row r="2218" spans="1:3" x14ac:dyDescent="0.45">
      <c r="A2218" s="2">
        <v>39970</v>
      </c>
      <c r="B2218" s="7">
        <v>596000</v>
      </c>
      <c r="C2218" s="8">
        <v>-1.8121911037891292E-2</v>
      </c>
    </row>
    <row r="2219" spans="1:3" x14ac:dyDescent="0.45">
      <c r="A2219" s="2">
        <v>39977</v>
      </c>
      <c r="B2219" s="7">
        <v>595000</v>
      </c>
      <c r="C2219" s="8">
        <v>-1.6778523489933139E-3</v>
      </c>
    </row>
    <row r="2220" spans="1:3" x14ac:dyDescent="0.45">
      <c r="A2220" s="2">
        <v>39984</v>
      </c>
      <c r="B2220" s="7">
        <v>608000</v>
      </c>
      <c r="C2220" s="8">
        <v>2.1848739495798242E-2</v>
      </c>
    </row>
    <row r="2221" spans="1:3" x14ac:dyDescent="0.45">
      <c r="A2221" s="2">
        <v>39991</v>
      </c>
      <c r="B2221" s="7">
        <v>594000</v>
      </c>
      <c r="C2221" s="8">
        <v>-2.3026315789473673E-2</v>
      </c>
    </row>
    <row r="2222" spans="1:3" x14ac:dyDescent="0.45">
      <c r="A2222" s="2">
        <v>39998</v>
      </c>
      <c r="B2222" s="7">
        <v>573000</v>
      </c>
      <c r="C2222" s="8">
        <v>-3.5353535353535359E-2</v>
      </c>
    </row>
    <row r="2223" spans="1:3" x14ac:dyDescent="0.45">
      <c r="A2223" s="2">
        <v>40005</v>
      </c>
      <c r="B2223" s="7">
        <v>546000</v>
      </c>
      <c r="C2223" s="8">
        <v>-4.7120418848167533E-2</v>
      </c>
    </row>
    <row r="2224" spans="1:3" x14ac:dyDescent="0.45">
      <c r="A2224" s="2">
        <v>40012</v>
      </c>
      <c r="B2224" s="7">
        <v>560000</v>
      </c>
      <c r="C2224" s="8">
        <v>2.564102564102555E-2</v>
      </c>
    </row>
    <row r="2225" spans="1:3" x14ac:dyDescent="0.45">
      <c r="A2225" s="2">
        <v>40019</v>
      </c>
      <c r="B2225" s="7">
        <v>587000</v>
      </c>
      <c r="C2225" s="8">
        <v>4.8214285714285765E-2</v>
      </c>
    </row>
    <row r="2226" spans="1:3" x14ac:dyDescent="0.45">
      <c r="A2226" s="2">
        <v>40026</v>
      </c>
      <c r="B2226" s="7">
        <v>555000</v>
      </c>
      <c r="C2226" s="8">
        <v>-5.4514480408858645E-2</v>
      </c>
    </row>
    <row r="2227" spans="1:3" x14ac:dyDescent="0.45">
      <c r="A2227" s="2">
        <v>40033</v>
      </c>
      <c r="B2227" s="7">
        <v>555000</v>
      </c>
      <c r="C2227" s="8">
        <v>0</v>
      </c>
    </row>
    <row r="2228" spans="1:3" x14ac:dyDescent="0.45">
      <c r="A2228" s="2">
        <v>40040</v>
      </c>
      <c r="B2228" s="7">
        <v>562000</v>
      </c>
      <c r="C2228" s="8">
        <v>1.2612612612612706E-2</v>
      </c>
    </row>
    <row r="2229" spans="1:3" x14ac:dyDescent="0.45">
      <c r="A2229" s="2">
        <v>40047</v>
      </c>
      <c r="B2229" s="7">
        <v>560000</v>
      </c>
      <c r="C2229" s="8">
        <v>-3.558718861209953E-3</v>
      </c>
    </row>
    <row r="2230" spans="1:3" x14ac:dyDescent="0.45">
      <c r="A2230" s="2">
        <v>40054</v>
      </c>
      <c r="B2230" s="7">
        <v>564000</v>
      </c>
      <c r="C2230" s="8">
        <v>7.1428571428571175E-3</v>
      </c>
    </row>
    <row r="2231" spans="1:3" x14ac:dyDescent="0.45">
      <c r="A2231" s="2">
        <v>40061</v>
      </c>
      <c r="B2231" s="7">
        <v>558000</v>
      </c>
      <c r="C2231" s="8">
        <v>-1.0638297872340385E-2</v>
      </c>
    </row>
    <row r="2232" spans="1:3" x14ac:dyDescent="0.45">
      <c r="A2232" s="2">
        <v>40068</v>
      </c>
      <c r="B2232" s="7">
        <v>542000</v>
      </c>
      <c r="C2232" s="8">
        <v>-2.8673835125448077E-2</v>
      </c>
    </row>
    <row r="2233" spans="1:3" x14ac:dyDescent="0.45">
      <c r="A2233" s="2">
        <v>40075</v>
      </c>
      <c r="B2233" s="7">
        <v>536000</v>
      </c>
      <c r="C2233" s="8">
        <v>-1.1070110701106972E-2</v>
      </c>
    </row>
    <row r="2234" spans="1:3" x14ac:dyDescent="0.45">
      <c r="A2234" s="2">
        <v>40082</v>
      </c>
      <c r="B2234" s="7">
        <v>554000</v>
      </c>
      <c r="C2234" s="8">
        <v>3.3582089552238736E-2</v>
      </c>
    </row>
    <row r="2235" spans="1:3" x14ac:dyDescent="0.45">
      <c r="A2235" s="2">
        <v>40089</v>
      </c>
      <c r="B2235" s="7">
        <v>533000</v>
      </c>
      <c r="C2235" s="8">
        <v>-3.7906137184115507E-2</v>
      </c>
    </row>
    <row r="2236" spans="1:3" x14ac:dyDescent="0.45">
      <c r="A2236" s="2">
        <v>40096</v>
      </c>
      <c r="B2236" s="7">
        <v>511000</v>
      </c>
      <c r="C2236" s="8">
        <v>-4.1275797373358403E-2</v>
      </c>
    </row>
    <row r="2237" spans="1:3" x14ac:dyDescent="0.45">
      <c r="A2237" s="2">
        <v>40103</v>
      </c>
      <c r="B2237" s="7">
        <v>531000</v>
      </c>
      <c r="C2237" s="8">
        <v>3.9138943248532287E-2</v>
      </c>
    </row>
    <row r="2238" spans="1:3" x14ac:dyDescent="0.45">
      <c r="A2238" s="2">
        <v>40110</v>
      </c>
      <c r="B2238" s="7">
        <v>530000</v>
      </c>
      <c r="C2238" s="8">
        <v>-1.8832391713747842E-3</v>
      </c>
    </row>
    <row r="2239" spans="1:3" x14ac:dyDescent="0.45">
      <c r="A2239" s="2">
        <v>40117</v>
      </c>
      <c r="B2239" s="7">
        <v>522000</v>
      </c>
      <c r="C2239" s="8">
        <v>-1.5094339622641506E-2</v>
      </c>
    </row>
    <row r="2240" spans="1:3" x14ac:dyDescent="0.45">
      <c r="A2240" s="2">
        <v>40124</v>
      </c>
      <c r="B2240" s="7">
        <v>512000</v>
      </c>
      <c r="C2240" s="8">
        <v>-1.9157088122605415E-2</v>
      </c>
    </row>
    <row r="2241" spans="1:3" x14ac:dyDescent="0.45">
      <c r="A2241" s="2">
        <v>40131</v>
      </c>
      <c r="B2241" s="7">
        <v>507000</v>
      </c>
      <c r="C2241" s="8">
        <v>-9.765625E-3</v>
      </c>
    </row>
    <row r="2242" spans="1:3" x14ac:dyDescent="0.45">
      <c r="A2242" s="2">
        <v>40138</v>
      </c>
      <c r="B2242" s="7">
        <v>482000</v>
      </c>
      <c r="C2242" s="8">
        <v>-4.9309664694280109E-2</v>
      </c>
    </row>
    <row r="2243" spans="1:3" x14ac:dyDescent="0.45">
      <c r="A2243" s="2">
        <v>40145</v>
      </c>
      <c r="B2243" s="7">
        <v>475000</v>
      </c>
      <c r="C2243" s="8">
        <v>-1.4522821576763434E-2</v>
      </c>
    </row>
    <row r="2244" spans="1:3" x14ac:dyDescent="0.45">
      <c r="A2244" s="2">
        <v>40152</v>
      </c>
      <c r="B2244" s="7">
        <v>497000</v>
      </c>
      <c r="C2244" s="8">
        <v>4.631578947368431E-2</v>
      </c>
    </row>
    <row r="2245" spans="1:3" x14ac:dyDescent="0.45">
      <c r="A2245" s="2">
        <v>40159</v>
      </c>
      <c r="B2245" s="7">
        <v>498000</v>
      </c>
      <c r="C2245" s="8">
        <v>2.012072434607548E-3</v>
      </c>
    </row>
    <row r="2246" spans="1:3" x14ac:dyDescent="0.45">
      <c r="A2246" s="2">
        <v>40166</v>
      </c>
      <c r="B2246" s="7">
        <v>479000</v>
      </c>
      <c r="C2246" s="8">
        <v>-3.8152610441767099E-2</v>
      </c>
    </row>
    <row r="2247" spans="1:3" x14ac:dyDescent="0.45">
      <c r="A2247" s="2">
        <v>40173</v>
      </c>
      <c r="B2247" s="7">
        <v>468000</v>
      </c>
      <c r="C2247" s="8">
        <v>-2.2964509394572064E-2</v>
      </c>
    </row>
    <row r="2248" spans="1:3" x14ac:dyDescent="0.45">
      <c r="A2248" s="2">
        <v>40180</v>
      </c>
      <c r="B2248" s="7">
        <v>456000</v>
      </c>
      <c r="C2248" s="8">
        <v>-2.5641025641025661E-2</v>
      </c>
    </row>
    <row r="2249" spans="1:3" x14ac:dyDescent="0.45">
      <c r="A2249" s="2">
        <v>40187</v>
      </c>
      <c r="B2249" s="7">
        <v>469000</v>
      </c>
      <c r="C2249" s="8">
        <v>2.8508771929824483E-2</v>
      </c>
    </row>
    <row r="2250" spans="1:3" x14ac:dyDescent="0.45">
      <c r="A2250" s="2">
        <v>40194</v>
      </c>
      <c r="B2250" s="7">
        <v>507000</v>
      </c>
      <c r="C2250" s="8">
        <v>8.102345415778256E-2</v>
      </c>
    </row>
    <row r="2251" spans="1:3" x14ac:dyDescent="0.45">
      <c r="A2251" s="2">
        <v>40201</v>
      </c>
      <c r="B2251" s="7">
        <v>471000</v>
      </c>
      <c r="C2251" s="8">
        <v>-7.1005917159763343E-2</v>
      </c>
    </row>
    <row r="2252" spans="1:3" x14ac:dyDescent="0.45">
      <c r="A2252" s="2">
        <v>40208</v>
      </c>
      <c r="B2252" s="7">
        <v>496000</v>
      </c>
      <c r="C2252" s="8">
        <v>5.3078556263269627E-2</v>
      </c>
    </row>
    <row r="2253" spans="1:3" x14ac:dyDescent="0.45">
      <c r="A2253" s="2">
        <v>40215</v>
      </c>
      <c r="B2253" s="7">
        <v>466000</v>
      </c>
      <c r="C2253" s="8">
        <v>-6.0483870967741882E-2</v>
      </c>
    </row>
    <row r="2254" spans="1:3" x14ac:dyDescent="0.45">
      <c r="A2254" s="2">
        <v>40222</v>
      </c>
      <c r="B2254" s="7">
        <v>489000</v>
      </c>
      <c r="C2254" s="8">
        <v>4.9356223175965663E-2</v>
      </c>
    </row>
    <row r="2255" spans="1:3" x14ac:dyDescent="0.45">
      <c r="A2255" s="2">
        <v>40229</v>
      </c>
      <c r="B2255" s="7">
        <v>500000</v>
      </c>
      <c r="C2255" s="8">
        <v>2.249488752556239E-2</v>
      </c>
    </row>
    <row r="2256" spans="1:3" x14ac:dyDescent="0.45">
      <c r="A2256" s="2">
        <v>40236</v>
      </c>
      <c r="B2256" s="7">
        <v>488000</v>
      </c>
      <c r="C2256" s="8">
        <v>-2.4000000000000021E-2</v>
      </c>
    </row>
    <row r="2257" spans="1:3" x14ac:dyDescent="0.45">
      <c r="A2257" s="2">
        <v>40243</v>
      </c>
      <c r="B2257" s="7">
        <v>472000</v>
      </c>
      <c r="C2257" s="8">
        <v>-3.2786885245901676E-2</v>
      </c>
    </row>
    <row r="2258" spans="1:3" x14ac:dyDescent="0.45">
      <c r="A2258" s="2">
        <v>40250</v>
      </c>
      <c r="B2258" s="7">
        <v>478000</v>
      </c>
      <c r="C2258" s="8">
        <v>1.2711864406779627E-2</v>
      </c>
    </row>
    <row r="2259" spans="1:3" x14ac:dyDescent="0.45">
      <c r="A2259" s="2">
        <v>40257</v>
      </c>
      <c r="B2259" s="7">
        <v>472000</v>
      </c>
      <c r="C2259" s="8">
        <v>-1.2552301255230103E-2</v>
      </c>
    </row>
    <row r="2260" spans="1:3" x14ac:dyDescent="0.45">
      <c r="A2260" s="2">
        <v>40264</v>
      </c>
      <c r="B2260" s="7">
        <v>459000</v>
      </c>
      <c r="C2260" s="8">
        <v>-2.754237288135597E-2</v>
      </c>
    </row>
    <row r="2261" spans="1:3" x14ac:dyDescent="0.45">
      <c r="A2261" s="2">
        <v>40271</v>
      </c>
      <c r="B2261" s="7">
        <v>479000</v>
      </c>
      <c r="C2261" s="8">
        <v>4.3572984749455257E-2</v>
      </c>
    </row>
    <row r="2262" spans="1:3" x14ac:dyDescent="0.45">
      <c r="A2262" s="2">
        <v>40278</v>
      </c>
      <c r="B2262" s="7">
        <v>479000</v>
      </c>
      <c r="C2262" s="8">
        <v>0</v>
      </c>
    </row>
    <row r="2263" spans="1:3" x14ac:dyDescent="0.45">
      <c r="A2263" s="2">
        <v>40285</v>
      </c>
      <c r="B2263" s="7">
        <v>469000</v>
      </c>
      <c r="C2263" s="8">
        <v>-2.087682672233826E-2</v>
      </c>
    </row>
    <row r="2264" spans="1:3" x14ac:dyDescent="0.45">
      <c r="A2264" s="2">
        <v>40292</v>
      </c>
      <c r="B2264" s="7">
        <v>449000</v>
      </c>
      <c r="C2264" s="8">
        <v>-4.2643923240938131E-2</v>
      </c>
    </row>
    <row r="2265" spans="1:3" x14ac:dyDescent="0.45">
      <c r="A2265" s="2">
        <v>40299</v>
      </c>
      <c r="B2265" s="7">
        <v>451000</v>
      </c>
      <c r="C2265" s="8">
        <v>4.4543429844097204E-3</v>
      </c>
    </row>
    <row r="2266" spans="1:3" x14ac:dyDescent="0.45">
      <c r="A2266" s="2">
        <v>40306</v>
      </c>
      <c r="B2266" s="7">
        <v>451000</v>
      </c>
      <c r="C2266" s="8">
        <v>0</v>
      </c>
    </row>
    <row r="2267" spans="1:3" x14ac:dyDescent="0.45">
      <c r="A2267" s="2">
        <v>40313</v>
      </c>
      <c r="B2267" s="7">
        <v>474000</v>
      </c>
      <c r="C2267" s="8">
        <v>5.0997782705099803E-2</v>
      </c>
    </row>
    <row r="2268" spans="1:3" x14ac:dyDescent="0.45">
      <c r="A2268" s="2">
        <v>40320</v>
      </c>
      <c r="B2268" s="7">
        <v>463000</v>
      </c>
      <c r="C2268" s="8">
        <v>-2.320675105485237E-2</v>
      </c>
    </row>
    <row r="2269" spans="1:3" x14ac:dyDescent="0.45">
      <c r="A2269" s="2">
        <v>40327</v>
      </c>
      <c r="B2269" s="7">
        <v>458000</v>
      </c>
      <c r="C2269" s="8">
        <v>-1.0799136069114423E-2</v>
      </c>
    </row>
    <row r="2270" spans="1:3" x14ac:dyDescent="0.45">
      <c r="A2270" s="2">
        <v>40334</v>
      </c>
      <c r="B2270" s="7">
        <v>459000</v>
      </c>
      <c r="C2270" s="8">
        <v>2.1834061135370675E-3</v>
      </c>
    </row>
    <row r="2271" spans="1:3" x14ac:dyDescent="0.45">
      <c r="A2271" s="2">
        <v>40341</v>
      </c>
      <c r="B2271" s="7">
        <v>467000</v>
      </c>
      <c r="C2271" s="8">
        <v>1.7429193899782147E-2</v>
      </c>
    </row>
    <row r="2272" spans="1:3" x14ac:dyDescent="0.45">
      <c r="A2272" s="2">
        <v>40348</v>
      </c>
      <c r="B2272" s="7">
        <v>452000</v>
      </c>
      <c r="C2272" s="8">
        <v>-3.2119914346895095E-2</v>
      </c>
    </row>
    <row r="2273" spans="1:3" x14ac:dyDescent="0.45">
      <c r="A2273" s="2">
        <v>40355</v>
      </c>
      <c r="B2273" s="7">
        <v>464000</v>
      </c>
      <c r="C2273" s="8">
        <v>2.6548672566371723E-2</v>
      </c>
    </row>
    <row r="2274" spans="1:3" x14ac:dyDescent="0.45">
      <c r="A2274" s="2">
        <v>40362</v>
      </c>
      <c r="B2274" s="7">
        <v>454000</v>
      </c>
      <c r="C2274" s="8">
        <v>-2.155172413793105E-2</v>
      </c>
    </row>
    <row r="2275" spans="1:3" x14ac:dyDescent="0.45">
      <c r="A2275" s="2">
        <v>40369</v>
      </c>
      <c r="B2275" s="7">
        <v>439000</v>
      </c>
      <c r="C2275" s="8">
        <v>-3.3039647577092546E-2</v>
      </c>
    </row>
    <row r="2276" spans="1:3" x14ac:dyDescent="0.45">
      <c r="A2276" s="2">
        <v>40376</v>
      </c>
      <c r="B2276" s="7">
        <v>462000</v>
      </c>
      <c r="C2276" s="8">
        <v>5.2391799544419193E-2</v>
      </c>
    </row>
    <row r="2277" spans="1:3" x14ac:dyDescent="0.45">
      <c r="A2277" s="2">
        <v>40383</v>
      </c>
      <c r="B2277" s="7">
        <v>465000</v>
      </c>
      <c r="C2277" s="8">
        <v>6.4935064935065512E-3</v>
      </c>
    </row>
    <row r="2278" spans="1:3" x14ac:dyDescent="0.45">
      <c r="A2278" s="2">
        <v>40390</v>
      </c>
      <c r="B2278" s="7">
        <v>476000</v>
      </c>
      <c r="C2278" s="8">
        <v>2.3655913978494647E-2</v>
      </c>
    </row>
    <row r="2279" spans="1:3" x14ac:dyDescent="0.45">
      <c r="A2279" s="2">
        <v>40397</v>
      </c>
      <c r="B2279" s="7">
        <v>483000</v>
      </c>
      <c r="C2279" s="8">
        <v>1.4705882352941124E-2</v>
      </c>
    </row>
    <row r="2280" spans="1:3" x14ac:dyDescent="0.45">
      <c r="A2280" s="2">
        <v>40404</v>
      </c>
      <c r="B2280" s="7">
        <v>486000</v>
      </c>
      <c r="C2280" s="8">
        <v>6.2111801242235032E-3</v>
      </c>
    </row>
    <row r="2281" spans="1:3" x14ac:dyDescent="0.45">
      <c r="A2281" s="2">
        <v>40411</v>
      </c>
      <c r="B2281" s="7">
        <v>464000</v>
      </c>
      <c r="C2281" s="8">
        <v>-4.5267489711934172E-2</v>
      </c>
    </row>
    <row r="2282" spans="1:3" x14ac:dyDescent="0.45">
      <c r="A2282" s="2">
        <v>40418</v>
      </c>
      <c r="B2282" s="7">
        <v>467000</v>
      </c>
      <c r="C2282" s="8">
        <v>6.4655172413792261E-3</v>
      </c>
    </row>
    <row r="2283" spans="1:3" x14ac:dyDescent="0.45">
      <c r="A2283" s="2">
        <v>40425</v>
      </c>
      <c r="B2283" s="7">
        <v>452000</v>
      </c>
      <c r="C2283" s="8">
        <v>-3.2119914346895095E-2</v>
      </c>
    </row>
    <row r="2284" spans="1:3" x14ac:dyDescent="0.45">
      <c r="A2284" s="2">
        <v>40432</v>
      </c>
      <c r="B2284" s="7">
        <v>444000</v>
      </c>
      <c r="C2284" s="8">
        <v>-1.7699115044247815E-2</v>
      </c>
    </row>
    <row r="2285" spans="1:3" x14ac:dyDescent="0.45">
      <c r="A2285" s="2">
        <v>40439</v>
      </c>
      <c r="B2285" s="7">
        <v>459000</v>
      </c>
      <c r="C2285" s="8">
        <v>3.3783783783783772E-2</v>
      </c>
    </row>
    <row r="2286" spans="1:3" x14ac:dyDescent="0.45">
      <c r="A2286" s="2">
        <v>40446</v>
      </c>
      <c r="B2286" s="7">
        <v>459000</v>
      </c>
      <c r="C2286" s="8">
        <v>0</v>
      </c>
    </row>
    <row r="2287" spans="1:3" x14ac:dyDescent="0.45">
      <c r="A2287" s="2">
        <v>40453</v>
      </c>
      <c r="B2287" s="7">
        <v>446000</v>
      </c>
      <c r="C2287" s="8">
        <v>-2.8322440087146017E-2</v>
      </c>
    </row>
    <row r="2288" spans="1:3" x14ac:dyDescent="0.45">
      <c r="A2288" s="2">
        <v>40460</v>
      </c>
      <c r="B2288" s="7">
        <v>459000</v>
      </c>
      <c r="C2288" s="8">
        <v>2.9147982062780242E-2</v>
      </c>
    </row>
    <row r="2289" spans="1:3" x14ac:dyDescent="0.45">
      <c r="A2289" s="2">
        <v>40467</v>
      </c>
      <c r="B2289" s="7">
        <v>444000</v>
      </c>
      <c r="C2289" s="8">
        <v>-3.2679738562091498E-2</v>
      </c>
    </row>
    <row r="2290" spans="1:3" x14ac:dyDescent="0.45">
      <c r="A2290" s="2">
        <v>40474</v>
      </c>
      <c r="B2290" s="7">
        <v>432000</v>
      </c>
      <c r="C2290" s="8">
        <v>-2.7027027027026973E-2</v>
      </c>
    </row>
    <row r="2291" spans="1:3" x14ac:dyDescent="0.45">
      <c r="A2291" s="2">
        <v>40481</v>
      </c>
      <c r="B2291" s="7">
        <v>453000</v>
      </c>
      <c r="C2291" s="8">
        <v>4.861111111111116E-2</v>
      </c>
    </row>
    <row r="2292" spans="1:3" x14ac:dyDescent="0.45">
      <c r="A2292" s="2">
        <v>40488</v>
      </c>
      <c r="B2292" s="7">
        <v>434000</v>
      </c>
      <c r="C2292" s="8">
        <v>-4.1942604856512133E-2</v>
      </c>
    </row>
    <row r="2293" spans="1:3" x14ac:dyDescent="0.45">
      <c r="A2293" s="2">
        <v>40495</v>
      </c>
      <c r="B2293" s="7">
        <v>432000</v>
      </c>
      <c r="C2293" s="8">
        <v>-4.6082949308755561E-3</v>
      </c>
    </row>
    <row r="2294" spans="1:3" x14ac:dyDescent="0.45">
      <c r="A2294" s="2">
        <v>40502</v>
      </c>
      <c r="B2294" s="7">
        <v>407000</v>
      </c>
      <c r="C2294" s="8">
        <v>-5.787037037037035E-2</v>
      </c>
    </row>
    <row r="2295" spans="1:3" x14ac:dyDescent="0.45">
      <c r="A2295" s="2">
        <v>40509</v>
      </c>
      <c r="B2295" s="7">
        <v>432000</v>
      </c>
      <c r="C2295" s="8">
        <v>6.1425061425061322E-2</v>
      </c>
    </row>
    <row r="2296" spans="1:3" x14ac:dyDescent="0.45">
      <c r="A2296" s="2">
        <v>40516</v>
      </c>
      <c r="B2296" s="7">
        <v>428000</v>
      </c>
      <c r="C2296" s="8">
        <v>-9.2592592592593004E-3</v>
      </c>
    </row>
    <row r="2297" spans="1:3" x14ac:dyDescent="0.45">
      <c r="A2297" s="2">
        <v>40523</v>
      </c>
      <c r="B2297" s="7">
        <v>425000</v>
      </c>
      <c r="C2297" s="8">
        <v>-7.0093457943924964E-3</v>
      </c>
    </row>
    <row r="2298" spans="1:3" x14ac:dyDescent="0.45">
      <c r="A2298" s="2">
        <v>40530</v>
      </c>
      <c r="B2298" s="7">
        <v>424000</v>
      </c>
      <c r="C2298" s="8">
        <v>-2.3529411764705577E-3</v>
      </c>
    </row>
    <row r="2299" spans="1:3" x14ac:dyDescent="0.45">
      <c r="A2299" s="2">
        <v>40537</v>
      </c>
      <c r="B2299" s="7">
        <v>404000</v>
      </c>
      <c r="C2299" s="8">
        <v>-4.7169811320754707E-2</v>
      </c>
    </row>
    <row r="2300" spans="1:3" x14ac:dyDescent="0.45">
      <c r="A2300" s="2">
        <v>40544</v>
      </c>
      <c r="B2300" s="7">
        <v>413000</v>
      </c>
      <c r="C2300" s="8">
        <v>2.2277227722772297E-2</v>
      </c>
    </row>
    <row r="2301" spans="1:3" x14ac:dyDescent="0.45">
      <c r="A2301" s="2">
        <v>40551</v>
      </c>
      <c r="B2301" s="7">
        <v>434000</v>
      </c>
      <c r="C2301" s="8">
        <v>5.0847457627118731E-2</v>
      </c>
    </row>
    <row r="2302" spans="1:3" x14ac:dyDescent="0.45">
      <c r="A2302" s="2">
        <v>40558</v>
      </c>
      <c r="B2302" s="7">
        <v>421000</v>
      </c>
      <c r="C2302" s="8">
        <v>-2.9953917050691281E-2</v>
      </c>
    </row>
    <row r="2303" spans="1:3" x14ac:dyDescent="0.45">
      <c r="A2303" s="2">
        <v>40565</v>
      </c>
      <c r="B2303" s="7">
        <v>446000</v>
      </c>
      <c r="C2303" s="8">
        <v>5.9382422802850332E-2</v>
      </c>
    </row>
    <row r="2304" spans="1:3" x14ac:dyDescent="0.45">
      <c r="A2304" s="2">
        <v>40572</v>
      </c>
      <c r="B2304" s="7">
        <v>420000</v>
      </c>
      <c r="C2304" s="8">
        <v>-5.8295964125560484E-2</v>
      </c>
    </row>
    <row r="2305" spans="1:3" x14ac:dyDescent="0.45">
      <c r="A2305" s="2">
        <v>40579</v>
      </c>
      <c r="B2305" s="7">
        <v>402000</v>
      </c>
      <c r="C2305" s="8">
        <v>-4.2857142857142816E-2</v>
      </c>
    </row>
    <row r="2306" spans="1:3" x14ac:dyDescent="0.45">
      <c r="A2306" s="2">
        <v>40586</v>
      </c>
      <c r="B2306" s="7">
        <v>425000</v>
      </c>
      <c r="C2306" s="8">
        <v>5.7213930348258613E-2</v>
      </c>
    </row>
    <row r="2307" spans="1:3" x14ac:dyDescent="0.45">
      <c r="A2307" s="2">
        <v>40593</v>
      </c>
      <c r="B2307" s="7">
        <v>394000</v>
      </c>
      <c r="C2307" s="8">
        <v>-7.2941176470588287E-2</v>
      </c>
    </row>
    <row r="2308" spans="1:3" x14ac:dyDescent="0.45">
      <c r="A2308" s="2">
        <v>40600</v>
      </c>
      <c r="B2308" s="7">
        <v>385000</v>
      </c>
      <c r="C2308" s="8">
        <v>-2.2842639593908642E-2</v>
      </c>
    </row>
    <row r="2309" spans="1:3" x14ac:dyDescent="0.45">
      <c r="A2309" s="2">
        <v>40607</v>
      </c>
      <c r="B2309" s="7">
        <v>414000</v>
      </c>
      <c r="C2309" s="8">
        <v>7.5324675324675239E-2</v>
      </c>
    </row>
    <row r="2310" spans="1:3" x14ac:dyDescent="0.45">
      <c r="A2310" s="2">
        <v>40614</v>
      </c>
      <c r="B2310" s="7">
        <v>404000</v>
      </c>
      <c r="C2310" s="8">
        <v>-2.4154589371980673E-2</v>
      </c>
    </row>
    <row r="2311" spans="1:3" x14ac:dyDescent="0.45">
      <c r="A2311" s="2">
        <v>40621</v>
      </c>
      <c r="B2311" s="7">
        <v>407000</v>
      </c>
      <c r="C2311" s="8">
        <v>7.4257425742574323E-3</v>
      </c>
    </row>
    <row r="2312" spans="1:3" x14ac:dyDescent="0.45">
      <c r="A2312" s="2">
        <v>40628</v>
      </c>
      <c r="B2312" s="7">
        <v>399000</v>
      </c>
      <c r="C2312" s="8">
        <v>-1.9656019656019708E-2</v>
      </c>
    </row>
    <row r="2313" spans="1:3" x14ac:dyDescent="0.45">
      <c r="A2313" s="2">
        <v>40635</v>
      </c>
      <c r="B2313" s="7">
        <v>395000</v>
      </c>
      <c r="C2313" s="8">
        <v>-1.0025062656641603E-2</v>
      </c>
    </row>
    <row r="2314" spans="1:3" x14ac:dyDescent="0.45">
      <c r="A2314" s="2">
        <v>40642</v>
      </c>
      <c r="B2314" s="7">
        <v>416000</v>
      </c>
      <c r="C2314" s="8">
        <v>5.3164556962025378E-2</v>
      </c>
    </row>
    <row r="2315" spans="1:3" x14ac:dyDescent="0.45">
      <c r="A2315" s="2">
        <v>40649</v>
      </c>
      <c r="B2315" s="7">
        <v>402000</v>
      </c>
      <c r="C2315" s="8">
        <v>-3.3653846153846145E-2</v>
      </c>
    </row>
    <row r="2316" spans="1:3" x14ac:dyDescent="0.45">
      <c r="A2316" s="2">
        <v>40656</v>
      </c>
      <c r="B2316" s="7">
        <v>422000</v>
      </c>
      <c r="C2316" s="8">
        <v>4.9751243781094523E-2</v>
      </c>
    </row>
    <row r="2317" spans="1:3" x14ac:dyDescent="0.45">
      <c r="A2317" s="2">
        <v>40663</v>
      </c>
      <c r="B2317" s="7">
        <v>468000</v>
      </c>
      <c r="C2317" s="8">
        <v>0.1090047393364928</v>
      </c>
    </row>
    <row r="2318" spans="1:3" x14ac:dyDescent="0.45">
      <c r="A2318" s="2">
        <v>40670</v>
      </c>
      <c r="B2318" s="7">
        <v>435000</v>
      </c>
      <c r="C2318" s="8">
        <v>-7.0512820512820484E-2</v>
      </c>
    </row>
    <row r="2319" spans="1:3" x14ac:dyDescent="0.45">
      <c r="A2319" s="2">
        <v>40677</v>
      </c>
      <c r="B2319" s="7">
        <v>414000</v>
      </c>
      <c r="C2319" s="8">
        <v>-4.8275862068965503E-2</v>
      </c>
    </row>
    <row r="2320" spans="1:3" x14ac:dyDescent="0.45">
      <c r="A2320" s="2">
        <v>40684</v>
      </c>
      <c r="B2320" s="7">
        <v>423000</v>
      </c>
      <c r="C2320" s="8">
        <v>2.1739130434782705E-2</v>
      </c>
    </row>
    <row r="2321" spans="1:3" x14ac:dyDescent="0.45">
      <c r="A2321" s="2">
        <v>40691</v>
      </c>
      <c r="B2321" s="7">
        <v>418000</v>
      </c>
      <c r="C2321" s="8">
        <v>-1.1820330969267157E-2</v>
      </c>
    </row>
    <row r="2322" spans="1:3" x14ac:dyDescent="0.45">
      <c r="A2322" s="2">
        <v>40698</v>
      </c>
      <c r="B2322" s="7">
        <v>423000</v>
      </c>
      <c r="C2322" s="8">
        <v>1.1961722488038173E-2</v>
      </c>
    </row>
    <row r="2323" spans="1:3" x14ac:dyDescent="0.45">
      <c r="A2323" s="2">
        <v>40705</v>
      </c>
      <c r="B2323" s="7">
        <v>413000</v>
      </c>
      <c r="C2323" s="8">
        <v>-2.3640661938534313E-2</v>
      </c>
    </row>
    <row r="2324" spans="1:3" x14ac:dyDescent="0.45">
      <c r="A2324" s="2">
        <v>40712</v>
      </c>
      <c r="B2324" s="7">
        <v>416000</v>
      </c>
      <c r="C2324" s="8">
        <v>7.2639225181598821E-3</v>
      </c>
    </row>
    <row r="2325" spans="1:3" x14ac:dyDescent="0.45">
      <c r="A2325" s="2">
        <v>40719</v>
      </c>
      <c r="B2325" s="7">
        <v>421000</v>
      </c>
      <c r="C2325" s="8">
        <v>1.2019230769230838E-2</v>
      </c>
    </row>
    <row r="2326" spans="1:3" x14ac:dyDescent="0.45">
      <c r="A2326" s="2">
        <v>40726</v>
      </c>
      <c r="B2326" s="7">
        <v>418000</v>
      </c>
      <c r="C2326" s="8">
        <v>-7.1258907363420665E-3</v>
      </c>
    </row>
    <row r="2327" spans="1:3" x14ac:dyDescent="0.45">
      <c r="A2327" s="2">
        <v>40733</v>
      </c>
      <c r="B2327" s="7">
        <v>408000</v>
      </c>
      <c r="C2327" s="8">
        <v>-2.3923444976076569E-2</v>
      </c>
    </row>
    <row r="2328" spans="1:3" x14ac:dyDescent="0.45">
      <c r="A2328" s="2">
        <v>40740</v>
      </c>
      <c r="B2328" s="7">
        <v>420000</v>
      </c>
      <c r="C2328" s="8">
        <v>2.9411764705882248E-2</v>
      </c>
    </row>
    <row r="2329" spans="1:3" x14ac:dyDescent="0.45">
      <c r="A2329" s="2">
        <v>40747</v>
      </c>
      <c r="B2329" s="7">
        <v>411000</v>
      </c>
      <c r="C2329" s="8">
        <v>-2.1428571428571463E-2</v>
      </c>
    </row>
    <row r="2330" spans="1:3" x14ac:dyDescent="0.45">
      <c r="A2330" s="2">
        <v>40754</v>
      </c>
      <c r="B2330" s="7">
        <v>406000</v>
      </c>
      <c r="C2330" s="8">
        <v>-1.2165450121654486E-2</v>
      </c>
    </row>
    <row r="2331" spans="1:3" x14ac:dyDescent="0.45">
      <c r="A2331" s="2">
        <v>40761</v>
      </c>
      <c r="B2331" s="7">
        <v>405000</v>
      </c>
      <c r="C2331" s="8">
        <v>-2.4630541871921707E-3</v>
      </c>
    </row>
    <row r="2332" spans="1:3" x14ac:dyDescent="0.45">
      <c r="A2332" s="2">
        <v>40768</v>
      </c>
      <c r="B2332" s="7">
        <v>409000</v>
      </c>
      <c r="C2332" s="8">
        <v>9.8765432098766315E-3</v>
      </c>
    </row>
    <row r="2333" spans="1:3" x14ac:dyDescent="0.45">
      <c r="A2333" s="2">
        <v>40775</v>
      </c>
      <c r="B2333" s="7">
        <v>415000</v>
      </c>
      <c r="C2333" s="8">
        <v>1.4669926650366705E-2</v>
      </c>
    </row>
    <row r="2334" spans="1:3" x14ac:dyDescent="0.45">
      <c r="A2334" s="2">
        <v>40782</v>
      </c>
      <c r="B2334" s="7">
        <v>409000</v>
      </c>
      <c r="C2334" s="8">
        <v>-1.4457831325301207E-2</v>
      </c>
    </row>
    <row r="2335" spans="1:3" x14ac:dyDescent="0.45">
      <c r="A2335" s="2">
        <v>40789</v>
      </c>
      <c r="B2335" s="7">
        <v>414000</v>
      </c>
      <c r="C2335" s="8">
        <v>1.2224938875305513E-2</v>
      </c>
    </row>
    <row r="2336" spans="1:3" x14ac:dyDescent="0.45">
      <c r="A2336" s="2">
        <v>40796</v>
      </c>
      <c r="B2336" s="7">
        <v>429000</v>
      </c>
      <c r="C2336" s="8">
        <v>3.6231884057970953E-2</v>
      </c>
    </row>
    <row r="2337" spans="1:3" x14ac:dyDescent="0.45">
      <c r="A2337" s="2">
        <v>40803</v>
      </c>
      <c r="B2337" s="7">
        <v>422000</v>
      </c>
      <c r="C2337" s="8">
        <v>-1.631701631701632E-2</v>
      </c>
    </row>
    <row r="2338" spans="1:3" x14ac:dyDescent="0.45">
      <c r="A2338" s="2">
        <v>40810</v>
      </c>
      <c r="B2338" s="7">
        <v>406000</v>
      </c>
      <c r="C2338" s="8">
        <v>-3.7914691943127909E-2</v>
      </c>
    </row>
    <row r="2339" spans="1:3" x14ac:dyDescent="0.45">
      <c r="A2339" s="2">
        <v>40817</v>
      </c>
      <c r="B2339" s="7">
        <v>405000</v>
      </c>
      <c r="C2339" s="8">
        <v>-2.4630541871921707E-3</v>
      </c>
    </row>
    <row r="2340" spans="1:3" x14ac:dyDescent="0.45">
      <c r="A2340" s="2">
        <v>40824</v>
      </c>
      <c r="B2340" s="7">
        <v>410000</v>
      </c>
      <c r="C2340" s="8">
        <v>1.2345679012345734E-2</v>
      </c>
    </row>
    <row r="2341" spans="1:3" x14ac:dyDescent="0.45">
      <c r="A2341" s="2">
        <v>40831</v>
      </c>
      <c r="B2341" s="7">
        <v>395000</v>
      </c>
      <c r="C2341" s="8">
        <v>-3.6585365853658569E-2</v>
      </c>
    </row>
    <row r="2342" spans="1:3" x14ac:dyDescent="0.45">
      <c r="A2342" s="2">
        <v>40838</v>
      </c>
      <c r="B2342" s="7">
        <v>403000</v>
      </c>
      <c r="C2342" s="8">
        <v>2.0253164556962133E-2</v>
      </c>
    </row>
    <row r="2343" spans="1:3" x14ac:dyDescent="0.45">
      <c r="A2343" s="2">
        <v>40845</v>
      </c>
      <c r="B2343" s="7">
        <v>399000</v>
      </c>
      <c r="C2343" s="8">
        <v>-9.9255583126550695E-3</v>
      </c>
    </row>
    <row r="2344" spans="1:3" x14ac:dyDescent="0.45">
      <c r="A2344" s="2">
        <v>40852</v>
      </c>
      <c r="B2344" s="7">
        <v>392000</v>
      </c>
      <c r="C2344" s="8">
        <v>-1.7543859649122862E-2</v>
      </c>
    </row>
    <row r="2345" spans="1:3" x14ac:dyDescent="0.45">
      <c r="A2345" s="2">
        <v>40859</v>
      </c>
      <c r="B2345" s="7">
        <v>383000</v>
      </c>
      <c r="C2345" s="8">
        <v>-2.2959183673469385E-2</v>
      </c>
    </row>
    <row r="2346" spans="1:3" x14ac:dyDescent="0.45">
      <c r="A2346" s="2">
        <v>40866</v>
      </c>
      <c r="B2346" s="7">
        <v>385000</v>
      </c>
      <c r="C2346" s="8">
        <v>5.2219321148825326E-3</v>
      </c>
    </row>
    <row r="2347" spans="1:3" x14ac:dyDescent="0.45">
      <c r="A2347" s="2">
        <v>40873</v>
      </c>
      <c r="B2347" s="7">
        <v>397000</v>
      </c>
      <c r="C2347" s="8">
        <v>3.1168831168831179E-2</v>
      </c>
    </row>
    <row r="2348" spans="1:3" x14ac:dyDescent="0.45">
      <c r="A2348" s="2">
        <v>40880</v>
      </c>
      <c r="B2348" s="7">
        <v>387000</v>
      </c>
      <c r="C2348" s="8">
        <v>-2.5188916876574319E-2</v>
      </c>
    </row>
    <row r="2349" spans="1:3" x14ac:dyDescent="0.45">
      <c r="A2349" s="2">
        <v>40887</v>
      </c>
      <c r="B2349" s="7">
        <v>368000</v>
      </c>
      <c r="C2349" s="8">
        <v>-4.9095607235142169E-2</v>
      </c>
    </row>
    <row r="2350" spans="1:3" x14ac:dyDescent="0.45">
      <c r="A2350" s="2">
        <v>40894</v>
      </c>
      <c r="B2350" s="7">
        <v>368000</v>
      </c>
      <c r="C2350" s="8">
        <v>0</v>
      </c>
    </row>
    <row r="2351" spans="1:3" x14ac:dyDescent="0.45">
      <c r="A2351" s="2">
        <v>40901</v>
      </c>
      <c r="B2351" s="7">
        <v>386000</v>
      </c>
      <c r="C2351" s="8">
        <v>4.8913043478260976E-2</v>
      </c>
    </row>
    <row r="2352" spans="1:3" x14ac:dyDescent="0.45">
      <c r="A2352" s="2">
        <v>40908</v>
      </c>
      <c r="B2352" s="7">
        <v>376000</v>
      </c>
      <c r="C2352" s="8">
        <v>-2.5906735751295318E-2</v>
      </c>
    </row>
    <row r="2353" spans="1:3" x14ac:dyDescent="0.45">
      <c r="A2353" s="2">
        <v>40915</v>
      </c>
      <c r="B2353" s="7">
        <v>391000</v>
      </c>
      <c r="C2353" s="8">
        <v>3.9893617021276695E-2</v>
      </c>
    </row>
    <row r="2354" spans="1:3" x14ac:dyDescent="0.45">
      <c r="A2354" s="2">
        <v>40922</v>
      </c>
      <c r="B2354" s="7">
        <v>367000</v>
      </c>
      <c r="C2354" s="8">
        <v>-6.13810741687979E-2</v>
      </c>
    </row>
    <row r="2355" spans="1:3" x14ac:dyDescent="0.45">
      <c r="A2355" s="2">
        <v>40929</v>
      </c>
      <c r="B2355" s="7">
        <v>381000</v>
      </c>
      <c r="C2355" s="8">
        <v>3.8147138964577554E-2</v>
      </c>
    </row>
    <row r="2356" spans="1:3" x14ac:dyDescent="0.45">
      <c r="A2356" s="2">
        <v>40936</v>
      </c>
      <c r="B2356" s="7">
        <v>372000</v>
      </c>
      <c r="C2356" s="8">
        <v>-2.3622047244094446E-2</v>
      </c>
    </row>
    <row r="2357" spans="1:3" x14ac:dyDescent="0.45">
      <c r="A2357" s="2">
        <v>40943</v>
      </c>
      <c r="B2357" s="7">
        <v>368000</v>
      </c>
      <c r="C2357" s="8">
        <v>-1.0752688172043001E-2</v>
      </c>
    </row>
    <row r="2358" spans="1:3" x14ac:dyDescent="0.45">
      <c r="A2358" s="2">
        <v>40950</v>
      </c>
      <c r="B2358" s="7">
        <v>361000</v>
      </c>
      <c r="C2358" s="8">
        <v>-1.9021739130434812E-2</v>
      </c>
    </row>
    <row r="2359" spans="1:3" x14ac:dyDescent="0.45">
      <c r="A2359" s="2">
        <v>40957</v>
      </c>
      <c r="B2359" s="7">
        <v>359000</v>
      </c>
      <c r="C2359" s="8">
        <v>-5.5401662049860967E-3</v>
      </c>
    </row>
    <row r="2360" spans="1:3" x14ac:dyDescent="0.45">
      <c r="A2360" s="2">
        <v>40964</v>
      </c>
      <c r="B2360" s="7">
        <v>365000</v>
      </c>
      <c r="C2360" s="8">
        <v>1.6713091922005541E-2</v>
      </c>
    </row>
    <row r="2361" spans="1:3" x14ac:dyDescent="0.45">
      <c r="A2361" s="2">
        <v>40971</v>
      </c>
      <c r="B2361" s="7">
        <v>375000</v>
      </c>
      <c r="C2361" s="8">
        <v>2.7397260273972712E-2</v>
      </c>
    </row>
    <row r="2362" spans="1:3" x14ac:dyDescent="0.45">
      <c r="A2362" s="2">
        <v>40978</v>
      </c>
      <c r="B2362" s="7">
        <v>369000</v>
      </c>
      <c r="C2362" s="8">
        <v>-1.6000000000000014E-2</v>
      </c>
    </row>
    <row r="2363" spans="1:3" x14ac:dyDescent="0.45">
      <c r="A2363" s="2">
        <v>40985</v>
      </c>
      <c r="B2363" s="7">
        <v>368000</v>
      </c>
      <c r="C2363" s="8">
        <v>-2.7100271002710175E-3</v>
      </c>
    </row>
    <row r="2364" spans="1:3" x14ac:dyDescent="0.45">
      <c r="A2364" s="2">
        <v>40992</v>
      </c>
      <c r="B2364" s="7">
        <v>363000</v>
      </c>
      <c r="C2364" s="8">
        <v>-1.3586956521739135E-2</v>
      </c>
    </row>
    <row r="2365" spans="1:3" x14ac:dyDescent="0.45">
      <c r="A2365" s="2">
        <v>40999</v>
      </c>
      <c r="B2365" s="7">
        <v>358000</v>
      </c>
      <c r="C2365" s="8">
        <v>-1.377410468319562E-2</v>
      </c>
    </row>
    <row r="2366" spans="1:3" x14ac:dyDescent="0.45">
      <c r="A2366" s="2">
        <v>41006</v>
      </c>
      <c r="B2366" s="7">
        <v>387000</v>
      </c>
      <c r="C2366" s="8">
        <v>8.1005586592178824E-2</v>
      </c>
    </row>
    <row r="2367" spans="1:3" x14ac:dyDescent="0.45">
      <c r="A2367" s="2">
        <v>41013</v>
      </c>
      <c r="B2367" s="7">
        <v>381000</v>
      </c>
      <c r="C2367" s="8">
        <v>-1.5503875968992276E-2</v>
      </c>
    </row>
    <row r="2368" spans="1:3" x14ac:dyDescent="0.45">
      <c r="A2368" s="2">
        <v>41020</v>
      </c>
      <c r="B2368" s="7">
        <v>387000</v>
      </c>
      <c r="C2368" s="8">
        <v>1.5748031496062964E-2</v>
      </c>
    </row>
    <row r="2369" spans="1:3" x14ac:dyDescent="0.45">
      <c r="A2369" s="2">
        <v>41027</v>
      </c>
      <c r="B2369" s="7">
        <v>372000</v>
      </c>
      <c r="C2369" s="8">
        <v>-3.8759689922480578E-2</v>
      </c>
    </row>
    <row r="2370" spans="1:3" x14ac:dyDescent="0.45">
      <c r="A2370" s="2">
        <v>41034</v>
      </c>
      <c r="B2370" s="7">
        <v>373000</v>
      </c>
      <c r="C2370" s="8">
        <v>2.6881720430107503E-3</v>
      </c>
    </row>
    <row r="2371" spans="1:3" x14ac:dyDescent="0.45">
      <c r="A2371" s="2">
        <v>41041</v>
      </c>
      <c r="B2371" s="7">
        <v>369000</v>
      </c>
      <c r="C2371" s="8">
        <v>-1.072386058981234E-2</v>
      </c>
    </row>
    <row r="2372" spans="1:3" x14ac:dyDescent="0.45">
      <c r="A2372" s="2">
        <v>41048</v>
      </c>
      <c r="B2372" s="7">
        <v>371000</v>
      </c>
      <c r="C2372" s="8">
        <v>5.4200542005420349E-3</v>
      </c>
    </row>
    <row r="2373" spans="1:3" x14ac:dyDescent="0.45">
      <c r="A2373" s="2">
        <v>41055</v>
      </c>
      <c r="B2373" s="7">
        <v>381000</v>
      </c>
      <c r="C2373" s="8">
        <v>2.695417789757415E-2</v>
      </c>
    </row>
    <row r="2374" spans="1:3" x14ac:dyDescent="0.45">
      <c r="A2374" s="2">
        <v>41062</v>
      </c>
      <c r="B2374" s="7">
        <v>377000</v>
      </c>
      <c r="C2374" s="8">
        <v>-1.049868766404205E-2</v>
      </c>
    </row>
    <row r="2375" spans="1:3" x14ac:dyDescent="0.45">
      <c r="A2375" s="2">
        <v>41069</v>
      </c>
      <c r="B2375" s="7">
        <v>383000</v>
      </c>
      <c r="C2375" s="8">
        <v>1.5915119363395291E-2</v>
      </c>
    </row>
    <row r="2376" spans="1:3" x14ac:dyDescent="0.45">
      <c r="A2376" s="2">
        <v>41076</v>
      </c>
      <c r="B2376" s="7">
        <v>384000</v>
      </c>
      <c r="C2376" s="8">
        <v>2.6109660574411553E-3</v>
      </c>
    </row>
    <row r="2377" spans="1:3" x14ac:dyDescent="0.45">
      <c r="A2377" s="2">
        <v>41083</v>
      </c>
      <c r="B2377" s="7">
        <v>380000</v>
      </c>
      <c r="C2377" s="8">
        <v>-1.041666666666663E-2</v>
      </c>
    </row>
    <row r="2378" spans="1:3" x14ac:dyDescent="0.45">
      <c r="A2378" s="2">
        <v>41090</v>
      </c>
      <c r="B2378" s="7">
        <v>372000</v>
      </c>
      <c r="C2378" s="8">
        <v>-2.1052631578947323E-2</v>
      </c>
    </row>
    <row r="2379" spans="1:3" x14ac:dyDescent="0.45">
      <c r="A2379" s="2">
        <v>41097</v>
      </c>
      <c r="B2379" s="7">
        <v>360000</v>
      </c>
      <c r="C2379" s="8">
        <v>-3.2258064516129004E-2</v>
      </c>
    </row>
    <row r="2380" spans="1:3" x14ac:dyDescent="0.45">
      <c r="A2380" s="2">
        <v>41104</v>
      </c>
      <c r="B2380" s="7">
        <v>390000</v>
      </c>
      <c r="C2380" s="8">
        <v>8.3333333333333259E-2</v>
      </c>
    </row>
    <row r="2381" spans="1:3" x14ac:dyDescent="0.45">
      <c r="A2381" s="2">
        <v>41111</v>
      </c>
      <c r="B2381" s="7">
        <v>368000</v>
      </c>
      <c r="C2381" s="8">
        <v>-5.6410256410256432E-2</v>
      </c>
    </row>
    <row r="2382" spans="1:3" x14ac:dyDescent="0.45">
      <c r="A2382" s="2">
        <v>41118</v>
      </c>
      <c r="B2382" s="7">
        <v>372000</v>
      </c>
      <c r="C2382" s="8">
        <v>1.0869565217391353E-2</v>
      </c>
    </row>
    <row r="2383" spans="1:3" x14ac:dyDescent="0.45">
      <c r="A2383" s="2">
        <v>41125</v>
      </c>
      <c r="B2383" s="7">
        <v>371000</v>
      </c>
      <c r="C2383" s="8">
        <v>-2.6881720430107503E-3</v>
      </c>
    </row>
    <row r="2384" spans="1:3" x14ac:dyDescent="0.45">
      <c r="A2384" s="2">
        <v>41132</v>
      </c>
      <c r="B2384" s="7">
        <v>369000</v>
      </c>
      <c r="C2384" s="8">
        <v>-5.3908355795148077E-3</v>
      </c>
    </row>
    <row r="2385" spans="1:3" x14ac:dyDescent="0.45">
      <c r="A2385" s="2">
        <v>41139</v>
      </c>
      <c r="B2385" s="7">
        <v>376000</v>
      </c>
      <c r="C2385" s="8">
        <v>1.8970189701897011E-2</v>
      </c>
    </row>
    <row r="2386" spans="1:3" x14ac:dyDescent="0.45">
      <c r="A2386" s="2">
        <v>41146</v>
      </c>
      <c r="B2386" s="7">
        <v>377000</v>
      </c>
      <c r="C2386" s="8">
        <v>2.6595744680850686E-3</v>
      </c>
    </row>
    <row r="2387" spans="1:3" x14ac:dyDescent="0.45">
      <c r="A2387" s="2">
        <v>41153</v>
      </c>
      <c r="B2387" s="7">
        <v>371000</v>
      </c>
      <c r="C2387" s="8">
        <v>-1.591511936339518E-2</v>
      </c>
    </row>
    <row r="2388" spans="1:3" x14ac:dyDescent="0.45">
      <c r="A2388" s="2">
        <v>41160</v>
      </c>
      <c r="B2388" s="7">
        <v>393000</v>
      </c>
      <c r="C2388" s="8">
        <v>5.9299191374662996E-2</v>
      </c>
    </row>
    <row r="2389" spans="1:3" x14ac:dyDescent="0.45">
      <c r="A2389" s="2">
        <v>41167</v>
      </c>
      <c r="B2389" s="7">
        <v>392000</v>
      </c>
      <c r="C2389" s="8">
        <v>-2.5445292620864812E-3</v>
      </c>
    </row>
    <row r="2390" spans="1:3" x14ac:dyDescent="0.45">
      <c r="A2390" s="2">
        <v>41174</v>
      </c>
      <c r="B2390" s="7">
        <v>377000</v>
      </c>
      <c r="C2390" s="8">
        <v>-3.8265306122448939E-2</v>
      </c>
    </row>
    <row r="2391" spans="1:3" x14ac:dyDescent="0.45">
      <c r="A2391" s="2">
        <v>41181</v>
      </c>
      <c r="B2391" s="7">
        <v>376000</v>
      </c>
      <c r="C2391" s="8">
        <v>-2.6525198938992522E-3</v>
      </c>
    </row>
    <row r="2392" spans="1:3" x14ac:dyDescent="0.45">
      <c r="A2392" s="2">
        <v>41188</v>
      </c>
      <c r="B2392" s="7">
        <v>350000</v>
      </c>
      <c r="C2392" s="8">
        <v>-6.9148936170212782E-2</v>
      </c>
    </row>
    <row r="2393" spans="1:3" x14ac:dyDescent="0.45">
      <c r="A2393" s="2">
        <v>41195</v>
      </c>
      <c r="B2393" s="7">
        <v>386000</v>
      </c>
      <c r="C2393" s="8">
        <v>0.10285714285714276</v>
      </c>
    </row>
    <row r="2394" spans="1:3" x14ac:dyDescent="0.45">
      <c r="A2394" s="2">
        <v>41202</v>
      </c>
      <c r="B2394" s="7">
        <v>374000</v>
      </c>
      <c r="C2394" s="8">
        <v>-3.1088082901554404E-2</v>
      </c>
    </row>
    <row r="2395" spans="1:3" x14ac:dyDescent="0.45">
      <c r="A2395" s="2">
        <v>41209</v>
      </c>
      <c r="B2395" s="7">
        <v>364000</v>
      </c>
      <c r="C2395" s="8">
        <v>-2.6737967914438499E-2</v>
      </c>
    </row>
    <row r="2396" spans="1:3" x14ac:dyDescent="0.45">
      <c r="A2396" s="2">
        <v>41216</v>
      </c>
      <c r="B2396" s="7">
        <v>365000</v>
      </c>
      <c r="C2396" s="8">
        <v>2.7472527472527375E-3</v>
      </c>
    </row>
    <row r="2397" spans="1:3" x14ac:dyDescent="0.45">
      <c r="A2397" s="2">
        <v>41223</v>
      </c>
      <c r="B2397" s="7">
        <v>446000</v>
      </c>
      <c r="C2397" s="8">
        <v>0.22191780821917817</v>
      </c>
    </row>
    <row r="2398" spans="1:3" x14ac:dyDescent="0.45">
      <c r="A2398" s="2">
        <v>41230</v>
      </c>
      <c r="B2398" s="7">
        <v>406000</v>
      </c>
      <c r="C2398" s="8">
        <v>-8.9686098654708557E-2</v>
      </c>
    </row>
    <row r="2399" spans="1:3" x14ac:dyDescent="0.45">
      <c r="A2399" s="2">
        <v>41237</v>
      </c>
      <c r="B2399" s="7">
        <v>388000</v>
      </c>
      <c r="C2399" s="8">
        <v>-4.4334975369458074E-2</v>
      </c>
    </row>
    <row r="2400" spans="1:3" x14ac:dyDescent="0.45">
      <c r="A2400" s="2">
        <v>41244</v>
      </c>
      <c r="B2400" s="7">
        <v>375000</v>
      </c>
      <c r="C2400" s="8">
        <v>-3.350515463917525E-2</v>
      </c>
    </row>
    <row r="2401" spans="1:3" x14ac:dyDescent="0.45">
      <c r="A2401" s="2">
        <v>41251</v>
      </c>
      <c r="B2401" s="7">
        <v>340000</v>
      </c>
      <c r="C2401" s="8">
        <v>-9.3333333333333379E-2</v>
      </c>
    </row>
    <row r="2402" spans="1:3" x14ac:dyDescent="0.45">
      <c r="A2402" s="2">
        <v>41258</v>
      </c>
      <c r="B2402" s="7">
        <v>356000</v>
      </c>
      <c r="C2402" s="8">
        <v>4.705882352941182E-2</v>
      </c>
    </row>
    <row r="2403" spans="1:3" x14ac:dyDescent="0.45">
      <c r="A2403" s="2">
        <v>41265</v>
      </c>
      <c r="B2403" s="7">
        <v>362000</v>
      </c>
      <c r="C2403" s="8">
        <v>1.6853932584269593E-2</v>
      </c>
    </row>
    <row r="2404" spans="1:3" x14ac:dyDescent="0.45">
      <c r="A2404" s="2">
        <v>41272</v>
      </c>
      <c r="B2404" s="7">
        <v>362000</v>
      </c>
      <c r="C2404" s="8">
        <v>0</v>
      </c>
    </row>
    <row r="2405" spans="1:3" x14ac:dyDescent="0.45">
      <c r="A2405" s="2">
        <v>41279</v>
      </c>
      <c r="B2405" s="7">
        <v>363000</v>
      </c>
      <c r="C2405" s="8">
        <v>2.7624309392264568E-3</v>
      </c>
    </row>
    <row r="2406" spans="1:3" x14ac:dyDescent="0.45">
      <c r="A2406" s="2">
        <v>41286</v>
      </c>
      <c r="B2406" s="7">
        <v>344000</v>
      </c>
      <c r="C2406" s="8">
        <v>-5.2341597796143224E-2</v>
      </c>
    </row>
    <row r="2407" spans="1:3" x14ac:dyDescent="0.45">
      <c r="A2407" s="2">
        <v>41293</v>
      </c>
      <c r="B2407" s="7">
        <v>339000</v>
      </c>
      <c r="C2407" s="8">
        <v>-1.4534883720930258E-2</v>
      </c>
    </row>
    <row r="2408" spans="1:3" x14ac:dyDescent="0.45">
      <c r="A2408" s="2">
        <v>41300</v>
      </c>
      <c r="B2408" s="7">
        <v>366000</v>
      </c>
      <c r="C2408" s="8">
        <v>7.9646017699114946E-2</v>
      </c>
    </row>
    <row r="2409" spans="1:3" x14ac:dyDescent="0.45">
      <c r="A2409" s="2">
        <v>41307</v>
      </c>
      <c r="B2409" s="7">
        <v>361000</v>
      </c>
      <c r="C2409" s="8">
        <v>-1.3661202185792365E-2</v>
      </c>
    </row>
    <row r="2410" spans="1:3" x14ac:dyDescent="0.45">
      <c r="A2410" s="2">
        <v>41314</v>
      </c>
      <c r="B2410" s="7">
        <v>347000</v>
      </c>
      <c r="C2410" s="8">
        <v>-3.878116343490301E-2</v>
      </c>
    </row>
    <row r="2411" spans="1:3" x14ac:dyDescent="0.45">
      <c r="A2411" s="2">
        <v>41321</v>
      </c>
      <c r="B2411" s="7">
        <v>362000</v>
      </c>
      <c r="C2411" s="8">
        <v>4.3227665706051965E-2</v>
      </c>
    </row>
    <row r="2412" spans="1:3" x14ac:dyDescent="0.45">
      <c r="A2412" s="2">
        <v>41328</v>
      </c>
      <c r="B2412" s="7">
        <v>342000</v>
      </c>
      <c r="C2412" s="8">
        <v>-5.5248618784530357E-2</v>
      </c>
    </row>
    <row r="2413" spans="1:3" x14ac:dyDescent="0.45">
      <c r="A2413" s="2">
        <v>41335</v>
      </c>
      <c r="B2413" s="7">
        <v>340000</v>
      </c>
      <c r="C2413" s="8">
        <v>-5.8479532163743242E-3</v>
      </c>
    </row>
    <row r="2414" spans="1:3" x14ac:dyDescent="0.45">
      <c r="A2414" s="2">
        <v>41342</v>
      </c>
      <c r="B2414" s="7">
        <v>343000</v>
      </c>
      <c r="C2414" s="8">
        <v>8.8235294117646745E-3</v>
      </c>
    </row>
    <row r="2415" spans="1:3" x14ac:dyDescent="0.45">
      <c r="A2415" s="2">
        <v>41349</v>
      </c>
      <c r="B2415" s="7">
        <v>343000</v>
      </c>
      <c r="C2415" s="8">
        <v>0</v>
      </c>
    </row>
    <row r="2416" spans="1:3" x14ac:dyDescent="0.45">
      <c r="A2416" s="2">
        <v>41356</v>
      </c>
      <c r="B2416" s="7">
        <v>358000</v>
      </c>
      <c r="C2416" s="8">
        <v>4.3731778425655898E-2</v>
      </c>
    </row>
    <row r="2417" spans="1:3" x14ac:dyDescent="0.45">
      <c r="A2417" s="2">
        <v>41363</v>
      </c>
      <c r="B2417" s="7">
        <v>375000</v>
      </c>
      <c r="C2417" s="8">
        <v>4.748603351955305E-2</v>
      </c>
    </row>
    <row r="2418" spans="1:3" x14ac:dyDescent="0.45">
      <c r="A2418" s="2">
        <v>41370</v>
      </c>
      <c r="B2418" s="7">
        <v>359000</v>
      </c>
      <c r="C2418" s="8">
        <v>-4.2666666666666631E-2</v>
      </c>
    </row>
    <row r="2419" spans="1:3" x14ac:dyDescent="0.45">
      <c r="A2419" s="2">
        <v>41377</v>
      </c>
      <c r="B2419" s="7">
        <v>356000</v>
      </c>
      <c r="C2419" s="8">
        <v>-8.3565459610027704E-3</v>
      </c>
    </row>
    <row r="2420" spans="1:3" x14ac:dyDescent="0.45">
      <c r="A2420" s="2">
        <v>41384</v>
      </c>
      <c r="B2420" s="7">
        <v>343000</v>
      </c>
      <c r="C2420" s="8">
        <v>-3.6516853932584303E-2</v>
      </c>
    </row>
    <row r="2421" spans="1:3" x14ac:dyDescent="0.45">
      <c r="A2421" s="2">
        <v>41391</v>
      </c>
      <c r="B2421" s="7">
        <v>331000</v>
      </c>
      <c r="C2421" s="8">
        <v>-3.4985422740524741E-2</v>
      </c>
    </row>
    <row r="2422" spans="1:3" x14ac:dyDescent="0.45">
      <c r="A2422" s="2">
        <v>41398</v>
      </c>
      <c r="B2422" s="7">
        <v>335000</v>
      </c>
      <c r="C2422" s="8">
        <v>1.2084592145015005E-2</v>
      </c>
    </row>
    <row r="2423" spans="1:3" x14ac:dyDescent="0.45">
      <c r="A2423" s="2">
        <v>41405</v>
      </c>
      <c r="B2423" s="7">
        <v>360000</v>
      </c>
      <c r="C2423" s="8">
        <v>7.4626865671641784E-2</v>
      </c>
    </row>
    <row r="2424" spans="1:3" x14ac:dyDescent="0.45">
      <c r="A2424" s="2">
        <v>41412</v>
      </c>
      <c r="B2424" s="7">
        <v>343000</v>
      </c>
      <c r="C2424" s="8">
        <v>-4.7222222222222276E-2</v>
      </c>
    </row>
    <row r="2425" spans="1:3" x14ac:dyDescent="0.45">
      <c r="A2425" s="2">
        <v>41419</v>
      </c>
      <c r="B2425" s="7">
        <v>353000</v>
      </c>
      <c r="C2425" s="8">
        <v>2.9154518950437414E-2</v>
      </c>
    </row>
    <row r="2426" spans="1:3" x14ac:dyDescent="0.45">
      <c r="A2426" s="2">
        <v>41426</v>
      </c>
      <c r="B2426" s="7">
        <v>346000</v>
      </c>
      <c r="C2426" s="8">
        <v>-1.9830028328611915E-2</v>
      </c>
    </row>
    <row r="2427" spans="1:3" x14ac:dyDescent="0.45">
      <c r="A2427" s="2">
        <v>41433</v>
      </c>
      <c r="B2427" s="7">
        <v>337000</v>
      </c>
      <c r="C2427" s="8">
        <v>-2.6011560693641633E-2</v>
      </c>
    </row>
    <row r="2428" spans="1:3" x14ac:dyDescent="0.45">
      <c r="A2428" s="2">
        <v>41440</v>
      </c>
      <c r="B2428" s="7">
        <v>353000</v>
      </c>
      <c r="C2428" s="8">
        <v>4.7477744807121747E-2</v>
      </c>
    </row>
    <row r="2429" spans="1:3" x14ac:dyDescent="0.45">
      <c r="A2429" s="2">
        <v>41447</v>
      </c>
      <c r="B2429" s="7">
        <v>347000</v>
      </c>
      <c r="C2429" s="8">
        <v>-1.6997167138810165E-2</v>
      </c>
    </row>
    <row r="2430" spans="1:3" x14ac:dyDescent="0.45">
      <c r="A2430" s="2">
        <v>41454</v>
      </c>
      <c r="B2430" s="7">
        <v>340000</v>
      </c>
      <c r="C2430" s="8">
        <v>-2.0172910662824228E-2</v>
      </c>
    </row>
    <row r="2431" spans="1:3" x14ac:dyDescent="0.45">
      <c r="A2431" s="2">
        <v>41461</v>
      </c>
      <c r="B2431" s="7">
        <v>351000</v>
      </c>
      <c r="C2431" s="8">
        <v>3.2352941176470695E-2</v>
      </c>
    </row>
    <row r="2432" spans="1:3" x14ac:dyDescent="0.45">
      <c r="A2432" s="2">
        <v>41468</v>
      </c>
      <c r="B2432" s="7">
        <v>344000</v>
      </c>
      <c r="C2432" s="8">
        <v>-1.9943019943019946E-2</v>
      </c>
    </row>
    <row r="2433" spans="1:3" x14ac:dyDescent="0.45">
      <c r="A2433" s="2">
        <v>41475</v>
      </c>
      <c r="B2433" s="7">
        <v>355000</v>
      </c>
      <c r="C2433" s="8">
        <v>3.1976744186046568E-2</v>
      </c>
    </row>
    <row r="2434" spans="1:3" x14ac:dyDescent="0.45">
      <c r="A2434" s="2">
        <v>41482</v>
      </c>
      <c r="B2434" s="7">
        <v>334000</v>
      </c>
      <c r="C2434" s="8">
        <v>-5.9154929577464821E-2</v>
      </c>
    </row>
    <row r="2435" spans="1:3" x14ac:dyDescent="0.45">
      <c r="A2435" s="2">
        <v>41489</v>
      </c>
      <c r="B2435" s="7">
        <v>339000</v>
      </c>
      <c r="C2435" s="8">
        <v>1.4970059880239583E-2</v>
      </c>
    </row>
    <row r="2436" spans="1:3" x14ac:dyDescent="0.45">
      <c r="A2436" s="2">
        <v>41496</v>
      </c>
      <c r="B2436" s="7">
        <v>327000</v>
      </c>
      <c r="C2436" s="8">
        <v>-3.539823008849563E-2</v>
      </c>
    </row>
    <row r="2437" spans="1:3" x14ac:dyDescent="0.45">
      <c r="A2437" s="2">
        <v>41503</v>
      </c>
      <c r="B2437" s="7">
        <v>340000</v>
      </c>
      <c r="C2437" s="8">
        <v>3.9755351681957096E-2</v>
      </c>
    </row>
    <row r="2438" spans="1:3" x14ac:dyDescent="0.45">
      <c r="A2438" s="2">
        <v>41510</v>
      </c>
      <c r="B2438" s="7">
        <v>336000</v>
      </c>
      <c r="C2438" s="8">
        <v>-1.1764705882352899E-2</v>
      </c>
    </row>
    <row r="2439" spans="1:3" x14ac:dyDescent="0.45">
      <c r="A2439" s="2">
        <v>41517</v>
      </c>
      <c r="B2439" s="7">
        <v>325000</v>
      </c>
      <c r="C2439" s="8">
        <v>-3.2738095238095233E-2</v>
      </c>
    </row>
    <row r="2440" spans="1:3" x14ac:dyDescent="0.45">
      <c r="A2440" s="2">
        <v>41524</v>
      </c>
      <c r="B2440" s="7">
        <v>300000</v>
      </c>
      <c r="C2440" s="8">
        <v>-7.6923076923076872E-2</v>
      </c>
    </row>
    <row r="2441" spans="1:3" x14ac:dyDescent="0.45">
      <c r="A2441" s="2">
        <v>41531</v>
      </c>
      <c r="B2441" s="7">
        <v>323000</v>
      </c>
      <c r="C2441" s="8">
        <v>7.6666666666666661E-2</v>
      </c>
    </row>
    <row r="2442" spans="1:3" x14ac:dyDescent="0.45">
      <c r="A2442" s="2">
        <v>41538</v>
      </c>
      <c r="B2442" s="7">
        <v>314000</v>
      </c>
      <c r="C2442" s="8">
        <v>-2.786377708978327E-2</v>
      </c>
    </row>
    <row r="2443" spans="1:3" x14ac:dyDescent="0.45">
      <c r="A2443" s="2">
        <v>41545</v>
      </c>
      <c r="B2443" s="7">
        <v>319000</v>
      </c>
      <c r="C2443" s="8">
        <v>1.5923566878980999E-2</v>
      </c>
    </row>
    <row r="2444" spans="1:3" x14ac:dyDescent="0.45">
      <c r="A2444" s="2">
        <v>41552</v>
      </c>
      <c r="B2444" s="7">
        <v>368000</v>
      </c>
      <c r="C2444" s="8">
        <v>0.15360501567398122</v>
      </c>
    </row>
    <row r="2445" spans="1:3" x14ac:dyDescent="0.45">
      <c r="A2445" s="2">
        <v>41559</v>
      </c>
      <c r="B2445" s="7">
        <v>368000</v>
      </c>
      <c r="C2445" s="8">
        <v>0</v>
      </c>
    </row>
    <row r="2446" spans="1:3" x14ac:dyDescent="0.45">
      <c r="A2446" s="2">
        <v>41566</v>
      </c>
      <c r="B2446" s="7">
        <v>351000</v>
      </c>
      <c r="C2446" s="8">
        <v>-4.6195652173913082E-2</v>
      </c>
    </row>
    <row r="2447" spans="1:3" x14ac:dyDescent="0.45">
      <c r="A2447" s="2">
        <v>41573</v>
      </c>
      <c r="B2447" s="7">
        <v>347000</v>
      </c>
      <c r="C2447" s="8">
        <v>-1.139601139601143E-2</v>
      </c>
    </row>
    <row r="2448" spans="1:3" x14ac:dyDescent="0.45">
      <c r="A2448" s="2">
        <v>41580</v>
      </c>
      <c r="B2448" s="7">
        <v>342000</v>
      </c>
      <c r="C2448" s="8">
        <v>-1.4409221902017322E-2</v>
      </c>
    </row>
    <row r="2449" spans="1:3" x14ac:dyDescent="0.45">
      <c r="A2449" s="2">
        <v>41587</v>
      </c>
      <c r="B2449" s="7">
        <v>340000</v>
      </c>
      <c r="C2449" s="8">
        <v>-5.8479532163743242E-3</v>
      </c>
    </row>
    <row r="2450" spans="1:3" x14ac:dyDescent="0.45">
      <c r="A2450" s="2">
        <v>41594</v>
      </c>
      <c r="B2450" s="7">
        <v>331000</v>
      </c>
      <c r="C2450" s="8">
        <v>-2.6470588235294135E-2</v>
      </c>
    </row>
    <row r="2451" spans="1:3" x14ac:dyDescent="0.45">
      <c r="A2451" s="2">
        <v>41601</v>
      </c>
      <c r="B2451" s="7">
        <v>316000</v>
      </c>
      <c r="C2451" s="8">
        <v>-4.5317220543806602E-2</v>
      </c>
    </row>
    <row r="2452" spans="1:3" x14ac:dyDescent="0.45">
      <c r="A2452" s="2">
        <v>41608</v>
      </c>
      <c r="B2452" s="7">
        <v>312000</v>
      </c>
      <c r="C2452" s="8">
        <v>-1.2658227848101222E-2</v>
      </c>
    </row>
    <row r="2453" spans="1:3" x14ac:dyDescent="0.45">
      <c r="A2453" s="2">
        <v>41615</v>
      </c>
      <c r="B2453" s="7">
        <v>354000</v>
      </c>
      <c r="C2453" s="8">
        <v>0.13461538461538458</v>
      </c>
    </row>
    <row r="2454" spans="1:3" x14ac:dyDescent="0.45">
      <c r="A2454" s="2">
        <v>41622</v>
      </c>
      <c r="B2454" s="7">
        <v>364000</v>
      </c>
      <c r="C2454" s="8">
        <v>2.8248587570621542E-2</v>
      </c>
    </row>
    <row r="2455" spans="1:3" x14ac:dyDescent="0.45">
      <c r="A2455" s="2">
        <v>41629</v>
      </c>
      <c r="B2455" s="7">
        <v>334000</v>
      </c>
      <c r="C2455" s="8">
        <v>-8.2417582417582458E-2</v>
      </c>
    </row>
    <row r="2456" spans="1:3" x14ac:dyDescent="0.45">
      <c r="A2456" s="2">
        <v>41636</v>
      </c>
      <c r="B2456" s="7">
        <v>332000</v>
      </c>
      <c r="C2456" s="8">
        <v>-5.9880239520958556E-3</v>
      </c>
    </row>
    <row r="2457" spans="1:3" x14ac:dyDescent="0.45">
      <c r="A2457" s="2">
        <v>41643</v>
      </c>
      <c r="B2457" s="7">
        <v>322000</v>
      </c>
      <c r="C2457" s="8">
        <v>-3.0120481927710885E-2</v>
      </c>
    </row>
    <row r="2458" spans="1:3" x14ac:dyDescent="0.45">
      <c r="A2458" s="2">
        <v>41650</v>
      </c>
      <c r="B2458" s="7">
        <v>318000</v>
      </c>
      <c r="C2458" s="8">
        <v>-1.2422360248447228E-2</v>
      </c>
    </row>
    <row r="2459" spans="1:3" x14ac:dyDescent="0.45">
      <c r="A2459" s="2">
        <v>41657</v>
      </c>
      <c r="B2459" s="7">
        <v>327000</v>
      </c>
      <c r="C2459" s="8">
        <v>2.8301886792452935E-2</v>
      </c>
    </row>
    <row r="2460" spans="1:3" x14ac:dyDescent="0.45">
      <c r="A2460" s="2">
        <v>41664</v>
      </c>
      <c r="B2460" s="7">
        <v>340000</v>
      </c>
      <c r="C2460" s="8">
        <v>3.9755351681957096E-2</v>
      </c>
    </row>
    <row r="2461" spans="1:3" x14ac:dyDescent="0.45">
      <c r="A2461" s="2">
        <v>41671</v>
      </c>
      <c r="B2461" s="7">
        <v>331000</v>
      </c>
      <c r="C2461" s="8">
        <v>-2.6470588235294135E-2</v>
      </c>
    </row>
    <row r="2462" spans="1:3" x14ac:dyDescent="0.45">
      <c r="A2462" s="2">
        <v>41678</v>
      </c>
      <c r="B2462" s="7">
        <v>337000</v>
      </c>
      <c r="C2462" s="8">
        <v>1.812688821752273E-2</v>
      </c>
    </row>
    <row r="2463" spans="1:3" x14ac:dyDescent="0.45">
      <c r="A2463" s="2">
        <v>41685</v>
      </c>
      <c r="B2463" s="7">
        <v>332000</v>
      </c>
      <c r="C2463" s="8">
        <v>-1.4836795252225476E-2</v>
      </c>
    </row>
    <row r="2464" spans="1:3" x14ac:dyDescent="0.45">
      <c r="A2464" s="2">
        <v>41692</v>
      </c>
      <c r="B2464" s="7">
        <v>341000</v>
      </c>
      <c r="C2464" s="8">
        <v>2.7108433734939652E-2</v>
      </c>
    </row>
    <row r="2465" spans="1:3" x14ac:dyDescent="0.45">
      <c r="A2465" s="2">
        <v>41699</v>
      </c>
      <c r="B2465" s="7">
        <v>319000</v>
      </c>
      <c r="C2465" s="8">
        <v>-6.4516129032258118E-2</v>
      </c>
    </row>
    <row r="2466" spans="1:3" x14ac:dyDescent="0.45">
      <c r="A2466" s="2">
        <v>41706</v>
      </c>
      <c r="B2466" s="7">
        <v>322000</v>
      </c>
      <c r="C2466" s="8">
        <v>9.4043887147334804E-3</v>
      </c>
    </row>
    <row r="2467" spans="1:3" x14ac:dyDescent="0.45">
      <c r="A2467" s="2">
        <v>41713</v>
      </c>
      <c r="B2467" s="7">
        <v>321000</v>
      </c>
      <c r="C2467" s="8">
        <v>-3.1055900621117516E-3</v>
      </c>
    </row>
    <row r="2468" spans="1:3" x14ac:dyDescent="0.45">
      <c r="A2468" s="2">
        <v>41720</v>
      </c>
      <c r="B2468" s="7">
        <v>313000</v>
      </c>
      <c r="C2468" s="8">
        <v>-2.4922118380062308E-2</v>
      </c>
    </row>
    <row r="2469" spans="1:3" x14ac:dyDescent="0.45">
      <c r="A2469" s="2">
        <v>41727</v>
      </c>
      <c r="B2469" s="7">
        <v>330000</v>
      </c>
      <c r="C2469" s="8">
        <v>5.4313099041533475E-2</v>
      </c>
    </row>
    <row r="2470" spans="1:3" x14ac:dyDescent="0.45">
      <c r="A2470" s="2">
        <v>41734</v>
      </c>
      <c r="B2470" s="7">
        <v>311000</v>
      </c>
      <c r="C2470" s="8">
        <v>-5.7575757575757613E-2</v>
      </c>
    </row>
    <row r="2471" spans="1:3" x14ac:dyDescent="0.45">
      <c r="A2471" s="2">
        <v>41741</v>
      </c>
      <c r="B2471" s="7">
        <v>308000</v>
      </c>
      <c r="C2471" s="8">
        <v>-9.6463022508038732E-3</v>
      </c>
    </row>
    <row r="2472" spans="1:3" x14ac:dyDescent="0.45">
      <c r="A2472" s="2">
        <v>41748</v>
      </c>
      <c r="B2472" s="7">
        <v>327000</v>
      </c>
      <c r="C2472" s="8">
        <v>6.1688311688311792E-2</v>
      </c>
    </row>
    <row r="2473" spans="1:3" x14ac:dyDescent="0.45">
      <c r="A2473" s="2">
        <v>41755</v>
      </c>
      <c r="B2473" s="7">
        <v>345000</v>
      </c>
      <c r="C2473" s="8">
        <v>5.504587155963292E-2</v>
      </c>
    </row>
    <row r="2474" spans="1:3" x14ac:dyDescent="0.45">
      <c r="A2474" s="2">
        <v>41762</v>
      </c>
      <c r="B2474" s="7">
        <v>325000</v>
      </c>
      <c r="C2474" s="8">
        <v>-5.7971014492753659E-2</v>
      </c>
    </row>
    <row r="2475" spans="1:3" x14ac:dyDescent="0.45">
      <c r="A2475" s="2">
        <v>41769</v>
      </c>
      <c r="B2475" s="7">
        <v>303000</v>
      </c>
      <c r="C2475" s="8">
        <v>-6.7692307692307718E-2</v>
      </c>
    </row>
    <row r="2476" spans="1:3" x14ac:dyDescent="0.45">
      <c r="A2476" s="2">
        <v>41776</v>
      </c>
      <c r="B2476" s="7">
        <v>324000</v>
      </c>
      <c r="C2476" s="8">
        <v>6.9306930693069368E-2</v>
      </c>
    </row>
    <row r="2477" spans="1:3" x14ac:dyDescent="0.45">
      <c r="A2477" s="2">
        <v>41783</v>
      </c>
      <c r="B2477" s="7">
        <v>305000</v>
      </c>
      <c r="C2477" s="8">
        <v>-5.8641975308642014E-2</v>
      </c>
    </row>
    <row r="2478" spans="1:3" x14ac:dyDescent="0.45">
      <c r="A2478" s="2">
        <v>41790</v>
      </c>
      <c r="B2478" s="7">
        <v>312000</v>
      </c>
      <c r="C2478" s="8">
        <v>2.2950819672131084E-2</v>
      </c>
    </row>
    <row r="2479" spans="1:3" x14ac:dyDescent="0.45">
      <c r="A2479" s="2">
        <v>41797</v>
      </c>
      <c r="B2479" s="7">
        <v>317000</v>
      </c>
      <c r="C2479" s="8">
        <v>1.6025641025640969E-2</v>
      </c>
    </row>
    <row r="2480" spans="1:3" x14ac:dyDescent="0.45">
      <c r="A2480" s="2">
        <v>41804</v>
      </c>
      <c r="B2480" s="7">
        <v>314000</v>
      </c>
      <c r="C2480" s="8">
        <v>-9.4637223974763929E-3</v>
      </c>
    </row>
    <row r="2481" spans="1:3" x14ac:dyDescent="0.45">
      <c r="A2481" s="2">
        <v>41811</v>
      </c>
      <c r="B2481" s="7">
        <v>315000</v>
      </c>
      <c r="C2481" s="8">
        <v>3.1847133757962887E-3</v>
      </c>
    </row>
    <row r="2482" spans="1:3" x14ac:dyDescent="0.45">
      <c r="A2482" s="2">
        <v>41818</v>
      </c>
      <c r="B2482" s="7">
        <v>308000</v>
      </c>
      <c r="C2482" s="8">
        <v>-2.2222222222222254E-2</v>
      </c>
    </row>
    <row r="2483" spans="1:3" x14ac:dyDescent="0.45">
      <c r="A2483" s="2">
        <v>41825</v>
      </c>
      <c r="B2483" s="7">
        <v>302000</v>
      </c>
      <c r="C2483" s="8">
        <v>-1.9480519480519431E-2</v>
      </c>
    </row>
    <row r="2484" spans="1:3" x14ac:dyDescent="0.45">
      <c r="A2484" s="2">
        <v>41832</v>
      </c>
      <c r="B2484" s="7">
        <v>308000</v>
      </c>
      <c r="C2484" s="8">
        <v>1.9867549668874274E-2</v>
      </c>
    </row>
    <row r="2485" spans="1:3" x14ac:dyDescent="0.45">
      <c r="A2485" s="2">
        <v>41839</v>
      </c>
      <c r="B2485" s="7">
        <v>294000</v>
      </c>
      <c r="C2485" s="8">
        <v>-4.5454545454545414E-2</v>
      </c>
    </row>
    <row r="2486" spans="1:3" x14ac:dyDescent="0.45">
      <c r="A2486" s="2">
        <v>41846</v>
      </c>
      <c r="B2486" s="7">
        <v>303000</v>
      </c>
      <c r="C2486" s="8">
        <v>3.0612244897959107E-2</v>
      </c>
    </row>
    <row r="2487" spans="1:3" x14ac:dyDescent="0.45">
      <c r="A2487" s="2">
        <v>41853</v>
      </c>
      <c r="B2487" s="7">
        <v>295000</v>
      </c>
      <c r="C2487" s="8">
        <v>-2.6402640264026389E-2</v>
      </c>
    </row>
    <row r="2488" spans="1:3" x14ac:dyDescent="0.45">
      <c r="A2488" s="2">
        <v>41860</v>
      </c>
      <c r="B2488" s="7">
        <v>309000</v>
      </c>
      <c r="C2488" s="8">
        <v>4.7457627118643986E-2</v>
      </c>
    </row>
    <row r="2489" spans="1:3" x14ac:dyDescent="0.45">
      <c r="A2489" s="2">
        <v>41867</v>
      </c>
      <c r="B2489" s="7">
        <v>303000</v>
      </c>
      <c r="C2489" s="8">
        <v>-1.9417475728155331E-2</v>
      </c>
    </row>
    <row r="2490" spans="1:3" x14ac:dyDescent="0.45">
      <c r="A2490" s="2">
        <v>41874</v>
      </c>
      <c r="B2490" s="7">
        <v>300000</v>
      </c>
      <c r="C2490" s="8">
        <v>-9.9009900990099098E-3</v>
      </c>
    </row>
    <row r="2491" spans="1:3" x14ac:dyDescent="0.45">
      <c r="A2491" s="2">
        <v>41881</v>
      </c>
      <c r="B2491" s="7">
        <v>303000</v>
      </c>
      <c r="C2491" s="8">
        <v>1.0000000000000009E-2</v>
      </c>
    </row>
    <row r="2492" spans="1:3" x14ac:dyDescent="0.45">
      <c r="A2492" s="2">
        <v>41888</v>
      </c>
      <c r="B2492" s="7">
        <v>307000</v>
      </c>
      <c r="C2492" s="8">
        <v>1.3201320132013139E-2</v>
      </c>
    </row>
    <row r="2493" spans="1:3" x14ac:dyDescent="0.45">
      <c r="A2493" s="2">
        <v>41895</v>
      </c>
      <c r="B2493" s="7">
        <v>288000</v>
      </c>
      <c r="C2493" s="8">
        <v>-6.1889250814332275E-2</v>
      </c>
    </row>
    <row r="2494" spans="1:3" x14ac:dyDescent="0.45">
      <c r="A2494" s="2">
        <v>41902</v>
      </c>
      <c r="B2494" s="7">
        <v>295000</v>
      </c>
      <c r="C2494" s="8">
        <v>2.430555555555558E-2</v>
      </c>
    </row>
    <row r="2495" spans="1:3" x14ac:dyDescent="0.45">
      <c r="A2495" s="2">
        <v>41909</v>
      </c>
      <c r="B2495" s="7">
        <v>290000</v>
      </c>
      <c r="C2495" s="8">
        <v>-1.6949152542372836E-2</v>
      </c>
    </row>
    <row r="2496" spans="1:3" x14ac:dyDescent="0.45">
      <c r="A2496" s="2">
        <v>41916</v>
      </c>
      <c r="B2496" s="7">
        <v>293000</v>
      </c>
      <c r="C2496" s="8">
        <v>1.0344827586206806E-2</v>
      </c>
    </row>
    <row r="2497" spans="1:3" x14ac:dyDescent="0.45">
      <c r="A2497" s="2">
        <v>41923</v>
      </c>
      <c r="B2497" s="7">
        <v>281000</v>
      </c>
      <c r="C2497" s="8">
        <v>-4.095563139931746E-2</v>
      </c>
    </row>
    <row r="2498" spans="1:3" x14ac:dyDescent="0.45">
      <c r="A2498" s="2">
        <v>41930</v>
      </c>
      <c r="B2498" s="7">
        <v>290000</v>
      </c>
      <c r="C2498" s="8">
        <v>3.2028469750889688E-2</v>
      </c>
    </row>
    <row r="2499" spans="1:3" x14ac:dyDescent="0.45">
      <c r="A2499" s="2">
        <v>41937</v>
      </c>
      <c r="B2499" s="7">
        <v>291000</v>
      </c>
      <c r="C2499" s="8">
        <v>3.4482758620688614E-3</v>
      </c>
    </row>
    <row r="2500" spans="1:3" x14ac:dyDescent="0.45">
      <c r="A2500" s="2">
        <v>41944</v>
      </c>
      <c r="B2500" s="7">
        <v>280000</v>
      </c>
      <c r="C2500" s="8">
        <v>-3.7800687285223344E-2</v>
      </c>
    </row>
    <row r="2501" spans="1:3" x14ac:dyDescent="0.45">
      <c r="A2501" s="2">
        <v>41951</v>
      </c>
      <c r="B2501" s="7">
        <v>291000</v>
      </c>
      <c r="C2501" s="8">
        <v>3.9285714285714368E-2</v>
      </c>
    </row>
    <row r="2502" spans="1:3" x14ac:dyDescent="0.45">
      <c r="A2502" s="2">
        <v>41958</v>
      </c>
      <c r="B2502" s="7">
        <v>293000</v>
      </c>
      <c r="C2502" s="8">
        <v>6.8728522336769515E-3</v>
      </c>
    </row>
    <row r="2503" spans="1:3" x14ac:dyDescent="0.45">
      <c r="A2503" s="2">
        <v>41965</v>
      </c>
      <c r="B2503" s="7">
        <v>303000</v>
      </c>
      <c r="C2503" s="8">
        <v>3.4129692832764569E-2</v>
      </c>
    </row>
    <row r="2504" spans="1:3" x14ac:dyDescent="0.45">
      <c r="A2504" s="2">
        <v>41972</v>
      </c>
      <c r="B2504" s="7">
        <v>291000</v>
      </c>
      <c r="C2504" s="8">
        <v>-3.9603960396039639E-2</v>
      </c>
    </row>
    <row r="2505" spans="1:3" x14ac:dyDescent="0.45">
      <c r="A2505" s="2">
        <v>41979</v>
      </c>
      <c r="B2505" s="7">
        <v>291000</v>
      </c>
      <c r="C2505" s="8">
        <v>0</v>
      </c>
    </row>
    <row r="2506" spans="1:3" x14ac:dyDescent="0.45">
      <c r="A2506" s="2">
        <v>41986</v>
      </c>
      <c r="B2506" s="7">
        <v>286000</v>
      </c>
      <c r="C2506" s="8">
        <v>-1.718213058419249E-2</v>
      </c>
    </row>
    <row r="2507" spans="1:3" x14ac:dyDescent="0.45">
      <c r="A2507" s="2">
        <v>41993</v>
      </c>
      <c r="B2507" s="7">
        <v>276000</v>
      </c>
      <c r="C2507" s="8">
        <v>-3.4965034965035002E-2</v>
      </c>
    </row>
    <row r="2508" spans="1:3" x14ac:dyDescent="0.45">
      <c r="A2508" s="2">
        <v>42000</v>
      </c>
      <c r="B2508" s="7">
        <v>285000</v>
      </c>
      <c r="C2508" s="8">
        <v>3.2608695652173836E-2</v>
      </c>
    </row>
    <row r="2509" spans="1:3" x14ac:dyDescent="0.45">
      <c r="A2509" s="2">
        <v>42007</v>
      </c>
      <c r="B2509" s="7">
        <v>294000</v>
      </c>
      <c r="C2509" s="8">
        <v>3.1578947368421151E-2</v>
      </c>
    </row>
    <row r="2510" spans="1:3" x14ac:dyDescent="0.45">
      <c r="A2510" s="2">
        <v>42014</v>
      </c>
      <c r="B2510" s="7">
        <v>304000</v>
      </c>
      <c r="C2510" s="8">
        <v>3.4013605442176909E-2</v>
      </c>
    </row>
    <row r="2511" spans="1:3" x14ac:dyDescent="0.45">
      <c r="A2511" s="2">
        <v>42021</v>
      </c>
      <c r="B2511" s="7">
        <v>298000</v>
      </c>
      <c r="C2511" s="8">
        <v>-1.9736842105263164E-2</v>
      </c>
    </row>
    <row r="2512" spans="1:3" x14ac:dyDescent="0.45">
      <c r="A2512" s="2">
        <v>42028</v>
      </c>
      <c r="B2512" s="7">
        <v>261000</v>
      </c>
      <c r="C2512" s="8">
        <v>-0.12416107382550334</v>
      </c>
    </row>
    <row r="2513" spans="1:3" x14ac:dyDescent="0.45">
      <c r="A2513" s="2">
        <v>42035</v>
      </c>
      <c r="B2513" s="7">
        <v>281000</v>
      </c>
      <c r="C2513" s="8">
        <v>7.6628352490421436E-2</v>
      </c>
    </row>
    <row r="2514" spans="1:3" x14ac:dyDescent="0.45">
      <c r="A2514" s="2">
        <v>42042</v>
      </c>
      <c r="B2514" s="7">
        <v>298000</v>
      </c>
      <c r="C2514" s="8">
        <v>6.0498220640569311E-2</v>
      </c>
    </row>
    <row r="2515" spans="1:3" x14ac:dyDescent="0.45">
      <c r="A2515" s="2">
        <v>42049</v>
      </c>
      <c r="B2515" s="7">
        <v>285000</v>
      </c>
      <c r="C2515" s="8">
        <v>-4.3624161073825496E-2</v>
      </c>
    </row>
    <row r="2516" spans="1:3" x14ac:dyDescent="0.45">
      <c r="A2516" s="2">
        <v>42056</v>
      </c>
      <c r="B2516" s="7">
        <v>305000</v>
      </c>
      <c r="C2516" s="8">
        <v>7.0175438596491224E-2</v>
      </c>
    </row>
    <row r="2517" spans="1:3" x14ac:dyDescent="0.45">
      <c r="A2517" s="2">
        <v>42063</v>
      </c>
      <c r="B2517" s="7">
        <v>317000</v>
      </c>
      <c r="C2517" s="8">
        <v>3.9344262295081922E-2</v>
      </c>
    </row>
    <row r="2518" spans="1:3" x14ac:dyDescent="0.45">
      <c r="A2518" s="2">
        <v>42070</v>
      </c>
      <c r="B2518" s="7">
        <v>293000</v>
      </c>
      <c r="C2518" s="8">
        <v>-7.5709779179810699E-2</v>
      </c>
    </row>
    <row r="2519" spans="1:3" x14ac:dyDescent="0.45">
      <c r="A2519" s="2">
        <v>42077</v>
      </c>
      <c r="B2519" s="7">
        <v>290000</v>
      </c>
      <c r="C2519" s="8">
        <v>-1.0238907849829393E-2</v>
      </c>
    </row>
    <row r="2520" spans="1:3" x14ac:dyDescent="0.45">
      <c r="A2520" s="2">
        <v>42084</v>
      </c>
      <c r="B2520" s="7">
        <v>284000</v>
      </c>
      <c r="C2520" s="8">
        <v>-2.0689655172413834E-2</v>
      </c>
    </row>
    <row r="2521" spans="1:3" x14ac:dyDescent="0.45">
      <c r="A2521" s="2">
        <v>42091</v>
      </c>
      <c r="B2521" s="7">
        <v>269000</v>
      </c>
      <c r="C2521" s="8">
        <v>-5.2816901408450745E-2</v>
      </c>
    </row>
    <row r="2522" spans="1:3" x14ac:dyDescent="0.45">
      <c r="A2522" s="2">
        <v>42098</v>
      </c>
      <c r="B2522" s="7">
        <v>282000</v>
      </c>
      <c r="C2522" s="8">
        <v>4.8327137546468446E-2</v>
      </c>
    </row>
    <row r="2523" spans="1:3" x14ac:dyDescent="0.45">
      <c r="A2523" s="2">
        <v>42105</v>
      </c>
      <c r="B2523" s="7">
        <v>298000</v>
      </c>
      <c r="C2523" s="8">
        <v>5.6737588652482351E-2</v>
      </c>
    </row>
    <row r="2524" spans="1:3" x14ac:dyDescent="0.45">
      <c r="A2524" s="2">
        <v>42112</v>
      </c>
      <c r="B2524" s="7">
        <v>295000</v>
      </c>
      <c r="C2524" s="8">
        <v>-1.0067114093959773E-2</v>
      </c>
    </row>
    <row r="2525" spans="1:3" x14ac:dyDescent="0.45">
      <c r="A2525" s="2">
        <v>42119</v>
      </c>
      <c r="B2525" s="7">
        <v>269000</v>
      </c>
      <c r="C2525" s="8">
        <v>-8.8135593220339037E-2</v>
      </c>
    </row>
    <row r="2526" spans="1:3" x14ac:dyDescent="0.45">
      <c r="A2526" s="2">
        <v>42126</v>
      </c>
      <c r="B2526" s="7">
        <v>267000</v>
      </c>
      <c r="C2526" s="8">
        <v>-7.4349442379182396E-3</v>
      </c>
    </row>
    <row r="2527" spans="1:3" x14ac:dyDescent="0.45">
      <c r="A2527" s="2">
        <v>42133</v>
      </c>
      <c r="B2527" s="7">
        <v>271000</v>
      </c>
      <c r="C2527" s="8">
        <v>1.4981273408239737E-2</v>
      </c>
    </row>
    <row r="2528" spans="1:3" x14ac:dyDescent="0.45">
      <c r="A2528" s="2">
        <v>42140</v>
      </c>
      <c r="B2528" s="7">
        <v>276000</v>
      </c>
      <c r="C2528" s="8">
        <v>1.8450184501844991E-2</v>
      </c>
    </row>
    <row r="2529" spans="1:3" x14ac:dyDescent="0.45">
      <c r="A2529" s="2">
        <v>42147</v>
      </c>
      <c r="B2529" s="7">
        <v>281000</v>
      </c>
      <c r="C2529" s="8">
        <v>1.8115942028985588E-2</v>
      </c>
    </row>
    <row r="2530" spans="1:3" x14ac:dyDescent="0.45">
      <c r="A2530" s="2">
        <v>42154</v>
      </c>
      <c r="B2530" s="7">
        <v>275000</v>
      </c>
      <c r="C2530" s="8">
        <v>-2.1352313167259829E-2</v>
      </c>
    </row>
    <row r="2531" spans="1:3" x14ac:dyDescent="0.45">
      <c r="A2531" s="2">
        <v>42161</v>
      </c>
      <c r="B2531" s="7">
        <v>278000</v>
      </c>
      <c r="C2531" s="8">
        <v>1.0909090909090979E-2</v>
      </c>
    </row>
    <row r="2532" spans="1:3" x14ac:dyDescent="0.45">
      <c r="A2532" s="2">
        <v>42168</v>
      </c>
      <c r="B2532" s="7">
        <v>269000</v>
      </c>
      <c r="C2532" s="8">
        <v>-3.2374100719424481E-2</v>
      </c>
    </row>
    <row r="2533" spans="1:3" x14ac:dyDescent="0.45">
      <c r="A2533" s="2">
        <v>42175</v>
      </c>
      <c r="B2533" s="7">
        <v>273000</v>
      </c>
      <c r="C2533" s="8">
        <v>1.4869888475836479E-2</v>
      </c>
    </row>
    <row r="2534" spans="1:3" x14ac:dyDescent="0.45">
      <c r="A2534" s="2">
        <v>42182</v>
      </c>
      <c r="B2534" s="7">
        <v>275000</v>
      </c>
      <c r="C2534" s="8">
        <v>7.3260073260073E-3</v>
      </c>
    </row>
    <row r="2535" spans="1:3" x14ac:dyDescent="0.45">
      <c r="A2535" s="2">
        <v>42189</v>
      </c>
      <c r="B2535" s="7">
        <v>292000</v>
      </c>
      <c r="C2535" s="8">
        <v>6.1818181818181772E-2</v>
      </c>
    </row>
    <row r="2536" spans="1:3" x14ac:dyDescent="0.45">
      <c r="A2536" s="2">
        <v>42196</v>
      </c>
      <c r="B2536" s="7">
        <v>285000</v>
      </c>
      <c r="C2536" s="8">
        <v>-2.3972602739726012E-2</v>
      </c>
    </row>
    <row r="2537" spans="1:3" x14ac:dyDescent="0.45">
      <c r="A2537" s="2">
        <v>42203</v>
      </c>
      <c r="B2537" s="7">
        <v>265000</v>
      </c>
      <c r="C2537" s="8">
        <v>-7.0175438596491224E-2</v>
      </c>
    </row>
    <row r="2538" spans="1:3" x14ac:dyDescent="0.45">
      <c r="A2538" s="2">
        <v>42210</v>
      </c>
      <c r="B2538" s="7">
        <v>269000</v>
      </c>
      <c r="C2538" s="8">
        <v>1.5094339622641506E-2</v>
      </c>
    </row>
    <row r="2539" spans="1:3" x14ac:dyDescent="0.45">
      <c r="A2539" s="2">
        <v>42217</v>
      </c>
      <c r="B2539" s="7">
        <v>270000</v>
      </c>
      <c r="C2539" s="8">
        <v>3.7174721189590088E-3</v>
      </c>
    </row>
    <row r="2540" spans="1:3" x14ac:dyDescent="0.45">
      <c r="A2540" s="2">
        <v>42224</v>
      </c>
      <c r="B2540" s="7">
        <v>274000</v>
      </c>
      <c r="C2540" s="8">
        <v>1.4814814814814836E-2</v>
      </c>
    </row>
    <row r="2541" spans="1:3" x14ac:dyDescent="0.45">
      <c r="A2541" s="2">
        <v>42231</v>
      </c>
      <c r="B2541" s="7">
        <v>279000</v>
      </c>
      <c r="C2541" s="8">
        <v>1.8248175182481674E-2</v>
      </c>
    </row>
    <row r="2542" spans="1:3" x14ac:dyDescent="0.45">
      <c r="A2542" s="2">
        <v>42238</v>
      </c>
      <c r="B2542" s="7">
        <v>274000</v>
      </c>
      <c r="C2542" s="8">
        <v>-1.7921146953404965E-2</v>
      </c>
    </row>
    <row r="2543" spans="1:3" x14ac:dyDescent="0.45">
      <c r="A2543" s="2">
        <v>42245</v>
      </c>
      <c r="B2543" s="7">
        <v>279000</v>
      </c>
      <c r="C2543" s="8">
        <v>1.8248175182481674E-2</v>
      </c>
    </row>
    <row r="2544" spans="1:3" x14ac:dyDescent="0.45">
      <c r="A2544" s="2">
        <v>42252</v>
      </c>
      <c r="B2544" s="7">
        <v>273000</v>
      </c>
      <c r="C2544" s="8">
        <v>-2.1505376344086002E-2</v>
      </c>
    </row>
    <row r="2545" spans="1:3" x14ac:dyDescent="0.45">
      <c r="A2545" s="2">
        <v>42259</v>
      </c>
      <c r="B2545" s="7">
        <v>264000</v>
      </c>
      <c r="C2545" s="8">
        <v>-3.2967032967032961E-2</v>
      </c>
    </row>
    <row r="2546" spans="1:3" x14ac:dyDescent="0.45">
      <c r="A2546" s="2">
        <v>42266</v>
      </c>
      <c r="B2546" s="7">
        <v>269000</v>
      </c>
      <c r="C2546" s="8">
        <v>1.8939393939394034E-2</v>
      </c>
    </row>
    <row r="2547" spans="1:3" x14ac:dyDescent="0.45">
      <c r="A2547" s="2">
        <v>42273</v>
      </c>
      <c r="B2547" s="7">
        <v>272000</v>
      </c>
      <c r="C2547" s="8">
        <v>1.1152416356877248E-2</v>
      </c>
    </row>
    <row r="2548" spans="1:3" x14ac:dyDescent="0.45">
      <c r="A2548" s="2">
        <v>42280</v>
      </c>
      <c r="B2548" s="7">
        <v>267000</v>
      </c>
      <c r="C2548" s="8">
        <v>-1.8382352941176516E-2</v>
      </c>
    </row>
    <row r="2549" spans="1:3" x14ac:dyDescent="0.45">
      <c r="A2549" s="2">
        <v>42287</v>
      </c>
      <c r="B2549" s="7">
        <v>265000</v>
      </c>
      <c r="C2549" s="8">
        <v>-7.4906367041198685E-3</v>
      </c>
    </row>
    <row r="2550" spans="1:3" x14ac:dyDescent="0.45">
      <c r="A2550" s="2">
        <v>42294</v>
      </c>
      <c r="B2550" s="7">
        <v>264000</v>
      </c>
      <c r="C2550" s="8">
        <v>-3.7735849056603765E-3</v>
      </c>
    </row>
    <row r="2551" spans="1:3" x14ac:dyDescent="0.45">
      <c r="A2551" s="2">
        <v>42301</v>
      </c>
      <c r="B2551" s="7">
        <v>264000</v>
      </c>
      <c r="C2551" s="8">
        <v>0</v>
      </c>
    </row>
    <row r="2552" spans="1:3" x14ac:dyDescent="0.45">
      <c r="A2552" s="2">
        <v>42308</v>
      </c>
      <c r="B2552" s="7">
        <v>275000</v>
      </c>
      <c r="C2552" s="8">
        <v>4.1666666666666741E-2</v>
      </c>
    </row>
    <row r="2553" spans="1:3" x14ac:dyDescent="0.45">
      <c r="A2553" s="2">
        <v>42315</v>
      </c>
      <c r="B2553" s="7">
        <v>276000</v>
      </c>
      <c r="C2553" s="8">
        <v>3.6363636363636598E-3</v>
      </c>
    </row>
    <row r="2554" spans="1:3" x14ac:dyDescent="0.45">
      <c r="A2554" s="2">
        <v>42322</v>
      </c>
      <c r="B2554" s="7">
        <v>272000</v>
      </c>
      <c r="C2554" s="8">
        <v>-1.4492753623188359E-2</v>
      </c>
    </row>
    <row r="2555" spans="1:3" x14ac:dyDescent="0.45">
      <c r="A2555" s="2">
        <v>42329</v>
      </c>
      <c r="B2555" s="7">
        <v>261000</v>
      </c>
      <c r="C2555" s="8">
        <v>-4.0441176470588203E-2</v>
      </c>
    </row>
    <row r="2556" spans="1:3" x14ac:dyDescent="0.45">
      <c r="A2556" s="2">
        <v>42336</v>
      </c>
      <c r="B2556" s="7">
        <v>265000</v>
      </c>
      <c r="C2556" s="8">
        <v>1.5325670498084198E-2</v>
      </c>
    </row>
    <row r="2557" spans="1:3" x14ac:dyDescent="0.45">
      <c r="A2557" s="2">
        <v>42343</v>
      </c>
      <c r="B2557" s="7">
        <v>280000</v>
      </c>
      <c r="C2557" s="8">
        <v>5.6603773584905648E-2</v>
      </c>
    </row>
    <row r="2558" spans="1:3" x14ac:dyDescent="0.45">
      <c r="A2558" s="2">
        <v>42350</v>
      </c>
      <c r="B2558" s="7">
        <v>268000</v>
      </c>
      <c r="C2558" s="8">
        <v>-4.2857142857142816E-2</v>
      </c>
    </row>
    <row r="2559" spans="1:3" x14ac:dyDescent="0.45">
      <c r="A2559" s="2">
        <v>42357</v>
      </c>
      <c r="B2559" s="7">
        <v>260000</v>
      </c>
      <c r="C2559" s="8">
        <v>-2.9850746268656692E-2</v>
      </c>
    </row>
    <row r="2560" spans="1:3" x14ac:dyDescent="0.45">
      <c r="A2560" s="2">
        <v>42364</v>
      </c>
      <c r="B2560" s="7">
        <v>276000</v>
      </c>
      <c r="C2560" s="8">
        <v>6.1538461538461542E-2</v>
      </c>
    </row>
    <row r="2561" spans="1:3" x14ac:dyDescent="0.45">
      <c r="A2561" s="2">
        <v>42371</v>
      </c>
      <c r="B2561" s="7">
        <v>273000</v>
      </c>
      <c r="C2561" s="8">
        <v>-1.0869565217391353E-2</v>
      </c>
    </row>
    <row r="2562" spans="1:3" x14ac:dyDescent="0.45">
      <c r="A2562" s="2">
        <v>42378</v>
      </c>
      <c r="B2562" s="7">
        <v>284000</v>
      </c>
      <c r="C2562" s="8">
        <v>4.0293040293040372E-2</v>
      </c>
    </row>
    <row r="2563" spans="1:3" x14ac:dyDescent="0.45">
      <c r="A2563" s="2">
        <v>42385</v>
      </c>
      <c r="B2563" s="7">
        <v>290000</v>
      </c>
      <c r="C2563" s="8">
        <v>2.1126760563380254E-2</v>
      </c>
    </row>
    <row r="2564" spans="1:3" x14ac:dyDescent="0.45">
      <c r="A2564" s="2">
        <v>42392</v>
      </c>
      <c r="B2564" s="7">
        <v>269000</v>
      </c>
      <c r="C2564" s="8">
        <v>-7.241379310344831E-2</v>
      </c>
    </row>
    <row r="2565" spans="1:3" x14ac:dyDescent="0.45">
      <c r="A2565" s="2">
        <v>42399</v>
      </c>
      <c r="B2565" s="7">
        <v>282000</v>
      </c>
      <c r="C2565" s="8">
        <v>4.8327137546468446E-2</v>
      </c>
    </row>
    <row r="2566" spans="1:3" x14ac:dyDescent="0.45">
      <c r="A2566" s="2">
        <v>42406</v>
      </c>
      <c r="B2566" s="7">
        <v>266000</v>
      </c>
      <c r="C2566" s="8">
        <v>-5.673758865248224E-2</v>
      </c>
    </row>
    <row r="2567" spans="1:3" x14ac:dyDescent="0.45">
      <c r="A2567" s="2">
        <v>42413</v>
      </c>
      <c r="B2567" s="7">
        <v>262000</v>
      </c>
      <c r="C2567" s="8">
        <v>-1.5037593984962405E-2</v>
      </c>
    </row>
    <row r="2568" spans="1:3" x14ac:dyDescent="0.45">
      <c r="A2568" s="2">
        <v>42420</v>
      </c>
      <c r="B2568" s="7">
        <v>270000</v>
      </c>
      <c r="C2568" s="8">
        <v>3.0534351145038219E-2</v>
      </c>
    </row>
    <row r="2569" spans="1:3" x14ac:dyDescent="0.45">
      <c r="A2569" s="2">
        <v>42427</v>
      </c>
      <c r="B2569" s="7">
        <v>269000</v>
      </c>
      <c r="C2569" s="8">
        <v>-3.7037037037036535E-3</v>
      </c>
    </row>
    <row r="2570" spans="1:3" x14ac:dyDescent="0.45">
      <c r="A2570" s="2">
        <v>42434</v>
      </c>
      <c r="B2570" s="7">
        <v>255000</v>
      </c>
      <c r="C2570" s="8">
        <v>-5.2044609665427455E-2</v>
      </c>
    </row>
    <row r="2571" spans="1:3" x14ac:dyDescent="0.45">
      <c r="A2571" s="2">
        <v>42441</v>
      </c>
      <c r="B2571" s="7">
        <v>263000</v>
      </c>
      <c r="C2571" s="8">
        <v>3.1372549019607954E-2</v>
      </c>
    </row>
    <row r="2572" spans="1:3" x14ac:dyDescent="0.45">
      <c r="A2572" s="2">
        <v>42448</v>
      </c>
      <c r="B2572" s="7">
        <v>264000</v>
      </c>
      <c r="C2572" s="8">
        <v>3.8022813688212143E-3</v>
      </c>
    </row>
    <row r="2573" spans="1:3" x14ac:dyDescent="0.45">
      <c r="A2573" s="2">
        <v>42455</v>
      </c>
      <c r="B2573" s="7">
        <v>271000</v>
      </c>
      <c r="C2573" s="8">
        <v>2.6515151515151603E-2</v>
      </c>
    </row>
    <row r="2574" spans="1:3" x14ac:dyDescent="0.45">
      <c r="A2574" s="2">
        <v>42462</v>
      </c>
      <c r="B2574" s="7">
        <v>273000</v>
      </c>
      <c r="C2574" s="8">
        <v>7.3800738007379074E-3</v>
      </c>
    </row>
    <row r="2575" spans="1:3" x14ac:dyDescent="0.45">
      <c r="A2575" s="2">
        <v>42469</v>
      </c>
      <c r="B2575" s="7">
        <v>263000</v>
      </c>
      <c r="C2575" s="8">
        <v>-3.6630036630036611E-2</v>
      </c>
    </row>
    <row r="2576" spans="1:3" x14ac:dyDescent="0.45">
      <c r="A2576" s="2">
        <v>42476</v>
      </c>
      <c r="B2576" s="7">
        <v>257000</v>
      </c>
      <c r="C2576" s="8">
        <v>-2.281368821292773E-2</v>
      </c>
    </row>
    <row r="2577" spans="1:3" x14ac:dyDescent="0.45">
      <c r="A2577" s="2">
        <v>42483</v>
      </c>
      <c r="B2577" s="7">
        <v>259000</v>
      </c>
      <c r="C2577" s="8">
        <v>7.7821011673151474E-3</v>
      </c>
    </row>
    <row r="2578" spans="1:3" x14ac:dyDescent="0.45">
      <c r="A2578" s="2">
        <v>42490</v>
      </c>
      <c r="B2578" s="7">
        <v>278000</v>
      </c>
      <c r="C2578" s="8">
        <v>7.3359073359073435E-2</v>
      </c>
    </row>
    <row r="2579" spans="1:3" x14ac:dyDescent="0.45">
      <c r="A2579" s="2">
        <v>42497</v>
      </c>
      <c r="B2579" s="7">
        <v>289000</v>
      </c>
      <c r="C2579" s="8">
        <v>3.9568345323740983E-2</v>
      </c>
    </row>
    <row r="2580" spans="1:3" x14ac:dyDescent="0.45">
      <c r="A2580" s="2">
        <v>42504</v>
      </c>
      <c r="B2580" s="7">
        <v>279000</v>
      </c>
      <c r="C2580" s="8">
        <v>-3.4602076124567449E-2</v>
      </c>
    </row>
    <row r="2581" spans="1:3" x14ac:dyDescent="0.45">
      <c r="A2581" s="2">
        <v>42511</v>
      </c>
      <c r="B2581" s="7">
        <v>267000</v>
      </c>
      <c r="C2581" s="8">
        <v>-4.3010752688172005E-2</v>
      </c>
    </row>
    <row r="2582" spans="1:3" x14ac:dyDescent="0.45">
      <c r="A2582" s="2">
        <v>42518</v>
      </c>
      <c r="B2582" s="7">
        <v>263000</v>
      </c>
      <c r="C2582" s="8">
        <v>-1.4981273408239737E-2</v>
      </c>
    </row>
    <row r="2583" spans="1:3" x14ac:dyDescent="0.45">
      <c r="A2583" s="2">
        <v>42525</v>
      </c>
      <c r="B2583" s="7">
        <v>265000</v>
      </c>
      <c r="C2583" s="8">
        <v>7.6045627376426506E-3</v>
      </c>
    </row>
    <row r="2584" spans="1:3" x14ac:dyDescent="0.45">
      <c r="A2584" s="2">
        <v>42532</v>
      </c>
      <c r="B2584" s="7">
        <v>273000</v>
      </c>
      <c r="C2584" s="8">
        <v>3.0188679245283012E-2</v>
      </c>
    </row>
    <row r="2585" spans="1:3" x14ac:dyDescent="0.45">
      <c r="A2585" s="2">
        <v>42539</v>
      </c>
      <c r="B2585" s="7">
        <v>261000</v>
      </c>
      <c r="C2585" s="8">
        <v>-4.3956043956043911E-2</v>
      </c>
    </row>
    <row r="2586" spans="1:3" x14ac:dyDescent="0.45">
      <c r="A2586" s="2">
        <v>42546</v>
      </c>
      <c r="B2586" s="7">
        <v>262000</v>
      </c>
      <c r="C2586" s="8">
        <v>3.8314176245211051E-3</v>
      </c>
    </row>
    <row r="2587" spans="1:3" x14ac:dyDescent="0.45">
      <c r="A2587" s="2">
        <v>42553</v>
      </c>
      <c r="B2587" s="7">
        <v>255000</v>
      </c>
      <c r="C2587" s="8">
        <v>-2.6717557251908386E-2</v>
      </c>
    </row>
    <row r="2588" spans="1:3" x14ac:dyDescent="0.45">
      <c r="A2588" s="2">
        <v>42560</v>
      </c>
      <c r="B2588" s="7">
        <v>252000</v>
      </c>
      <c r="C2588" s="8">
        <v>-1.1764705882352899E-2</v>
      </c>
    </row>
    <row r="2589" spans="1:3" x14ac:dyDescent="0.45">
      <c r="A2589" s="2">
        <v>42567</v>
      </c>
      <c r="B2589" s="7">
        <v>260000</v>
      </c>
      <c r="C2589" s="8">
        <v>3.1746031746031855E-2</v>
      </c>
    </row>
    <row r="2590" spans="1:3" x14ac:dyDescent="0.45">
      <c r="A2590" s="2">
        <v>42574</v>
      </c>
      <c r="B2590" s="7">
        <v>264000</v>
      </c>
      <c r="C2590" s="8">
        <v>1.538461538461533E-2</v>
      </c>
    </row>
    <row r="2591" spans="1:3" x14ac:dyDescent="0.45">
      <c r="A2591" s="2">
        <v>42581</v>
      </c>
      <c r="B2591" s="7">
        <v>266000</v>
      </c>
      <c r="C2591" s="8">
        <v>7.575757575757569E-3</v>
      </c>
    </row>
    <row r="2592" spans="1:3" x14ac:dyDescent="0.45">
      <c r="A2592" s="2">
        <v>42588</v>
      </c>
      <c r="B2592" s="7">
        <v>265000</v>
      </c>
      <c r="C2592" s="8">
        <v>-3.7593984962406291E-3</v>
      </c>
    </row>
    <row r="2593" spans="1:3" x14ac:dyDescent="0.45">
      <c r="A2593" s="2">
        <v>42595</v>
      </c>
      <c r="B2593" s="7">
        <v>264000</v>
      </c>
      <c r="C2593" s="8">
        <v>-3.7735849056603765E-3</v>
      </c>
    </row>
    <row r="2594" spans="1:3" x14ac:dyDescent="0.45">
      <c r="A2594" s="2">
        <v>42602</v>
      </c>
      <c r="B2594" s="7">
        <v>264000</v>
      </c>
      <c r="C2594" s="8">
        <v>0</v>
      </c>
    </row>
    <row r="2595" spans="1:3" x14ac:dyDescent="0.45">
      <c r="A2595" s="2">
        <v>42609</v>
      </c>
      <c r="B2595" s="7">
        <v>261000</v>
      </c>
      <c r="C2595" s="8">
        <v>-1.1363636363636354E-2</v>
      </c>
    </row>
    <row r="2596" spans="1:3" x14ac:dyDescent="0.45">
      <c r="A2596" s="2">
        <v>42616</v>
      </c>
      <c r="B2596" s="7">
        <v>257000</v>
      </c>
      <c r="C2596" s="8">
        <v>-1.5325670498084309E-2</v>
      </c>
    </row>
    <row r="2597" spans="1:3" x14ac:dyDescent="0.45">
      <c r="A2597" s="2">
        <v>42623</v>
      </c>
      <c r="B2597" s="7">
        <v>252000</v>
      </c>
      <c r="C2597" s="8">
        <v>-1.945525291828798E-2</v>
      </c>
    </row>
    <row r="2598" spans="1:3" x14ac:dyDescent="0.45">
      <c r="A2598" s="2">
        <v>42630</v>
      </c>
      <c r="B2598" s="7">
        <v>250000</v>
      </c>
      <c r="C2598" s="8">
        <v>-7.9365079365079083E-3</v>
      </c>
    </row>
    <row r="2599" spans="1:3" x14ac:dyDescent="0.45">
      <c r="A2599" s="2">
        <v>42637</v>
      </c>
      <c r="B2599" s="7">
        <v>247000</v>
      </c>
      <c r="C2599" s="8">
        <v>-1.2000000000000011E-2</v>
      </c>
    </row>
    <row r="2600" spans="1:3" x14ac:dyDescent="0.45">
      <c r="A2600" s="2">
        <v>42644</v>
      </c>
      <c r="B2600" s="7">
        <v>245000</v>
      </c>
      <c r="C2600" s="8">
        <v>-8.0971659919027994E-3</v>
      </c>
    </row>
    <row r="2601" spans="1:3" x14ac:dyDescent="0.45">
      <c r="A2601" s="2">
        <v>42651</v>
      </c>
      <c r="B2601" s="7">
        <v>250000</v>
      </c>
      <c r="C2601" s="8">
        <v>2.0408163265306145E-2</v>
      </c>
    </row>
    <row r="2602" spans="1:3" x14ac:dyDescent="0.45">
      <c r="A2602" s="2">
        <v>42658</v>
      </c>
      <c r="B2602" s="7">
        <v>263000</v>
      </c>
      <c r="C2602" s="8">
        <v>5.2000000000000046E-2</v>
      </c>
    </row>
    <row r="2603" spans="1:3" x14ac:dyDescent="0.45">
      <c r="A2603" s="2">
        <v>42665</v>
      </c>
      <c r="B2603" s="7">
        <v>256000</v>
      </c>
      <c r="C2603" s="8">
        <v>-2.6615969581749055E-2</v>
      </c>
    </row>
    <row r="2604" spans="1:3" x14ac:dyDescent="0.45">
      <c r="A2604" s="2">
        <v>42672</v>
      </c>
      <c r="B2604" s="7">
        <v>265000</v>
      </c>
      <c r="C2604" s="8">
        <v>3.515625E-2</v>
      </c>
    </row>
    <row r="2605" spans="1:3" x14ac:dyDescent="0.45">
      <c r="A2605" s="2">
        <v>42679</v>
      </c>
      <c r="B2605" s="7">
        <v>250000</v>
      </c>
      <c r="C2605" s="8">
        <v>-5.6603773584905648E-2</v>
      </c>
    </row>
    <row r="2606" spans="1:3" x14ac:dyDescent="0.45">
      <c r="A2606" s="2">
        <v>42686</v>
      </c>
      <c r="B2606" s="7">
        <v>232000</v>
      </c>
      <c r="C2606" s="8">
        <v>-7.1999999999999953E-2</v>
      </c>
    </row>
    <row r="2607" spans="1:3" x14ac:dyDescent="0.45">
      <c r="A2607" s="2">
        <v>42693</v>
      </c>
      <c r="B2607" s="7">
        <v>246000</v>
      </c>
      <c r="C2607" s="8">
        <v>6.0344827586206851E-2</v>
      </c>
    </row>
    <row r="2608" spans="1:3" x14ac:dyDescent="0.45">
      <c r="A2608" s="2">
        <v>42700</v>
      </c>
      <c r="B2608" s="7">
        <v>255000</v>
      </c>
      <c r="C2608" s="8">
        <v>3.6585365853658569E-2</v>
      </c>
    </row>
    <row r="2609" spans="1:3" x14ac:dyDescent="0.45">
      <c r="A2609" s="2">
        <v>42707</v>
      </c>
      <c r="B2609" s="7">
        <v>248000</v>
      </c>
      <c r="C2609" s="8">
        <v>-2.7450980392156876E-2</v>
      </c>
    </row>
    <row r="2610" spans="1:3" x14ac:dyDescent="0.45">
      <c r="A2610" s="2">
        <v>42714</v>
      </c>
      <c r="B2610" s="7">
        <v>252000</v>
      </c>
      <c r="C2610" s="8">
        <v>1.6129032258064502E-2</v>
      </c>
    </row>
    <row r="2611" spans="1:3" x14ac:dyDescent="0.45">
      <c r="A2611" s="2">
        <v>42721</v>
      </c>
      <c r="B2611" s="7">
        <v>260000</v>
      </c>
      <c r="C2611" s="8">
        <v>3.1746031746031855E-2</v>
      </c>
    </row>
    <row r="2612" spans="1:3" x14ac:dyDescent="0.45">
      <c r="A2612" s="2">
        <v>42728</v>
      </c>
      <c r="B2612" s="7">
        <v>257000</v>
      </c>
      <c r="C2612" s="8">
        <v>-1.1538461538461497E-2</v>
      </c>
    </row>
    <row r="2613" spans="1:3" x14ac:dyDescent="0.45">
      <c r="A2613" s="2">
        <v>42735</v>
      </c>
      <c r="B2613" s="7">
        <v>244000</v>
      </c>
      <c r="C2613" s="8">
        <v>-5.058365758754868E-2</v>
      </c>
    </row>
    <row r="2614" spans="1:3" x14ac:dyDescent="0.45">
      <c r="A2614" s="2">
        <v>42742</v>
      </c>
      <c r="B2614" s="7">
        <v>245000</v>
      </c>
      <c r="C2614" s="8">
        <v>4.098360655737654E-3</v>
      </c>
    </row>
    <row r="2615" spans="1:3" x14ac:dyDescent="0.45">
      <c r="A2615" s="2">
        <v>42749</v>
      </c>
      <c r="B2615" s="7">
        <v>240000</v>
      </c>
      <c r="C2615" s="8">
        <v>-2.0408163265306145E-2</v>
      </c>
    </row>
    <row r="2616" spans="1:3" x14ac:dyDescent="0.45">
      <c r="A2616" s="2">
        <v>42756</v>
      </c>
      <c r="B2616" s="7">
        <v>250000</v>
      </c>
      <c r="C2616" s="8">
        <v>4.1666666666666741E-2</v>
      </c>
    </row>
    <row r="2617" spans="1:3" x14ac:dyDescent="0.45">
      <c r="A2617" s="2">
        <v>42763</v>
      </c>
      <c r="B2617" s="7">
        <v>241000</v>
      </c>
      <c r="C2617" s="8">
        <v>-3.6000000000000032E-2</v>
      </c>
    </row>
    <row r="2618" spans="1:3" x14ac:dyDescent="0.45">
      <c r="A2618" s="2">
        <v>42770</v>
      </c>
      <c r="B2618" s="7">
        <v>230000</v>
      </c>
      <c r="C2618" s="8">
        <v>-4.5643153526970903E-2</v>
      </c>
    </row>
    <row r="2619" spans="1:3" x14ac:dyDescent="0.45">
      <c r="A2619" s="2">
        <v>42777</v>
      </c>
      <c r="B2619" s="7">
        <v>233000</v>
      </c>
      <c r="C2619" s="8">
        <v>1.304347826086949E-2</v>
      </c>
    </row>
    <row r="2620" spans="1:3" x14ac:dyDescent="0.45">
      <c r="A2620" s="2">
        <v>42784</v>
      </c>
      <c r="B2620" s="7">
        <v>237000</v>
      </c>
      <c r="C2620" s="8">
        <v>1.716738197424883E-2</v>
      </c>
    </row>
    <row r="2621" spans="1:3" x14ac:dyDescent="0.45">
      <c r="A2621" s="2">
        <v>42791</v>
      </c>
      <c r="B2621" s="7">
        <v>221000</v>
      </c>
      <c r="C2621" s="8">
        <v>-6.7510548523206704E-2</v>
      </c>
    </row>
    <row r="2622" spans="1:3" x14ac:dyDescent="0.45">
      <c r="A2622" s="2">
        <v>42798</v>
      </c>
      <c r="B2622" s="7">
        <v>236000</v>
      </c>
      <c r="C2622" s="8">
        <v>6.7873303167420795E-2</v>
      </c>
    </row>
    <row r="2623" spans="1:3" x14ac:dyDescent="0.45">
      <c r="A2623" s="2">
        <v>42805</v>
      </c>
      <c r="B2623" s="7">
        <v>228000</v>
      </c>
      <c r="C2623" s="8">
        <v>-3.3898305084745783E-2</v>
      </c>
    </row>
    <row r="2624" spans="1:3" x14ac:dyDescent="0.45">
      <c r="A2624" s="2">
        <v>42812</v>
      </c>
      <c r="B2624" s="7">
        <v>235000</v>
      </c>
      <c r="C2624" s="8">
        <v>3.0701754385964897E-2</v>
      </c>
    </row>
    <row r="2625" spans="1:3" x14ac:dyDescent="0.45">
      <c r="A2625" s="2">
        <v>42819</v>
      </c>
      <c r="B2625" s="7">
        <v>236000</v>
      </c>
      <c r="C2625" s="8">
        <v>4.2553191489360653E-3</v>
      </c>
    </row>
    <row r="2626" spans="1:3" x14ac:dyDescent="0.45">
      <c r="A2626" s="2">
        <v>42826</v>
      </c>
      <c r="B2626" s="7">
        <v>216000</v>
      </c>
      <c r="C2626" s="8">
        <v>-8.4745762711864403E-2</v>
      </c>
    </row>
    <row r="2627" spans="1:3" x14ac:dyDescent="0.45">
      <c r="A2627" s="2">
        <v>42833</v>
      </c>
      <c r="B2627" s="7">
        <v>222000</v>
      </c>
      <c r="C2627" s="8">
        <v>2.7777777777777679E-2</v>
      </c>
    </row>
    <row r="2628" spans="1:3" x14ac:dyDescent="0.45">
      <c r="A2628" s="2">
        <v>42840</v>
      </c>
      <c r="B2628" s="7">
        <v>231000</v>
      </c>
      <c r="C2628" s="8">
        <v>4.0540540540540571E-2</v>
      </c>
    </row>
    <row r="2629" spans="1:3" x14ac:dyDescent="0.45">
      <c r="A2629" s="2">
        <v>42847</v>
      </c>
      <c r="B2629" s="7">
        <v>238000</v>
      </c>
      <c r="C2629" s="8">
        <v>3.0303030303030276E-2</v>
      </c>
    </row>
    <row r="2630" spans="1:3" x14ac:dyDescent="0.45">
      <c r="A2630" s="2">
        <v>42854</v>
      </c>
      <c r="B2630" s="7">
        <v>232000</v>
      </c>
      <c r="C2630" s="8">
        <v>-2.5210084033613467E-2</v>
      </c>
    </row>
    <row r="2631" spans="1:3" x14ac:dyDescent="0.45">
      <c r="A2631" s="2">
        <v>42861</v>
      </c>
      <c r="B2631" s="7">
        <v>233000</v>
      </c>
      <c r="C2631" s="8">
        <v>4.3103448275862988E-3</v>
      </c>
    </row>
    <row r="2632" spans="1:3" x14ac:dyDescent="0.45">
      <c r="A2632" s="2">
        <v>42868</v>
      </c>
      <c r="B2632" s="7">
        <v>234000</v>
      </c>
      <c r="C2632" s="8">
        <v>4.2918454935623185E-3</v>
      </c>
    </row>
    <row r="2633" spans="1:3" x14ac:dyDescent="0.45">
      <c r="A2633" s="2">
        <v>42875</v>
      </c>
      <c r="B2633" s="7">
        <v>236000</v>
      </c>
      <c r="C2633" s="8">
        <v>8.5470085470085166E-3</v>
      </c>
    </row>
    <row r="2634" spans="1:3" x14ac:dyDescent="0.45">
      <c r="A2634" s="2">
        <v>42882</v>
      </c>
      <c r="B2634" s="7">
        <v>253000</v>
      </c>
      <c r="C2634" s="8">
        <v>7.2033898305084776E-2</v>
      </c>
    </row>
    <row r="2635" spans="1:3" x14ac:dyDescent="0.45">
      <c r="A2635" s="2">
        <v>42889</v>
      </c>
      <c r="B2635" s="7">
        <v>251000</v>
      </c>
      <c r="C2635" s="8">
        <v>-7.905138339920903E-3</v>
      </c>
    </row>
    <row r="2636" spans="1:3" x14ac:dyDescent="0.45">
      <c r="A2636" s="2">
        <v>42896</v>
      </c>
      <c r="B2636" s="7">
        <v>245000</v>
      </c>
      <c r="C2636" s="8">
        <v>-2.3904382470119501E-2</v>
      </c>
    </row>
    <row r="2637" spans="1:3" x14ac:dyDescent="0.45">
      <c r="A2637" s="2">
        <v>42903</v>
      </c>
      <c r="B2637" s="7">
        <v>249000</v>
      </c>
      <c r="C2637" s="8">
        <v>1.6326530612244872E-2</v>
      </c>
    </row>
    <row r="2638" spans="1:3" x14ac:dyDescent="0.45">
      <c r="A2638" s="2">
        <v>42910</v>
      </c>
      <c r="B2638" s="7">
        <v>247000</v>
      </c>
      <c r="C2638" s="8">
        <v>-8.0321285140562138E-3</v>
      </c>
    </row>
    <row r="2639" spans="1:3" x14ac:dyDescent="0.45">
      <c r="A2639" s="2">
        <v>42917</v>
      </c>
      <c r="B2639" s="7">
        <v>256000</v>
      </c>
      <c r="C2639" s="8">
        <v>3.6437246963562764E-2</v>
      </c>
    </row>
    <row r="2640" spans="1:3" x14ac:dyDescent="0.45">
      <c r="A2640" s="2">
        <v>42924</v>
      </c>
      <c r="B2640" s="7">
        <v>259000</v>
      </c>
      <c r="C2640" s="8">
        <v>1.171875E-2</v>
      </c>
    </row>
    <row r="2641" spans="1:3" x14ac:dyDescent="0.45">
      <c r="A2641" s="2">
        <v>42931</v>
      </c>
      <c r="B2641" s="7">
        <v>245000</v>
      </c>
      <c r="C2641" s="8">
        <v>-5.4054054054054057E-2</v>
      </c>
    </row>
    <row r="2642" spans="1:3" x14ac:dyDescent="0.45">
      <c r="A2642" s="2">
        <v>42938</v>
      </c>
      <c r="B2642" s="7">
        <v>249000</v>
      </c>
      <c r="C2642" s="8">
        <v>1.6326530612244872E-2</v>
      </c>
    </row>
    <row r="2643" spans="1:3" x14ac:dyDescent="0.45">
      <c r="A2643" s="2">
        <v>42945</v>
      </c>
      <c r="B2643" s="7">
        <v>245000</v>
      </c>
      <c r="C2643" s="8">
        <v>-1.6064257028112428E-2</v>
      </c>
    </row>
    <row r="2644" spans="1:3" x14ac:dyDescent="0.45">
      <c r="A2644" s="2">
        <v>42952</v>
      </c>
      <c r="B2644" s="7">
        <v>254000</v>
      </c>
      <c r="C2644" s="8">
        <v>3.6734693877551017E-2</v>
      </c>
    </row>
    <row r="2645" spans="1:3" x14ac:dyDescent="0.45">
      <c r="A2645" s="2">
        <v>42959</v>
      </c>
      <c r="B2645" s="7">
        <v>245000</v>
      </c>
      <c r="C2645" s="8">
        <v>-3.543307086614178E-2</v>
      </c>
    </row>
    <row r="2646" spans="1:3" x14ac:dyDescent="0.45">
      <c r="A2646" s="2">
        <v>42966</v>
      </c>
      <c r="B2646" s="7">
        <v>245000</v>
      </c>
      <c r="C2646" s="8">
        <v>0</v>
      </c>
    </row>
    <row r="2647" spans="1:3" x14ac:dyDescent="0.45">
      <c r="A2647" s="2">
        <v>42973</v>
      </c>
      <c r="B2647" s="7">
        <v>247000</v>
      </c>
      <c r="C2647" s="8">
        <v>8.1632653061225469E-3</v>
      </c>
    </row>
    <row r="2648" spans="1:3" x14ac:dyDescent="0.45">
      <c r="A2648" s="2">
        <v>42980</v>
      </c>
      <c r="B2648" s="7">
        <v>297000</v>
      </c>
      <c r="C2648" s="8">
        <v>0.20242914979757076</v>
      </c>
    </row>
    <row r="2649" spans="1:3" x14ac:dyDescent="0.45">
      <c r="A2649" s="2">
        <v>42987</v>
      </c>
      <c r="B2649" s="7">
        <v>280000</v>
      </c>
      <c r="C2649" s="8">
        <v>-5.7239057239057201E-2</v>
      </c>
    </row>
    <row r="2650" spans="1:3" x14ac:dyDescent="0.45">
      <c r="A2650" s="2">
        <v>42994</v>
      </c>
      <c r="B2650" s="7">
        <v>261000</v>
      </c>
      <c r="C2650" s="8">
        <v>-6.7857142857142838E-2</v>
      </c>
    </row>
    <row r="2651" spans="1:3" x14ac:dyDescent="0.45">
      <c r="A2651" s="2">
        <v>43001</v>
      </c>
      <c r="B2651" s="7">
        <v>264000</v>
      </c>
      <c r="C2651" s="8">
        <v>1.1494252873563315E-2</v>
      </c>
    </row>
    <row r="2652" spans="1:3" x14ac:dyDescent="0.45">
      <c r="A2652" s="2">
        <v>43008</v>
      </c>
      <c r="B2652" s="7">
        <v>260000</v>
      </c>
      <c r="C2652" s="8">
        <v>-1.5151515151515138E-2</v>
      </c>
    </row>
    <row r="2653" spans="1:3" x14ac:dyDescent="0.45">
      <c r="A2653" s="2">
        <v>43015</v>
      </c>
      <c r="B2653" s="7">
        <v>252000</v>
      </c>
      <c r="C2653" s="8">
        <v>-3.0769230769230771E-2</v>
      </c>
    </row>
    <row r="2654" spans="1:3" x14ac:dyDescent="0.45">
      <c r="A2654" s="2">
        <v>43022</v>
      </c>
      <c r="B2654" s="7">
        <v>235000</v>
      </c>
      <c r="C2654" s="8">
        <v>-6.7460317460317443E-2</v>
      </c>
    </row>
    <row r="2655" spans="1:3" x14ac:dyDescent="0.45">
      <c r="A2655" s="2">
        <v>43029</v>
      </c>
      <c r="B2655" s="7">
        <v>241000</v>
      </c>
      <c r="C2655" s="8">
        <v>2.5531914893617058E-2</v>
      </c>
    </row>
    <row r="2656" spans="1:3" x14ac:dyDescent="0.45">
      <c r="A2656" s="2">
        <v>43036</v>
      </c>
      <c r="B2656" s="7">
        <v>241000</v>
      </c>
      <c r="C2656" s="8">
        <v>0</v>
      </c>
    </row>
    <row r="2657" spans="1:3" x14ac:dyDescent="0.45">
      <c r="A2657" s="2">
        <v>43043</v>
      </c>
      <c r="B2657" s="7">
        <v>248000</v>
      </c>
      <c r="C2657" s="8">
        <v>2.9045643153526868E-2</v>
      </c>
    </row>
    <row r="2658" spans="1:3" x14ac:dyDescent="0.45">
      <c r="A2658" s="2">
        <v>43050</v>
      </c>
      <c r="B2658" s="7">
        <v>254000</v>
      </c>
      <c r="C2658" s="8">
        <v>2.4193548387096753E-2</v>
      </c>
    </row>
    <row r="2659" spans="1:3" x14ac:dyDescent="0.45">
      <c r="A2659" s="2">
        <v>43057</v>
      </c>
      <c r="B2659" s="7">
        <v>246000</v>
      </c>
      <c r="C2659" s="8">
        <v>-3.1496062992126039E-2</v>
      </c>
    </row>
    <row r="2660" spans="1:3" x14ac:dyDescent="0.45">
      <c r="A2660" s="2">
        <v>43064</v>
      </c>
      <c r="B2660" s="7">
        <v>243000</v>
      </c>
      <c r="C2660" s="8">
        <v>-1.2195121951219523E-2</v>
      </c>
    </row>
    <row r="2661" spans="1:3" x14ac:dyDescent="0.45">
      <c r="A2661" s="2">
        <v>43071</v>
      </c>
      <c r="B2661" s="7">
        <v>241000</v>
      </c>
      <c r="C2661" s="8">
        <v>-8.2304526748970819E-3</v>
      </c>
    </row>
    <row r="2662" spans="1:3" x14ac:dyDescent="0.45">
      <c r="A2662" s="2">
        <v>43078</v>
      </c>
      <c r="B2662" s="7">
        <v>229000</v>
      </c>
      <c r="C2662" s="8">
        <v>-4.9792531120331995E-2</v>
      </c>
    </row>
    <row r="2663" spans="1:3" x14ac:dyDescent="0.45">
      <c r="A2663" s="2">
        <v>43085</v>
      </c>
      <c r="B2663" s="7">
        <v>244000</v>
      </c>
      <c r="C2663" s="8">
        <v>6.5502183406113579E-2</v>
      </c>
    </row>
    <row r="2664" spans="1:3" x14ac:dyDescent="0.45">
      <c r="A2664" s="2">
        <v>43092</v>
      </c>
      <c r="B2664" s="7">
        <v>251000</v>
      </c>
      <c r="C2664" s="8">
        <v>2.8688524590164022E-2</v>
      </c>
    </row>
    <row r="2665" spans="1:3" x14ac:dyDescent="0.45">
      <c r="A2665" s="2">
        <v>43099</v>
      </c>
      <c r="B2665" s="7">
        <v>248000</v>
      </c>
      <c r="C2665" s="8">
        <v>-1.195219123505975E-2</v>
      </c>
    </row>
    <row r="2666" spans="1:3" x14ac:dyDescent="0.45">
      <c r="A2666" s="2">
        <v>43106</v>
      </c>
      <c r="B2666" s="7">
        <v>252000</v>
      </c>
      <c r="C2666" s="8">
        <v>1.6129032258064502E-2</v>
      </c>
    </row>
    <row r="2667" spans="1:3" x14ac:dyDescent="0.45">
      <c r="A2667" s="2">
        <v>43113</v>
      </c>
      <c r="B2667" s="7">
        <v>230000</v>
      </c>
      <c r="C2667" s="8">
        <v>-8.7301587301587324E-2</v>
      </c>
    </row>
    <row r="2668" spans="1:3" x14ac:dyDescent="0.45">
      <c r="A2668" s="2">
        <v>43120</v>
      </c>
      <c r="B2668" s="7">
        <v>231000</v>
      </c>
      <c r="C2668" s="8">
        <v>4.3478260869564966E-3</v>
      </c>
    </row>
    <row r="2669" spans="1:3" x14ac:dyDescent="0.45">
      <c r="A2669" s="2">
        <v>43127</v>
      </c>
      <c r="B2669" s="7">
        <v>228000</v>
      </c>
      <c r="C2669" s="8">
        <v>-1.2987012987012991E-2</v>
      </c>
    </row>
    <row r="2670" spans="1:3" x14ac:dyDescent="0.45">
      <c r="A2670" s="2">
        <v>43134</v>
      </c>
      <c r="B2670" s="7">
        <v>224000</v>
      </c>
      <c r="C2670" s="8">
        <v>-1.7543859649122862E-2</v>
      </c>
    </row>
    <row r="2671" spans="1:3" x14ac:dyDescent="0.45">
      <c r="A2671" s="2">
        <v>43141</v>
      </c>
      <c r="B2671" s="7">
        <v>225000</v>
      </c>
      <c r="C2671" s="8">
        <v>4.4642857142858094E-3</v>
      </c>
    </row>
    <row r="2672" spans="1:3" x14ac:dyDescent="0.45">
      <c r="A2672" s="2">
        <v>43148</v>
      </c>
      <c r="B2672" s="7">
        <v>219000</v>
      </c>
      <c r="C2672" s="8">
        <v>-2.6666666666666616E-2</v>
      </c>
    </row>
    <row r="2673" spans="1:3" x14ac:dyDescent="0.45">
      <c r="A2673" s="2">
        <v>43155</v>
      </c>
      <c r="B2673" s="7">
        <v>216000</v>
      </c>
      <c r="C2673" s="8">
        <v>-1.3698630136986356E-2</v>
      </c>
    </row>
    <row r="2674" spans="1:3" x14ac:dyDescent="0.45">
      <c r="A2674" s="2">
        <v>43162</v>
      </c>
      <c r="B2674" s="7">
        <v>228000</v>
      </c>
      <c r="C2674" s="8">
        <v>5.555555555555558E-2</v>
      </c>
    </row>
    <row r="2675" spans="1:3" x14ac:dyDescent="0.45">
      <c r="A2675" s="2">
        <v>43169</v>
      </c>
      <c r="B2675" s="7">
        <v>223000</v>
      </c>
      <c r="C2675" s="8">
        <v>-2.1929824561403466E-2</v>
      </c>
    </row>
    <row r="2676" spans="1:3" x14ac:dyDescent="0.45">
      <c r="A2676" s="2">
        <v>43176</v>
      </c>
      <c r="B2676" s="7">
        <v>225000</v>
      </c>
      <c r="C2676" s="8">
        <v>8.9686098654708779E-3</v>
      </c>
    </row>
    <row r="2677" spans="1:3" x14ac:dyDescent="0.45">
      <c r="A2677" s="2">
        <v>43183</v>
      </c>
      <c r="B2677" s="7">
        <v>221000</v>
      </c>
      <c r="C2677" s="8">
        <v>-1.7777777777777781E-2</v>
      </c>
    </row>
    <row r="2678" spans="1:3" x14ac:dyDescent="0.45">
      <c r="A2678" s="2">
        <v>43190</v>
      </c>
      <c r="B2678" s="7">
        <v>232000</v>
      </c>
      <c r="C2678" s="8">
        <v>4.9773755656108642E-2</v>
      </c>
    </row>
    <row r="2679" spans="1:3" x14ac:dyDescent="0.45">
      <c r="A2679" s="2">
        <v>43197</v>
      </c>
      <c r="B2679" s="7">
        <v>234000</v>
      </c>
      <c r="C2679" s="8">
        <v>8.6206896551723755E-3</v>
      </c>
    </row>
    <row r="2680" spans="1:3" x14ac:dyDescent="0.45">
      <c r="A2680" s="2">
        <v>43204</v>
      </c>
      <c r="B2680" s="7">
        <v>236000</v>
      </c>
      <c r="C2680" s="8">
        <v>8.5470085470085166E-3</v>
      </c>
    </row>
    <row r="2681" spans="1:3" x14ac:dyDescent="0.45">
      <c r="A2681" s="2">
        <v>43211</v>
      </c>
      <c r="B2681" s="7">
        <v>207000</v>
      </c>
      <c r="C2681" s="8">
        <v>-0.1228813559322034</v>
      </c>
    </row>
    <row r="2682" spans="1:3" x14ac:dyDescent="0.45">
      <c r="A2682" s="2">
        <v>43218</v>
      </c>
      <c r="B2682" s="7">
        <v>209000</v>
      </c>
      <c r="C2682" s="8">
        <v>9.6618357487923134E-3</v>
      </c>
    </row>
    <row r="2683" spans="1:3" x14ac:dyDescent="0.45">
      <c r="A2683" s="2">
        <v>43225</v>
      </c>
      <c r="B2683" s="7">
        <v>211000</v>
      </c>
      <c r="C2683" s="8">
        <v>9.5693779904306719E-3</v>
      </c>
    </row>
    <row r="2684" spans="1:3" x14ac:dyDescent="0.45">
      <c r="A2684" s="2">
        <v>43232</v>
      </c>
      <c r="B2684" s="7">
        <v>222000</v>
      </c>
      <c r="C2684" s="8">
        <v>5.2132701421800931E-2</v>
      </c>
    </row>
    <row r="2685" spans="1:3" x14ac:dyDescent="0.45">
      <c r="A2685" s="2">
        <v>43239</v>
      </c>
      <c r="B2685" s="7">
        <v>230000</v>
      </c>
      <c r="C2685" s="8">
        <v>3.6036036036036112E-2</v>
      </c>
    </row>
    <row r="2686" spans="1:3" x14ac:dyDescent="0.45">
      <c r="A2686" s="2">
        <v>43246</v>
      </c>
      <c r="B2686" s="7">
        <v>222000</v>
      </c>
      <c r="C2686" s="8">
        <v>-3.4782608695652195E-2</v>
      </c>
    </row>
    <row r="2687" spans="1:3" x14ac:dyDescent="0.45">
      <c r="A2687" s="2">
        <v>43253</v>
      </c>
      <c r="B2687" s="7">
        <v>223000</v>
      </c>
      <c r="C2687" s="8">
        <v>4.5045045045044585E-3</v>
      </c>
    </row>
    <row r="2688" spans="1:3" x14ac:dyDescent="0.45">
      <c r="A2688" s="2">
        <v>43260</v>
      </c>
      <c r="B2688" s="7">
        <v>222000</v>
      </c>
      <c r="C2688" s="8">
        <v>-4.484304932735439E-3</v>
      </c>
    </row>
    <row r="2689" spans="1:3" x14ac:dyDescent="0.45">
      <c r="A2689" s="2">
        <v>43267</v>
      </c>
      <c r="B2689" s="7">
        <v>218000</v>
      </c>
      <c r="C2689" s="8">
        <v>-1.8018018018018056E-2</v>
      </c>
    </row>
    <row r="2690" spans="1:3" x14ac:dyDescent="0.45">
      <c r="A2690" s="2">
        <v>43274</v>
      </c>
      <c r="B2690" s="7">
        <v>222000</v>
      </c>
      <c r="C2690" s="8">
        <v>1.8348623853210899E-2</v>
      </c>
    </row>
    <row r="2691" spans="1:3" x14ac:dyDescent="0.45">
      <c r="A2691" s="2">
        <v>43281</v>
      </c>
      <c r="B2691" s="7">
        <v>228000</v>
      </c>
      <c r="C2691" s="8">
        <v>2.7027027027026973E-2</v>
      </c>
    </row>
    <row r="2692" spans="1:3" x14ac:dyDescent="0.45">
      <c r="A2692" s="2">
        <v>43288</v>
      </c>
      <c r="B2692" s="7">
        <v>216000</v>
      </c>
      <c r="C2692" s="8">
        <v>-5.2631578947368474E-2</v>
      </c>
    </row>
    <row r="2693" spans="1:3" x14ac:dyDescent="0.45">
      <c r="A2693" s="2">
        <v>43295</v>
      </c>
      <c r="B2693" s="7">
        <v>205000</v>
      </c>
      <c r="C2693" s="8">
        <v>-5.092592592592593E-2</v>
      </c>
    </row>
    <row r="2694" spans="1:3" x14ac:dyDescent="0.45">
      <c r="A2694" s="2">
        <v>43302</v>
      </c>
      <c r="B2694" s="7">
        <v>210000</v>
      </c>
      <c r="C2694" s="8">
        <v>2.4390243902439046E-2</v>
      </c>
    </row>
    <row r="2695" spans="1:3" x14ac:dyDescent="0.45">
      <c r="A2695" s="2">
        <v>43309</v>
      </c>
      <c r="B2695" s="7">
        <v>207000</v>
      </c>
      <c r="C2695" s="8">
        <v>-1.4285714285714235E-2</v>
      </c>
    </row>
    <row r="2696" spans="1:3" x14ac:dyDescent="0.45">
      <c r="A2696" s="2">
        <v>43316</v>
      </c>
      <c r="B2696" s="7">
        <v>210000</v>
      </c>
      <c r="C2696" s="8">
        <v>1.449275362318847E-2</v>
      </c>
    </row>
    <row r="2697" spans="1:3" x14ac:dyDescent="0.45">
      <c r="A2697" s="2">
        <v>43323</v>
      </c>
      <c r="B2697" s="7">
        <v>206000</v>
      </c>
      <c r="C2697" s="8">
        <v>-1.9047619047619091E-2</v>
      </c>
    </row>
    <row r="2698" spans="1:3" x14ac:dyDescent="0.45">
      <c r="A2698" s="2">
        <v>43330</v>
      </c>
      <c r="B2698" s="7">
        <v>207000</v>
      </c>
      <c r="C2698" s="8">
        <v>4.8543689320388328E-3</v>
      </c>
    </row>
    <row r="2699" spans="1:3" x14ac:dyDescent="0.45">
      <c r="A2699" s="2">
        <v>43337</v>
      </c>
      <c r="B2699" s="7">
        <v>211000</v>
      </c>
      <c r="C2699" s="8">
        <v>1.9323671497584627E-2</v>
      </c>
    </row>
    <row r="2700" spans="1:3" x14ac:dyDescent="0.45">
      <c r="A2700" s="2">
        <v>43344</v>
      </c>
      <c r="B2700" s="7">
        <v>201000</v>
      </c>
      <c r="C2700" s="8">
        <v>-4.7393364928909998E-2</v>
      </c>
    </row>
    <row r="2701" spans="1:3" x14ac:dyDescent="0.45">
      <c r="A2701" s="2">
        <v>43351</v>
      </c>
      <c r="B2701" s="7">
        <v>204000</v>
      </c>
      <c r="C2701" s="8">
        <v>1.4925373134328401E-2</v>
      </c>
    </row>
    <row r="2702" spans="1:3" x14ac:dyDescent="0.45">
      <c r="A2702" s="2">
        <v>43358</v>
      </c>
      <c r="B2702" s="7">
        <v>206000</v>
      </c>
      <c r="C2702" s="8">
        <v>9.8039215686274161E-3</v>
      </c>
    </row>
    <row r="2703" spans="1:3" x14ac:dyDescent="0.45">
      <c r="A2703" s="2">
        <v>43365</v>
      </c>
      <c r="B2703" s="7">
        <v>205000</v>
      </c>
      <c r="C2703" s="8">
        <v>-4.8543689320388328E-3</v>
      </c>
    </row>
    <row r="2704" spans="1:3" x14ac:dyDescent="0.45">
      <c r="A2704" s="2">
        <v>43372</v>
      </c>
      <c r="B2704" s="7">
        <v>210000</v>
      </c>
      <c r="C2704" s="8">
        <v>2.4390243902439046E-2</v>
      </c>
    </row>
    <row r="2705" spans="1:3" x14ac:dyDescent="0.45">
      <c r="A2705" s="2">
        <v>43379</v>
      </c>
      <c r="B2705" s="7">
        <v>211000</v>
      </c>
      <c r="C2705" s="8">
        <v>4.761904761904745E-3</v>
      </c>
    </row>
    <row r="2706" spans="1:3" x14ac:dyDescent="0.45">
      <c r="A2706" s="2">
        <v>43386</v>
      </c>
      <c r="B2706" s="7">
        <v>208000</v>
      </c>
      <c r="C2706" s="8">
        <v>-1.4218009478673022E-2</v>
      </c>
    </row>
    <row r="2707" spans="1:3" x14ac:dyDescent="0.45">
      <c r="A2707" s="2">
        <v>43393</v>
      </c>
      <c r="B2707" s="7">
        <v>217000</v>
      </c>
      <c r="C2707" s="8">
        <v>4.3269230769230838E-2</v>
      </c>
    </row>
    <row r="2708" spans="1:3" x14ac:dyDescent="0.45">
      <c r="A2708" s="2">
        <v>43400</v>
      </c>
      <c r="B2708" s="7">
        <v>216000</v>
      </c>
      <c r="C2708" s="8">
        <v>-4.6082949308755561E-3</v>
      </c>
    </row>
    <row r="2709" spans="1:3" x14ac:dyDescent="0.45">
      <c r="A2709" s="2">
        <v>43407</v>
      </c>
      <c r="B2709" s="7">
        <v>218000</v>
      </c>
      <c r="C2709" s="8">
        <v>9.2592592592593004E-3</v>
      </c>
    </row>
    <row r="2710" spans="1:3" x14ac:dyDescent="0.45">
      <c r="A2710" s="2">
        <v>43414</v>
      </c>
      <c r="B2710" s="7">
        <v>221000</v>
      </c>
      <c r="C2710" s="8">
        <v>1.3761467889908285E-2</v>
      </c>
    </row>
    <row r="2711" spans="1:3" x14ac:dyDescent="0.45">
      <c r="A2711" s="2">
        <v>43421</v>
      </c>
      <c r="B2711" s="7">
        <v>225000</v>
      </c>
      <c r="C2711" s="8">
        <v>1.8099547511312153E-2</v>
      </c>
    </row>
    <row r="2712" spans="1:3" x14ac:dyDescent="0.45">
      <c r="A2712" s="2">
        <v>43428</v>
      </c>
      <c r="B2712" s="7">
        <v>237000</v>
      </c>
      <c r="C2712" s="8">
        <v>5.3333333333333233E-2</v>
      </c>
    </row>
    <row r="2713" spans="1:3" x14ac:dyDescent="0.45">
      <c r="A2713" s="2">
        <v>43435</v>
      </c>
      <c r="B2713" s="7">
        <v>232000</v>
      </c>
      <c r="C2713" s="8">
        <v>-2.1097046413502074E-2</v>
      </c>
    </row>
    <row r="2714" spans="1:3" x14ac:dyDescent="0.45">
      <c r="A2714" s="2">
        <v>43442</v>
      </c>
      <c r="B2714" s="7">
        <v>208000</v>
      </c>
      <c r="C2714" s="8">
        <v>-0.10344827586206895</v>
      </c>
    </row>
    <row r="2715" spans="1:3" x14ac:dyDescent="0.45">
      <c r="A2715" s="2">
        <v>43449</v>
      </c>
      <c r="B2715" s="7">
        <v>217000</v>
      </c>
      <c r="C2715" s="8">
        <v>4.3269230769230838E-2</v>
      </c>
    </row>
    <row r="2716" spans="1:3" x14ac:dyDescent="0.45">
      <c r="A2716" s="2">
        <v>43456</v>
      </c>
      <c r="B2716" s="7">
        <v>228000</v>
      </c>
      <c r="C2716" s="8">
        <v>5.0691244239631228E-2</v>
      </c>
    </row>
    <row r="2717" spans="1:3" x14ac:dyDescent="0.45">
      <c r="A2717" s="2">
        <v>43463</v>
      </c>
      <c r="B2717" s="7">
        <v>238000</v>
      </c>
      <c r="C2717" s="8">
        <v>4.3859649122806932E-2</v>
      </c>
    </row>
    <row r="2718" spans="1:3" x14ac:dyDescent="0.45">
      <c r="A2718" s="2">
        <v>43470</v>
      </c>
      <c r="B2718" s="7">
        <v>225000</v>
      </c>
      <c r="C2718" s="8">
        <v>-5.4621848739495826E-2</v>
      </c>
    </row>
    <row r="2719" spans="1:3" x14ac:dyDescent="0.45">
      <c r="A2719" s="2">
        <v>43477</v>
      </c>
      <c r="B2719" s="7">
        <v>218000</v>
      </c>
      <c r="C2719" s="8">
        <v>-3.1111111111111089E-2</v>
      </c>
    </row>
    <row r="2720" spans="1:3" x14ac:dyDescent="0.45">
      <c r="A2720" s="2">
        <v>43484</v>
      </c>
      <c r="B2720" s="7">
        <v>214000</v>
      </c>
      <c r="C2720" s="8">
        <v>-1.834862385321101E-2</v>
      </c>
    </row>
    <row r="2721" spans="1:3" x14ac:dyDescent="0.45">
      <c r="A2721" s="2">
        <v>43491</v>
      </c>
      <c r="B2721" s="7">
        <v>234000</v>
      </c>
      <c r="C2721" s="8">
        <v>9.3457943925233655E-2</v>
      </c>
    </row>
    <row r="2722" spans="1:3" x14ac:dyDescent="0.45">
      <c r="A2722" s="2">
        <v>43498</v>
      </c>
      <c r="B2722" s="7">
        <v>232000</v>
      </c>
      <c r="C2722" s="8">
        <v>-8.5470085470085166E-3</v>
      </c>
    </row>
    <row r="2723" spans="1:3" x14ac:dyDescent="0.45">
      <c r="A2723" s="2">
        <v>43505</v>
      </c>
      <c r="B2723" s="7">
        <v>226000</v>
      </c>
      <c r="C2723" s="8">
        <v>-2.5862068965517238E-2</v>
      </c>
    </row>
    <row r="2724" spans="1:3" x14ac:dyDescent="0.45">
      <c r="A2724" s="2">
        <v>43512</v>
      </c>
      <c r="B2724" s="7">
        <v>211000</v>
      </c>
      <c r="C2724" s="8">
        <v>-6.6371681415929196E-2</v>
      </c>
    </row>
    <row r="2725" spans="1:3" x14ac:dyDescent="0.45">
      <c r="A2725" s="2">
        <v>43519</v>
      </c>
      <c r="B2725" s="7">
        <v>221000</v>
      </c>
      <c r="C2725" s="8">
        <v>4.7393364928909998E-2</v>
      </c>
    </row>
    <row r="2726" spans="1:3" x14ac:dyDescent="0.45">
      <c r="A2726" s="2">
        <v>43526</v>
      </c>
      <c r="B2726" s="7">
        <v>216000</v>
      </c>
      <c r="C2726" s="8">
        <v>-2.2624434389140302E-2</v>
      </c>
    </row>
    <row r="2727" spans="1:3" x14ac:dyDescent="0.45">
      <c r="A2727" s="2">
        <v>43533</v>
      </c>
      <c r="B2727" s="7">
        <v>218000</v>
      </c>
      <c r="C2727" s="8">
        <v>9.2592592592593004E-3</v>
      </c>
    </row>
    <row r="2728" spans="1:3" x14ac:dyDescent="0.45">
      <c r="A2728" s="2">
        <v>43540</v>
      </c>
      <c r="B2728" s="7">
        <v>212000</v>
      </c>
      <c r="C2728" s="8">
        <v>-2.752293577981646E-2</v>
      </c>
    </row>
    <row r="2729" spans="1:3" x14ac:dyDescent="0.45">
      <c r="A2729" s="2">
        <v>43547</v>
      </c>
      <c r="B2729" s="7">
        <v>210000</v>
      </c>
      <c r="C2729" s="8">
        <v>-9.4339622641509413E-3</v>
      </c>
    </row>
    <row r="2730" spans="1:3" x14ac:dyDescent="0.45">
      <c r="A2730" s="2">
        <v>43554</v>
      </c>
      <c r="B2730" s="7">
        <v>203000</v>
      </c>
      <c r="C2730" s="8">
        <v>-3.3333333333333326E-2</v>
      </c>
    </row>
    <row r="2731" spans="1:3" x14ac:dyDescent="0.45">
      <c r="A2731" s="2">
        <v>43561</v>
      </c>
      <c r="B2731" s="7">
        <v>196000</v>
      </c>
      <c r="C2731" s="8">
        <v>-3.4482758620689613E-2</v>
      </c>
    </row>
    <row r="2732" spans="1:3" x14ac:dyDescent="0.45">
      <c r="A2732" s="2">
        <v>43568</v>
      </c>
      <c r="B2732" s="7">
        <v>197000</v>
      </c>
      <c r="C2732" s="8">
        <v>5.1020408163264808E-3</v>
      </c>
    </row>
    <row r="2733" spans="1:3" x14ac:dyDescent="0.45">
      <c r="A2733" s="2">
        <v>43575</v>
      </c>
      <c r="B2733" s="7">
        <v>222000</v>
      </c>
      <c r="C2733" s="8">
        <v>0.12690355329949243</v>
      </c>
    </row>
    <row r="2734" spans="1:3" x14ac:dyDescent="0.45">
      <c r="A2734" s="2">
        <v>43582</v>
      </c>
      <c r="B2734" s="7">
        <v>224000</v>
      </c>
      <c r="C2734" s="8">
        <v>9.009009009008917E-3</v>
      </c>
    </row>
    <row r="2735" spans="1:3" x14ac:dyDescent="0.45">
      <c r="A2735" s="2">
        <v>43589</v>
      </c>
      <c r="B2735" s="7">
        <v>225000</v>
      </c>
      <c r="C2735" s="8">
        <v>4.4642857142858094E-3</v>
      </c>
    </row>
    <row r="2736" spans="1:3" x14ac:dyDescent="0.45">
      <c r="A2736" s="2">
        <v>43596</v>
      </c>
      <c r="B2736" s="7">
        <v>212000</v>
      </c>
      <c r="C2736" s="8">
        <v>-5.7777777777777817E-2</v>
      </c>
    </row>
    <row r="2737" spans="1:3" x14ac:dyDescent="0.45">
      <c r="A2737" s="2">
        <v>43603</v>
      </c>
      <c r="B2737" s="7">
        <v>215000</v>
      </c>
      <c r="C2737" s="8">
        <v>1.4150943396226356E-2</v>
      </c>
    </row>
    <row r="2738" spans="1:3" x14ac:dyDescent="0.45">
      <c r="A2738" s="2">
        <v>43610</v>
      </c>
      <c r="B2738" s="7">
        <v>222000</v>
      </c>
      <c r="C2738" s="8">
        <v>3.2558139534883734E-2</v>
      </c>
    </row>
    <row r="2739" spans="1:3" x14ac:dyDescent="0.45">
      <c r="A2739" s="2">
        <v>43617</v>
      </c>
      <c r="B2739" s="7">
        <v>223000</v>
      </c>
      <c r="C2739" s="8">
        <v>4.5045045045044585E-3</v>
      </c>
    </row>
    <row r="2740" spans="1:3" x14ac:dyDescent="0.45">
      <c r="A2740" s="2">
        <v>43624</v>
      </c>
      <c r="B2740" s="7">
        <v>226000</v>
      </c>
      <c r="C2740" s="8">
        <v>1.3452914798206317E-2</v>
      </c>
    </row>
    <row r="2741" spans="1:3" x14ac:dyDescent="0.45">
      <c r="A2741" s="2">
        <v>43631</v>
      </c>
      <c r="B2741" s="7">
        <v>217000</v>
      </c>
      <c r="C2741" s="8">
        <v>-3.9823008849557473E-2</v>
      </c>
    </row>
    <row r="2742" spans="1:3" x14ac:dyDescent="0.45">
      <c r="A2742" s="2">
        <v>43638</v>
      </c>
      <c r="B2742" s="7">
        <v>234000</v>
      </c>
      <c r="C2742" s="8">
        <v>7.8341013824884786E-2</v>
      </c>
    </row>
    <row r="2743" spans="1:3" x14ac:dyDescent="0.45">
      <c r="A2743" s="2">
        <v>43645</v>
      </c>
      <c r="B2743" s="7">
        <v>226000</v>
      </c>
      <c r="C2743" s="8">
        <v>-3.4188034188034178E-2</v>
      </c>
    </row>
    <row r="2744" spans="1:3" x14ac:dyDescent="0.45">
      <c r="A2744" s="2">
        <v>43652</v>
      </c>
      <c r="B2744" s="7">
        <v>215000</v>
      </c>
      <c r="C2744" s="8">
        <v>-4.8672566371681381E-2</v>
      </c>
    </row>
    <row r="2745" spans="1:3" x14ac:dyDescent="0.45">
      <c r="A2745" s="2">
        <v>43659</v>
      </c>
      <c r="B2745" s="7">
        <v>211000</v>
      </c>
      <c r="C2745" s="8">
        <v>-1.8604651162790753E-2</v>
      </c>
    </row>
    <row r="2746" spans="1:3" x14ac:dyDescent="0.45">
      <c r="A2746" s="2">
        <v>43666</v>
      </c>
      <c r="B2746" s="7">
        <v>202000</v>
      </c>
      <c r="C2746" s="8">
        <v>-4.2654028436018954E-2</v>
      </c>
    </row>
    <row r="2747" spans="1:3" x14ac:dyDescent="0.45">
      <c r="A2747" s="2">
        <v>43673</v>
      </c>
      <c r="B2747" s="7">
        <v>206000</v>
      </c>
      <c r="C2747" s="8">
        <v>1.980198019801982E-2</v>
      </c>
    </row>
    <row r="2748" spans="1:3" x14ac:dyDescent="0.45">
      <c r="A2748" s="2">
        <v>43680</v>
      </c>
      <c r="B2748" s="7">
        <v>208000</v>
      </c>
      <c r="C2748" s="8">
        <v>9.7087378640776656E-3</v>
      </c>
    </row>
    <row r="2749" spans="1:3" x14ac:dyDescent="0.45">
      <c r="A2749" s="2">
        <v>43687</v>
      </c>
      <c r="B2749" s="7">
        <v>212000</v>
      </c>
      <c r="C2749" s="8">
        <v>1.9230769230769162E-2</v>
      </c>
    </row>
    <row r="2750" spans="1:3" x14ac:dyDescent="0.45">
      <c r="A2750" s="2">
        <v>43694</v>
      </c>
      <c r="B2750" s="7">
        <v>207000</v>
      </c>
      <c r="C2750" s="8">
        <v>-2.3584905660377409E-2</v>
      </c>
    </row>
    <row r="2751" spans="1:3" x14ac:dyDescent="0.45">
      <c r="A2751" s="2">
        <v>43701</v>
      </c>
      <c r="B2751" s="7">
        <v>213000</v>
      </c>
      <c r="C2751" s="8">
        <v>2.8985507246376718E-2</v>
      </c>
    </row>
    <row r="2752" spans="1:3" x14ac:dyDescent="0.45">
      <c r="A2752" s="2">
        <v>43708</v>
      </c>
      <c r="B2752" s="7">
        <v>215000</v>
      </c>
      <c r="C2752" s="8">
        <v>9.3896713615022609E-3</v>
      </c>
    </row>
    <row r="2753" spans="1:3" x14ac:dyDescent="0.45">
      <c r="A2753" s="2">
        <v>43715</v>
      </c>
      <c r="B2753" s="7">
        <v>207000</v>
      </c>
      <c r="C2753" s="8">
        <v>-3.7209302325581395E-2</v>
      </c>
    </row>
    <row r="2754" spans="1:3" x14ac:dyDescent="0.45">
      <c r="A2754" s="2">
        <v>43722</v>
      </c>
      <c r="B2754" s="7">
        <v>205000</v>
      </c>
      <c r="C2754" s="8">
        <v>-9.6618357487923134E-3</v>
      </c>
    </row>
    <row r="2755" spans="1:3" x14ac:dyDescent="0.45">
      <c r="A2755" s="2">
        <v>43729</v>
      </c>
      <c r="B2755" s="7">
        <v>211000</v>
      </c>
      <c r="C2755" s="8">
        <v>2.9268292682926855E-2</v>
      </c>
    </row>
    <row r="2756" spans="1:3" x14ac:dyDescent="0.45">
      <c r="A2756" s="2">
        <v>43736</v>
      </c>
      <c r="B2756" s="7">
        <v>215000</v>
      </c>
      <c r="C2756" s="8">
        <v>1.8957345971563955E-2</v>
      </c>
    </row>
    <row r="2757" spans="1:3" x14ac:dyDescent="0.45">
      <c r="A2757" s="2">
        <v>43743</v>
      </c>
      <c r="B2757" s="7">
        <v>209000</v>
      </c>
      <c r="C2757" s="8">
        <v>-2.7906976744186074E-2</v>
      </c>
    </row>
    <row r="2758" spans="1:3" x14ac:dyDescent="0.45">
      <c r="A2758" s="2">
        <v>43750</v>
      </c>
      <c r="B2758" s="7">
        <v>215000</v>
      </c>
      <c r="C2758" s="8">
        <v>2.8708133971291794E-2</v>
      </c>
    </row>
    <row r="2759" spans="1:3" x14ac:dyDescent="0.45">
      <c r="A2759" s="2">
        <v>43757</v>
      </c>
      <c r="B2759" s="7">
        <v>210000</v>
      </c>
      <c r="C2759" s="8">
        <v>-2.3255813953488413E-2</v>
      </c>
    </row>
    <row r="2760" spans="1:3" x14ac:dyDescent="0.45">
      <c r="A2760" s="2">
        <v>43764</v>
      </c>
      <c r="B2760" s="7">
        <v>215000</v>
      </c>
      <c r="C2760" s="8">
        <v>2.3809523809523725E-2</v>
      </c>
    </row>
    <row r="2761" spans="1:3" x14ac:dyDescent="0.45">
      <c r="A2761" s="2">
        <v>43771</v>
      </c>
      <c r="B2761" s="7">
        <v>214000</v>
      </c>
      <c r="C2761" s="8">
        <v>-4.6511627906976605E-3</v>
      </c>
    </row>
    <row r="2762" spans="1:3" x14ac:dyDescent="0.45">
      <c r="A2762" s="2">
        <v>43778</v>
      </c>
      <c r="B2762" s="7">
        <v>227000</v>
      </c>
      <c r="C2762" s="8">
        <v>6.0747663551401931E-2</v>
      </c>
    </row>
    <row r="2763" spans="1:3" x14ac:dyDescent="0.45">
      <c r="A2763" s="2">
        <v>43785</v>
      </c>
      <c r="B2763" s="7">
        <v>229000</v>
      </c>
      <c r="C2763" s="8">
        <v>8.8105726872247381E-3</v>
      </c>
    </row>
    <row r="2764" spans="1:3" x14ac:dyDescent="0.45">
      <c r="A2764" s="2">
        <v>43792</v>
      </c>
      <c r="B2764" s="7">
        <v>221000</v>
      </c>
      <c r="C2764" s="8">
        <v>-3.4934497816593857E-2</v>
      </c>
    </row>
    <row r="2765" spans="1:3" x14ac:dyDescent="0.45">
      <c r="A2765" s="2">
        <v>43799</v>
      </c>
      <c r="B2765" s="7">
        <v>231000</v>
      </c>
      <c r="C2765" s="8">
        <v>4.5248868778280604E-2</v>
      </c>
    </row>
    <row r="2766" spans="1:3" x14ac:dyDescent="0.45">
      <c r="A2766" s="2">
        <v>43806</v>
      </c>
      <c r="B2766" s="7">
        <v>247000</v>
      </c>
      <c r="C2766" s="8">
        <v>6.9264069264069361E-2</v>
      </c>
    </row>
    <row r="2767" spans="1:3" x14ac:dyDescent="0.45">
      <c r="A2767" s="2">
        <v>43813</v>
      </c>
      <c r="B2767" s="7">
        <v>236000</v>
      </c>
      <c r="C2767" s="8">
        <v>-4.4534412955465563E-2</v>
      </c>
    </row>
    <row r="2768" spans="1:3" x14ac:dyDescent="0.45">
      <c r="A2768" s="2">
        <v>43820</v>
      </c>
      <c r="B2768" s="7">
        <v>230000</v>
      </c>
      <c r="C2768" s="8">
        <v>-2.5423728813559365E-2</v>
      </c>
    </row>
    <row r="2769" spans="1:3" x14ac:dyDescent="0.45">
      <c r="A2769" s="2">
        <v>43827</v>
      </c>
      <c r="B2769" s="7">
        <v>231000</v>
      </c>
      <c r="C2769" s="8">
        <v>4.3478260869564966E-3</v>
      </c>
    </row>
    <row r="2770" spans="1:3" x14ac:dyDescent="0.45">
      <c r="A2770" s="2">
        <v>43834</v>
      </c>
      <c r="B2770" s="7">
        <v>224000</v>
      </c>
      <c r="C2770" s="8">
        <v>-3.0303030303030276E-2</v>
      </c>
    </row>
    <row r="2771" spans="1:3" x14ac:dyDescent="0.45">
      <c r="A2771" s="2">
        <v>43841</v>
      </c>
      <c r="B2771" s="7">
        <v>207000</v>
      </c>
      <c r="C2771" s="8">
        <v>-7.5892857142857095E-2</v>
      </c>
    </row>
    <row r="2772" spans="1:3" x14ac:dyDescent="0.45">
      <c r="A2772" s="2">
        <v>43848</v>
      </c>
      <c r="B2772" s="7">
        <v>221000</v>
      </c>
      <c r="C2772" s="8">
        <v>6.7632850241545972E-2</v>
      </c>
    </row>
    <row r="2773" spans="1:3" x14ac:dyDescent="0.45">
      <c r="A2773" s="2">
        <v>43855</v>
      </c>
      <c r="B2773" s="7">
        <v>210000</v>
      </c>
      <c r="C2773" s="8">
        <v>-4.9773755656108642E-2</v>
      </c>
    </row>
    <row r="2774" spans="1:3" x14ac:dyDescent="0.45">
      <c r="A2774" s="2">
        <v>43862</v>
      </c>
      <c r="B2774" s="7">
        <v>207000</v>
      </c>
      <c r="C2774" s="8">
        <v>-1.4285714285714235E-2</v>
      </c>
    </row>
    <row r="2775" spans="1:3" x14ac:dyDescent="0.45">
      <c r="A2775" s="2">
        <v>43869</v>
      </c>
      <c r="B2775" s="7">
        <v>202000</v>
      </c>
      <c r="C2775" s="8">
        <v>-2.4154589371980673E-2</v>
      </c>
    </row>
    <row r="2776" spans="1:3" x14ac:dyDescent="0.45">
      <c r="A2776" s="2">
        <v>43876</v>
      </c>
      <c r="B2776" s="7">
        <v>209000</v>
      </c>
      <c r="C2776" s="8">
        <v>3.4653465346534684E-2</v>
      </c>
    </row>
    <row r="2777" spans="1:3" x14ac:dyDescent="0.45">
      <c r="A2777" s="2">
        <v>43883</v>
      </c>
      <c r="B2777" s="7">
        <v>218000</v>
      </c>
      <c r="C2777" s="8">
        <v>4.3062200956937691E-2</v>
      </c>
    </row>
    <row r="2778" spans="1:3" x14ac:dyDescent="0.45">
      <c r="A2778" s="2">
        <v>43890</v>
      </c>
      <c r="B2778" s="7">
        <v>215000</v>
      </c>
      <c r="C2778" s="8">
        <v>-1.3761467889908285E-2</v>
      </c>
    </row>
    <row r="2779" spans="1:3" x14ac:dyDescent="0.45">
      <c r="A2779" s="2">
        <v>43897</v>
      </c>
      <c r="B2779" s="7">
        <v>208000</v>
      </c>
      <c r="C2779" s="8">
        <v>-3.2558139534883734E-2</v>
      </c>
    </row>
    <row r="2780" spans="1:3" x14ac:dyDescent="0.45">
      <c r="A2780" s="2">
        <v>43904</v>
      </c>
      <c r="B2780" s="7">
        <v>273000</v>
      </c>
      <c r="C2780" s="8">
        <v>0.3125</v>
      </c>
    </row>
    <row r="2781" spans="1:3" x14ac:dyDescent="0.45">
      <c r="A2781" s="2">
        <v>43911</v>
      </c>
      <c r="B2781" s="7">
        <v>2914000</v>
      </c>
      <c r="C2781" s="8">
        <v>9.6739926739926734</v>
      </c>
    </row>
    <row r="2782" spans="1:3" x14ac:dyDescent="0.45">
      <c r="A2782" s="2">
        <v>43918</v>
      </c>
      <c r="B2782" s="7">
        <v>5946000</v>
      </c>
      <c r="C2782" s="8">
        <v>1.0404941660947151</v>
      </c>
    </row>
    <row r="2783" spans="1:3" x14ac:dyDescent="0.45">
      <c r="A2783" s="2">
        <v>43925</v>
      </c>
      <c r="B2783" s="7">
        <v>6137000</v>
      </c>
      <c r="C2783" s="8">
        <v>3.2122435250588666E-2</v>
      </c>
    </row>
    <row r="2784" spans="1:3" x14ac:dyDescent="0.45">
      <c r="A2784" s="2">
        <v>43932</v>
      </c>
      <c r="B2784" s="7">
        <v>4869000</v>
      </c>
      <c r="C2784" s="8">
        <v>-0.20661561023301289</v>
      </c>
    </row>
    <row r="2785" spans="1:3" x14ac:dyDescent="0.45">
      <c r="A2785" s="2">
        <v>43939</v>
      </c>
      <c r="B2785" s="7">
        <v>4201000</v>
      </c>
      <c r="C2785" s="8">
        <v>-0.1371944957896899</v>
      </c>
    </row>
    <row r="2786" spans="1:3" x14ac:dyDescent="0.45">
      <c r="A2786" s="2">
        <v>43946</v>
      </c>
      <c r="B2786" s="7">
        <v>3446000</v>
      </c>
      <c r="C2786" s="8">
        <v>-0.17971911449654843</v>
      </c>
    </row>
    <row r="2787" spans="1:3" x14ac:dyDescent="0.45">
      <c r="A2787" s="2">
        <v>43953</v>
      </c>
      <c r="B2787" s="7">
        <v>2796000</v>
      </c>
      <c r="C2787" s="8">
        <v>-0.18862449216482879</v>
      </c>
    </row>
    <row r="2788" spans="1:3" x14ac:dyDescent="0.45">
      <c r="A2788" s="2">
        <v>43960</v>
      </c>
      <c r="B2788" s="7">
        <v>2335000</v>
      </c>
      <c r="C2788" s="8">
        <v>-0.16487839771101576</v>
      </c>
    </row>
    <row r="2789" spans="1:3" x14ac:dyDescent="0.45">
      <c r="A2789" s="2">
        <v>43967</v>
      </c>
      <c r="B2789" s="7">
        <v>2176000</v>
      </c>
      <c r="C2789" s="8">
        <v>-6.8094218415417518E-2</v>
      </c>
    </row>
    <row r="2790" spans="1:3" x14ac:dyDescent="0.45">
      <c r="A2790" s="2">
        <v>43974</v>
      </c>
      <c r="B2790" s="7">
        <v>1921000</v>
      </c>
      <c r="C2790" s="8">
        <v>-0.1171875</v>
      </c>
    </row>
    <row r="2791" spans="1:3" x14ac:dyDescent="0.45">
      <c r="A2791" s="2">
        <v>43981</v>
      </c>
      <c r="B2791" s="7">
        <v>1639000</v>
      </c>
      <c r="C2791" s="8">
        <v>-0.14679854242581991</v>
      </c>
    </row>
    <row r="2792" spans="1:3" x14ac:dyDescent="0.45">
      <c r="A2792" s="2">
        <v>43988</v>
      </c>
      <c r="B2792" s="7">
        <v>1575000</v>
      </c>
      <c r="C2792" s="8">
        <v>-3.9048200122025589E-2</v>
      </c>
    </row>
    <row r="2793" spans="1:3" x14ac:dyDescent="0.45">
      <c r="A2793" s="2">
        <v>43995</v>
      </c>
      <c r="B2793" s="7">
        <v>1473000</v>
      </c>
      <c r="C2793" s="8">
        <v>-6.4761904761904798E-2</v>
      </c>
    </row>
    <row r="2794" spans="1:3" x14ac:dyDescent="0.45">
      <c r="A2794" s="2">
        <v>44002</v>
      </c>
      <c r="B2794" s="7">
        <v>1467000</v>
      </c>
      <c r="C2794" s="8">
        <v>-4.0733197556007683E-3</v>
      </c>
    </row>
    <row r="2795" spans="1:3" x14ac:dyDescent="0.45">
      <c r="A2795" s="2">
        <v>44009</v>
      </c>
      <c r="B2795" s="7">
        <v>1446000</v>
      </c>
      <c r="C2795" s="8">
        <v>-1.4314928425357865E-2</v>
      </c>
    </row>
    <row r="2796" spans="1:3" x14ac:dyDescent="0.45">
      <c r="A2796" s="2">
        <v>44016</v>
      </c>
      <c r="B2796" s="7">
        <v>1413000</v>
      </c>
      <c r="C2796" s="8">
        <v>-2.2821576763485507E-2</v>
      </c>
    </row>
    <row r="2797" spans="1:3" x14ac:dyDescent="0.45">
      <c r="A2797" s="2">
        <v>44023</v>
      </c>
      <c r="B2797" s="7">
        <v>1468000</v>
      </c>
      <c r="C2797" s="8">
        <v>3.8924274593064467E-2</v>
      </c>
    </row>
    <row r="2798" spans="1:3" x14ac:dyDescent="0.45">
      <c r="A2798" s="2">
        <v>44030</v>
      </c>
      <c r="B2798" s="7">
        <v>1393000</v>
      </c>
      <c r="C2798" s="8">
        <v>-5.108991825613074E-2</v>
      </c>
    </row>
    <row r="2799" spans="1:3" x14ac:dyDescent="0.45">
      <c r="A2799" s="2">
        <v>44037</v>
      </c>
      <c r="B2799" s="7">
        <v>1260000</v>
      </c>
      <c r="C2799" s="8">
        <v>-9.5477386934673336E-2</v>
      </c>
    </row>
    <row r="2800" spans="1:3" x14ac:dyDescent="0.45">
      <c r="A2800" s="2">
        <v>44044</v>
      </c>
      <c r="B2800" s="7">
        <v>1044000</v>
      </c>
      <c r="C2800" s="8">
        <v>-0.17142857142857137</v>
      </c>
    </row>
    <row r="2801" spans="1:3" x14ac:dyDescent="0.45">
      <c r="A2801" s="2">
        <v>44051</v>
      </c>
      <c r="B2801" s="7">
        <v>884000</v>
      </c>
      <c r="C2801" s="8">
        <v>-0.15325670498084287</v>
      </c>
    </row>
    <row r="2802" spans="1:3" x14ac:dyDescent="0.45">
      <c r="A2802" s="2">
        <v>44058</v>
      </c>
      <c r="B2802" s="7">
        <v>927000</v>
      </c>
      <c r="C2802" s="8">
        <v>4.8642533936651633E-2</v>
      </c>
    </row>
    <row r="2803" spans="1:3" x14ac:dyDescent="0.45">
      <c r="A2803" s="2">
        <v>44065</v>
      </c>
      <c r="B2803" s="7">
        <v>876000</v>
      </c>
      <c r="C2803" s="8">
        <v>-5.5016181229773475E-2</v>
      </c>
    </row>
    <row r="2804" spans="1:3" x14ac:dyDescent="0.45">
      <c r="A2804" s="2">
        <v>44072</v>
      </c>
      <c r="B2804" s="7">
        <v>881000</v>
      </c>
      <c r="C2804" s="8">
        <v>5.7077625570776114E-3</v>
      </c>
    </row>
    <row r="2805" spans="1:3" x14ac:dyDescent="0.45">
      <c r="A2805" s="2">
        <v>44079</v>
      </c>
      <c r="B2805" s="7">
        <v>892000</v>
      </c>
      <c r="C2805" s="8">
        <v>1.2485811577752637E-2</v>
      </c>
    </row>
    <row r="2806" spans="1:3" x14ac:dyDescent="0.45">
      <c r="A2806" s="2">
        <v>44086</v>
      </c>
      <c r="B2806" s="7">
        <v>861000</v>
      </c>
      <c r="C2806" s="8">
        <v>-3.4753363228699596E-2</v>
      </c>
    </row>
    <row r="2807" spans="1:3" x14ac:dyDescent="0.45">
      <c r="A2807" s="2">
        <v>44093</v>
      </c>
      <c r="B2807" s="7">
        <v>859000</v>
      </c>
      <c r="C2807" s="8">
        <v>-2.3228803716608404E-3</v>
      </c>
    </row>
    <row r="2808" spans="1:3" x14ac:dyDescent="0.45">
      <c r="A2808" s="2">
        <v>44100</v>
      </c>
      <c r="B2808" s="7">
        <v>795000</v>
      </c>
      <c r="C2808" s="8">
        <v>-7.4505238649592576E-2</v>
      </c>
    </row>
    <row r="2809" spans="1:3" x14ac:dyDescent="0.45">
      <c r="A2809" s="2">
        <v>44107</v>
      </c>
      <c r="B2809" s="7">
        <v>785000</v>
      </c>
      <c r="C2809" s="8">
        <v>-1.2578616352201255E-2</v>
      </c>
    </row>
    <row r="2810" spans="1:3" x14ac:dyDescent="0.45">
      <c r="A2810" s="2">
        <v>44114</v>
      </c>
      <c r="B2810" s="7">
        <v>839000</v>
      </c>
      <c r="C2810" s="8">
        <v>6.8789808917197437E-2</v>
      </c>
    </row>
    <row r="2811" spans="1:3" x14ac:dyDescent="0.45">
      <c r="A2811" s="2">
        <v>44121</v>
      </c>
      <c r="B2811" s="7">
        <v>804000</v>
      </c>
      <c r="C2811" s="8">
        <v>-4.1716328963051219E-2</v>
      </c>
    </row>
    <row r="2812" spans="1:3" x14ac:dyDescent="0.45">
      <c r="A2812" s="2">
        <v>44128</v>
      </c>
      <c r="B2812" s="7">
        <v>776000</v>
      </c>
      <c r="C2812" s="8">
        <v>-3.4825870646766122E-2</v>
      </c>
    </row>
    <row r="2813" spans="1:3" x14ac:dyDescent="0.45">
      <c r="A2813" s="2">
        <v>44135</v>
      </c>
      <c r="B2813" s="7">
        <v>773000</v>
      </c>
      <c r="C2813" s="8">
        <v>-3.8659793814432852E-3</v>
      </c>
    </row>
    <row r="2814" spans="1:3" x14ac:dyDescent="0.45">
      <c r="A2814" s="2">
        <v>44142</v>
      </c>
      <c r="B2814" s="7">
        <v>737000</v>
      </c>
      <c r="C2814" s="8">
        <v>-4.6571798188874469E-2</v>
      </c>
    </row>
    <row r="2815" spans="1:3" x14ac:dyDescent="0.45">
      <c r="A2815" s="2">
        <v>44149</v>
      </c>
      <c r="B2815" s="7">
        <v>738000</v>
      </c>
      <c r="C2815" s="8">
        <v>1.3568521031208647E-3</v>
      </c>
    </row>
    <row r="2816" spans="1:3" x14ac:dyDescent="0.45">
      <c r="A2816" s="2">
        <v>44156</v>
      </c>
      <c r="B2816" s="7">
        <v>793000</v>
      </c>
      <c r="C2816" s="8">
        <v>7.4525745257452591E-2</v>
      </c>
    </row>
    <row r="2817" spans="1:3" x14ac:dyDescent="0.45">
      <c r="A2817" s="2">
        <v>44163</v>
      </c>
      <c r="B2817" s="7">
        <v>737000</v>
      </c>
      <c r="C2817" s="8">
        <v>-7.0617906683480447E-2</v>
      </c>
    </row>
    <row r="2818" spans="1:3" x14ac:dyDescent="0.45">
      <c r="A2818" s="2">
        <v>44170</v>
      </c>
      <c r="B2818" s="7">
        <v>873000</v>
      </c>
      <c r="C2818" s="8">
        <v>0.18453188602442339</v>
      </c>
    </row>
    <row r="2819" spans="1:3" x14ac:dyDescent="0.45">
      <c r="A2819" s="2">
        <v>44177</v>
      </c>
      <c r="B2819" s="7">
        <v>886000</v>
      </c>
      <c r="C2819" s="8">
        <v>1.4891179839633395E-2</v>
      </c>
    </row>
    <row r="2820" spans="1:3" x14ac:dyDescent="0.45">
      <c r="A2820" s="2">
        <v>44184</v>
      </c>
      <c r="B2820" s="7">
        <v>815000</v>
      </c>
      <c r="C2820" s="8">
        <v>-8.0135440180586937E-2</v>
      </c>
    </row>
    <row r="2821" spans="1:3" x14ac:dyDescent="0.45">
      <c r="A2821" s="2">
        <v>44191</v>
      </c>
      <c r="B2821" s="7">
        <v>773000</v>
      </c>
      <c r="C2821" s="8">
        <v>-5.1533742331288379E-2</v>
      </c>
    </row>
    <row r="2822" spans="1:3" x14ac:dyDescent="0.45">
      <c r="A2822" s="2">
        <v>44198</v>
      </c>
      <c r="B2822" s="7">
        <v>803000</v>
      </c>
      <c r="C2822" s="8">
        <v>3.8809831824062169E-2</v>
      </c>
    </row>
    <row r="2823" spans="1:3" x14ac:dyDescent="0.45">
      <c r="A2823" s="2">
        <v>44205</v>
      </c>
      <c r="B2823" s="7">
        <v>890000</v>
      </c>
      <c r="C2823" s="8">
        <v>0.1083437110834371</v>
      </c>
    </row>
    <row r="2824" spans="1:3" x14ac:dyDescent="0.45">
      <c r="A2824" s="2">
        <v>44212</v>
      </c>
      <c r="B2824" s="7">
        <v>844000</v>
      </c>
      <c r="C2824" s="8">
        <v>-5.1685393258426915E-2</v>
      </c>
    </row>
    <row r="2825" spans="1:3" x14ac:dyDescent="0.45">
      <c r="A2825" s="2">
        <v>44219</v>
      </c>
      <c r="B2825" s="7">
        <v>799000</v>
      </c>
      <c r="C2825" s="8">
        <v>-5.331753554502372E-2</v>
      </c>
    </row>
    <row r="2826" spans="1:3" x14ac:dyDescent="0.45">
      <c r="A2826" s="2">
        <v>44226</v>
      </c>
      <c r="B2826" s="7">
        <v>803000</v>
      </c>
      <c r="C2826" s="8">
        <v>5.0062578222778154E-3</v>
      </c>
    </row>
    <row r="2827" spans="1:3" x14ac:dyDescent="0.45">
      <c r="A2827" s="2">
        <v>44233</v>
      </c>
      <c r="B2827" s="7">
        <v>812000</v>
      </c>
      <c r="C2827" s="8">
        <v>1.1207970112079746E-2</v>
      </c>
    </row>
    <row r="2828" spans="1:3" x14ac:dyDescent="0.45">
      <c r="A2828" s="2">
        <v>44240</v>
      </c>
      <c r="B2828" s="7">
        <v>802000</v>
      </c>
      <c r="C2828" s="8">
        <v>-1.2315270935960632E-2</v>
      </c>
    </row>
    <row r="2829" spans="1:3" x14ac:dyDescent="0.45">
      <c r="A2829" s="2">
        <v>44247</v>
      </c>
      <c r="B2829" s="7">
        <v>702000</v>
      </c>
      <c r="C2829" s="8">
        <v>-0.12468827930174564</v>
      </c>
    </row>
    <row r="2830" spans="1:3" x14ac:dyDescent="0.45">
      <c r="A2830" s="2">
        <v>44254</v>
      </c>
      <c r="B2830" s="7">
        <v>704000</v>
      </c>
      <c r="C2830" s="8">
        <v>2.8490028490029129E-3</v>
      </c>
    </row>
    <row r="2831" spans="1:3" x14ac:dyDescent="0.45">
      <c r="A2831" s="2">
        <v>44261</v>
      </c>
      <c r="B2831" s="7">
        <v>693000</v>
      </c>
      <c r="C2831" s="8">
        <v>-1.5625E-2</v>
      </c>
    </row>
    <row r="2832" spans="1:3" x14ac:dyDescent="0.45">
      <c r="A2832" s="2">
        <v>44268</v>
      </c>
      <c r="B2832" s="7">
        <v>699000</v>
      </c>
      <c r="C2832" s="8">
        <v>8.6580086580085869E-3</v>
      </c>
    </row>
    <row r="2833" spans="1:3" x14ac:dyDescent="0.45">
      <c r="A2833" s="2">
        <v>44275</v>
      </c>
      <c r="B2833" s="7">
        <v>627000</v>
      </c>
      <c r="C2833" s="8">
        <v>-0.10300429184549353</v>
      </c>
    </row>
    <row r="2834" spans="1:3" x14ac:dyDescent="0.45">
      <c r="A2834" s="2">
        <v>44282</v>
      </c>
      <c r="B2834" s="7">
        <v>658000</v>
      </c>
      <c r="C2834" s="8">
        <v>4.944178628389162E-2</v>
      </c>
    </row>
    <row r="2835" spans="1:3" x14ac:dyDescent="0.45">
      <c r="A2835" s="2">
        <v>44289</v>
      </c>
      <c r="B2835" s="7">
        <v>645000</v>
      </c>
      <c r="C2835" s="8">
        <v>-1.9756838905775065E-2</v>
      </c>
    </row>
    <row r="2836" spans="1:3" x14ac:dyDescent="0.45">
      <c r="A2836" s="2">
        <v>44296</v>
      </c>
      <c r="B2836" s="7">
        <v>571000</v>
      </c>
      <c r="C2836" s="8">
        <v>-0.11472868217054266</v>
      </c>
    </row>
    <row r="2837" spans="1:3" x14ac:dyDescent="0.45">
      <c r="A2837" s="2">
        <v>44303</v>
      </c>
      <c r="B2837" s="7">
        <v>566000</v>
      </c>
      <c r="C2837" s="8">
        <v>-8.7565674255691839E-3</v>
      </c>
    </row>
    <row r="2838" spans="1:3" x14ac:dyDescent="0.45">
      <c r="A2838" s="2">
        <v>44310</v>
      </c>
      <c r="B2838" s="7">
        <v>574000</v>
      </c>
      <c r="C2838" s="8">
        <v>1.4134275618374659E-2</v>
      </c>
    </row>
    <row r="2839" spans="1:3" x14ac:dyDescent="0.45">
      <c r="A2839" s="2">
        <v>44317</v>
      </c>
      <c r="B2839" s="7">
        <v>517000</v>
      </c>
      <c r="C2839" s="8">
        <v>-9.9303135888501703E-2</v>
      </c>
    </row>
    <row r="2840" spans="1:3" x14ac:dyDescent="0.45">
      <c r="A2840" s="2">
        <v>44324</v>
      </c>
      <c r="B2840" s="7">
        <v>494000</v>
      </c>
      <c r="C2840" s="8">
        <v>-4.4487427466150864E-2</v>
      </c>
    </row>
    <row r="2841" spans="1:3" x14ac:dyDescent="0.45">
      <c r="A2841" s="2">
        <v>44331</v>
      </c>
      <c r="B2841" s="7">
        <v>467000</v>
      </c>
      <c r="C2841" s="8">
        <v>-5.4655870445344146E-2</v>
      </c>
    </row>
    <row r="2842" spans="1:3" x14ac:dyDescent="0.45">
      <c r="A2842" s="2">
        <v>44338</v>
      </c>
      <c r="B2842" s="7">
        <v>441000</v>
      </c>
      <c r="C2842" s="8">
        <v>-5.5674518201284773E-2</v>
      </c>
    </row>
    <row r="2843" spans="1:3" x14ac:dyDescent="0.45">
      <c r="A2843" s="2">
        <v>44345</v>
      </c>
      <c r="B2843" s="7">
        <v>427000</v>
      </c>
      <c r="C2843" s="8">
        <v>-3.1746031746031744E-2</v>
      </c>
    </row>
    <row r="2844" spans="1:3" x14ac:dyDescent="0.45">
      <c r="A2844" s="2">
        <v>44352</v>
      </c>
      <c r="B2844" s="7">
        <v>420000</v>
      </c>
      <c r="C2844" s="8">
        <v>-1.6393442622950838E-2</v>
      </c>
    </row>
    <row r="2845" spans="1:3" x14ac:dyDescent="0.45">
      <c r="A2845" s="2">
        <v>44359</v>
      </c>
      <c r="B2845" s="7">
        <v>428000</v>
      </c>
      <c r="C2845" s="8">
        <v>1.904761904761898E-2</v>
      </c>
    </row>
    <row r="2846" spans="1:3" x14ac:dyDescent="0.45">
      <c r="A2846" s="2">
        <v>44366</v>
      </c>
      <c r="B2846" s="7">
        <v>422000</v>
      </c>
      <c r="C2846" s="8">
        <v>-1.4018691588784993E-2</v>
      </c>
    </row>
    <row r="2847" spans="1:3" x14ac:dyDescent="0.45">
      <c r="A2847" s="2">
        <v>44373</v>
      </c>
      <c r="B2847" s="7">
        <v>368000</v>
      </c>
      <c r="C2847" s="8">
        <v>-0.12796208530805686</v>
      </c>
    </row>
    <row r="2848" spans="1:3" x14ac:dyDescent="0.45">
      <c r="A2848" s="2">
        <v>44380</v>
      </c>
      <c r="B2848" s="7">
        <v>371000</v>
      </c>
      <c r="C2848" s="8">
        <v>8.152173913043459E-3</v>
      </c>
    </row>
    <row r="2849" spans="1:3" x14ac:dyDescent="0.45">
      <c r="A2849" s="2">
        <v>44387</v>
      </c>
      <c r="B2849" s="7">
        <v>333000</v>
      </c>
      <c r="C2849" s="8">
        <v>-0.10242587601078168</v>
      </c>
    </row>
    <row r="2850" spans="1:3" x14ac:dyDescent="0.45">
      <c r="A2850" s="2">
        <v>44394</v>
      </c>
      <c r="B2850" s="7">
        <v>387000</v>
      </c>
      <c r="C2850" s="8">
        <v>0.16216216216216206</v>
      </c>
    </row>
    <row r="2851" spans="1:3" x14ac:dyDescent="0.45">
      <c r="A2851" s="2">
        <v>44401</v>
      </c>
      <c r="B2851" s="7">
        <v>380000</v>
      </c>
      <c r="C2851" s="8">
        <v>-1.8087855297157618E-2</v>
      </c>
    </row>
    <row r="2852" spans="1:3" x14ac:dyDescent="0.45">
      <c r="A2852" s="2">
        <v>44408</v>
      </c>
      <c r="B2852" s="7">
        <v>379000</v>
      </c>
      <c r="C2852" s="8">
        <v>-2.6315789473684292E-3</v>
      </c>
    </row>
    <row r="2853" spans="1:3" x14ac:dyDescent="0.45">
      <c r="A2853" s="2">
        <v>44415</v>
      </c>
      <c r="B2853" s="7">
        <v>361000</v>
      </c>
      <c r="C2853" s="8">
        <v>-4.7493403693931402E-2</v>
      </c>
    </row>
    <row r="2854" spans="1:3" x14ac:dyDescent="0.45">
      <c r="A2854" s="2">
        <v>44422</v>
      </c>
      <c r="B2854" s="7">
        <v>367000</v>
      </c>
      <c r="C2854" s="8">
        <v>1.6620498614958512E-2</v>
      </c>
    </row>
    <row r="2855" spans="1:3" x14ac:dyDescent="0.45">
      <c r="A2855" s="2">
        <v>44429</v>
      </c>
      <c r="B2855" s="7">
        <v>358000</v>
      </c>
      <c r="C2855" s="8">
        <v>-2.4523160762942808E-2</v>
      </c>
    </row>
    <row r="2856" spans="1:3" x14ac:dyDescent="0.45">
      <c r="A2856" s="2">
        <v>44436</v>
      </c>
      <c r="B2856" s="7">
        <v>353000</v>
      </c>
      <c r="C2856" s="8">
        <v>-1.3966480446927387E-2</v>
      </c>
    </row>
    <row r="2857" spans="1:3" x14ac:dyDescent="0.45">
      <c r="A2857" s="2">
        <v>44443</v>
      </c>
      <c r="B2857" s="7">
        <v>335000</v>
      </c>
      <c r="C2857" s="8">
        <v>-5.0991501416430607E-2</v>
      </c>
    </row>
    <row r="2858" spans="1:3" x14ac:dyDescent="0.45">
      <c r="A2858" s="2">
        <v>44450</v>
      </c>
      <c r="B2858" s="7">
        <v>342000</v>
      </c>
      <c r="C2858" s="8">
        <v>2.0895522388059806E-2</v>
      </c>
    </row>
    <row r="2859" spans="1:3" x14ac:dyDescent="0.45">
      <c r="A2859" s="2">
        <v>44457</v>
      </c>
      <c r="B2859" s="7">
        <v>367000</v>
      </c>
      <c r="C2859" s="8">
        <v>7.3099415204678442E-2</v>
      </c>
    </row>
    <row r="2860" spans="1:3" x14ac:dyDescent="0.45">
      <c r="A2860" s="2">
        <v>44464</v>
      </c>
      <c r="B2860" s="7">
        <v>375000</v>
      </c>
      <c r="C2860" s="8">
        <v>2.1798365122615904E-2</v>
      </c>
    </row>
    <row r="2861" spans="1:3" x14ac:dyDescent="0.45">
      <c r="A2861" s="2">
        <v>44471</v>
      </c>
      <c r="B2861" s="7">
        <v>312000</v>
      </c>
      <c r="C2861" s="8">
        <v>-0.16800000000000004</v>
      </c>
    </row>
    <row r="2862" spans="1:3" x14ac:dyDescent="0.45">
      <c r="A2862" s="2">
        <v>44478</v>
      </c>
      <c r="B2862" s="7">
        <v>291000</v>
      </c>
      <c r="C2862" s="8">
        <v>-6.7307692307692291E-2</v>
      </c>
    </row>
    <row r="2863" spans="1:3" x14ac:dyDescent="0.45">
      <c r="A2863" s="2">
        <v>44485</v>
      </c>
      <c r="B2863" s="7">
        <v>289000</v>
      </c>
      <c r="C2863" s="8">
        <v>-6.8728522336769515E-3</v>
      </c>
    </row>
    <row r="2864" spans="1:3" x14ac:dyDescent="0.45">
      <c r="A2864" s="2">
        <v>44492</v>
      </c>
      <c r="B2864" s="7">
        <v>269000</v>
      </c>
      <c r="C2864" s="8">
        <v>-6.9204152249134898E-2</v>
      </c>
    </row>
    <row r="2865" spans="1:3" x14ac:dyDescent="0.45">
      <c r="A2865" s="2">
        <v>44499</v>
      </c>
      <c r="B2865" s="7">
        <v>261000</v>
      </c>
      <c r="C2865" s="8">
        <v>-2.9739776951672847E-2</v>
      </c>
    </row>
    <row r="2866" spans="1:3" x14ac:dyDescent="0.45">
      <c r="A2866" s="2">
        <v>44506</v>
      </c>
      <c r="B2866" s="7">
        <v>251000</v>
      </c>
      <c r="C2866" s="8">
        <v>-3.8314176245210718E-2</v>
      </c>
    </row>
    <row r="2867" spans="1:3" x14ac:dyDescent="0.45">
      <c r="A2867" s="2">
        <v>44513</v>
      </c>
      <c r="B2867" s="7">
        <v>250000</v>
      </c>
      <c r="C2867" s="8">
        <v>-3.9840637450199168E-3</v>
      </c>
    </row>
    <row r="2868" spans="1:3" x14ac:dyDescent="0.45">
      <c r="A2868" s="2">
        <v>44520</v>
      </c>
      <c r="B2868" s="7">
        <v>224000</v>
      </c>
      <c r="C2868" s="8">
        <v>-0.10399999999999998</v>
      </c>
    </row>
    <row r="2869" spans="1:3" x14ac:dyDescent="0.45">
      <c r="A2869" s="2">
        <v>44527</v>
      </c>
      <c r="B2869" s="7">
        <v>221000</v>
      </c>
      <c r="C2869" s="8">
        <v>-1.3392857142857095E-2</v>
      </c>
    </row>
    <row r="2870" spans="1:3" x14ac:dyDescent="0.45">
      <c r="A2870" s="2">
        <v>44534</v>
      </c>
      <c r="B2870" s="7">
        <v>206000</v>
      </c>
      <c r="C2870" s="8">
        <v>-6.7873303167420795E-2</v>
      </c>
    </row>
    <row r="2871" spans="1:3" x14ac:dyDescent="0.45">
      <c r="A2871" s="2">
        <v>44541</v>
      </c>
      <c r="B2871" s="7">
        <v>227000</v>
      </c>
      <c r="C2871" s="8">
        <v>0.10194174757281549</v>
      </c>
    </row>
    <row r="2872" spans="1:3" x14ac:dyDescent="0.45">
      <c r="A2872" s="2">
        <v>44548</v>
      </c>
      <c r="B2872" s="7">
        <v>215000</v>
      </c>
      <c r="C2872" s="8">
        <v>-5.2863436123347984E-2</v>
      </c>
    </row>
    <row r="2873" spans="1:3" x14ac:dyDescent="0.45">
      <c r="A2873" s="2">
        <v>44555</v>
      </c>
      <c r="B2873" s="7">
        <v>217000</v>
      </c>
      <c r="C2873" s="8">
        <v>9.302325581395321E-3</v>
      </c>
    </row>
    <row r="2874" spans="1:3" x14ac:dyDescent="0.45">
      <c r="A2874" s="2">
        <v>44562</v>
      </c>
      <c r="B2874" s="7">
        <v>229000</v>
      </c>
      <c r="C2874" s="8">
        <v>5.5299539170506895E-2</v>
      </c>
    </row>
    <row r="2875" spans="1:3" x14ac:dyDescent="0.45">
      <c r="A2875" s="2">
        <v>44569</v>
      </c>
      <c r="B2875" s="7">
        <v>250000</v>
      </c>
      <c r="C2875" s="8">
        <v>9.1703056768559055E-2</v>
      </c>
    </row>
    <row r="2876" spans="1:3" x14ac:dyDescent="0.45">
      <c r="A2876" s="2">
        <v>44576</v>
      </c>
      <c r="B2876" s="7">
        <v>246000</v>
      </c>
      <c r="C2876" s="8">
        <v>-1.6000000000000014E-2</v>
      </c>
    </row>
    <row r="2877" spans="1:3" x14ac:dyDescent="0.45">
      <c r="A2877" s="2">
        <v>44583</v>
      </c>
      <c r="B2877" s="7">
        <v>240000</v>
      </c>
      <c r="C2877" s="8">
        <v>-2.4390243902439046E-2</v>
      </c>
    </row>
    <row r="2878" spans="1:3" x14ac:dyDescent="0.45">
      <c r="A2878" s="2">
        <v>44590</v>
      </c>
      <c r="B2878" s="7">
        <v>231000</v>
      </c>
      <c r="C2878" s="8">
        <v>-3.7499999999999978E-2</v>
      </c>
    </row>
    <row r="2879" spans="1:3" x14ac:dyDescent="0.45">
      <c r="A2879" s="2">
        <v>44597</v>
      </c>
      <c r="B2879" s="7">
        <v>210000</v>
      </c>
      <c r="C2879" s="8">
        <v>-9.0909090909090939E-2</v>
      </c>
    </row>
    <row r="2880" spans="1:3" x14ac:dyDescent="0.45">
      <c r="A2880" s="2">
        <v>44604</v>
      </c>
      <c r="B2880" s="7">
        <v>234000</v>
      </c>
      <c r="C2880" s="8">
        <v>0.11428571428571432</v>
      </c>
    </row>
    <row r="2881" spans="1:3" x14ac:dyDescent="0.45">
      <c r="A2881" s="2">
        <v>44611</v>
      </c>
      <c r="B2881" s="7">
        <v>224000</v>
      </c>
      <c r="C2881" s="8">
        <v>-4.2735042735042694E-2</v>
      </c>
    </row>
    <row r="2882" spans="1:3" x14ac:dyDescent="0.45">
      <c r="A2882" s="2">
        <v>44618</v>
      </c>
      <c r="B2882" s="7">
        <v>208000</v>
      </c>
      <c r="C2882" s="8">
        <v>-7.1428571428571397E-2</v>
      </c>
    </row>
    <row r="2883" spans="1:3" x14ac:dyDescent="0.45">
      <c r="A2883" s="2">
        <v>44625</v>
      </c>
      <c r="B2883" s="7">
        <v>222000</v>
      </c>
      <c r="C2883" s="8">
        <v>6.7307692307692291E-2</v>
      </c>
    </row>
    <row r="2884" spans="1:3" x14ac:dyDescent="0.45">
      <c r="A2884" s="2">
        <v>44632</v>
      </c>
      <c r="B2884" s="7">
        <v>217000</v>
      </c>
      <c r="C2884" s="8">
        <v>-2.2522522522522515E-2</v>
      </c>
    </row>
    <row r="2885" spans="1:3" x14ac:dyDescent="0.45">
      <c r="A2885" s="2">
        <v>44639</v>
      </c>
      <c r="B2885" s="7">
        <v>207000</v>
      </c>
      <c r="C2885" s="8">
        <v>-4.6082949308755783E-2</v>
      </c>
    </row>
    <row r="2886" spans="1:3" x14ac:dyDescent="0.45">
      <c r="A2886" s="2">
        <v>44646</v>
      </c>
      <c r="B2886" s="7">
        <v>214000</v>
      </c>
      <c r="C2886" s="8">
        <v>3.3816425120772875E-2</v>
      </c>
    </row>
    <row r="2887" spans="1:3" x14ac:dyDescent="0.45">
      <c r="A2887" s="2">
        <v>44653</v>
      </c>
      <c r="B2887" s="7">
        <v>214000</v>
      </c>
      <c r="C2887" s="8">
        <v>0</v>
      </c>
    </row>
    <row r="2888" spans="1:3" x14ac:dyDescent="0.45">
      <c r="A2888" s="2">
        <v>44660</v>
      </c>
      <c r="B2888" s="7">
        <v>214000</v>
      </c>
      <c r="C2888" s="8">
        <v>0</v>
      </c>
    </row>
    <row r="2889" spans="1:3" x14ac:dyDescent="0.45">
      <c r="A2889" s="2">
        <v>44667</v>
      </c>
      <c r="B2889" s="7">
        <v>210000</v>
      </c>
      <c r="C2889" s="8">
        <v>-1.8691588785046731E-2</v>
      </c>
    </row>
    <row r="2890" spans="1:3" x14ac:dyDescent="0.45">
      <c r="A2890" s="2">
        <v>44674</v>
      </c>
      <c r="B2890" s="7">
        <v>209000</v>
      </c>
      <c r="C2890" s="8">
        <v>-4.761904761904745E-3</v>
      </c>
    </row>
    <row r="2891" spans="1:3" x14ac:dyDescent="0.45">
      <c r="A2891" s="2">
        <v>44681</v>
      </c>
      <c r="B2891" s="7">
        <v>218000</v>
      </c>
      <c r="C2891" s="8">
        <v>4.3062200956937691E-2</v>
      </c>
    </row>
    <row r="2892" spans="1:3" x14ac:dyDescent="0.45">
      <c r="A2892" s="2">
        <v>44688</v>
      </c>
      <c r="B2892" s="7">
        <v>204000</v>
      </c>
      <c r="C2892" s="8">
        <v>-6.422018348623848E-2</v>
      </c>
    </row>
    <row r="2893" spans="1:3" x14ac:dyDescent="0.45">
      <c r="A2893" s="2">
        <v>44695</v>
      </c>
      <c r="B2893" s="7">
        <v>225000</v>
      </c>
      <c r="C2893" s="8">
        <v>0.10294117647058831</v>
      </c>
    </row>
    <row r="2894" spans="1:3" x14ac:dyDescent="0.45">
      <c r="A2894" s="2">
        <v>44702</v>
      </c>
      <c r="B2894" s="7">
        <v>211000</v>
      </c>
      <c r="C2894" s="8">
        <v>-6.2222222222222179E-2</v>
      </c>
    </row>
    <row r="2895" spans="1:3" x14ac:dyDescent="0.45">
      <c r="A2895" s="2">
        <v>44709</v>
      </c>
      <c r="B2895" s="7">
        <v>199000</v>
      </c>
      <c r="C2895" s="8">
        <v>-5.6872037914691975E-2</v>
      </c>
    </row>
    <row r="2896" spans="1:3" x14ac:dyDescent="0.45">
      <c r="A2896" s="2">
        <v>44716</v>
      </c>
      <c r="B2896" s="7">
        <v>213000</v>
      </c>
      <c r="C2896" s="8">
        <v>7.0351758793969932E-2</v>
      </c>
    </row>
    <row r="2897" spans="1:3" x14ac:dyDescent="0.45">
      <c r="A2897" s="2">
        <v>44723</v>
      </c>
      <c r="B2897" s="7">
        <v>211000</v>
      </c>
      <c r="C2897" s="8">
        <v>-9.3896713615023719E-3</v>
      </c>
    </row>
    <row r="2898" spans="1:3" x14ac:dyDescent="0.45">
      <c r="A2898" s="2">
        <v>44730</v>
      </c>
      <c r="B2898" s="7">
        <v>214000</v>
      </c>
      <c r="C2898" s="8">
        <v>1.4218009478673022E-2</v>
      </c>
    </row>
    <row r="2899" spans="1:3" x14ac:dyDescent="0.45">
      <c r="A2899" s="2">
        <v>44737</v>
      </c>
      <c r="B2899" s="7">
        <v>212000</v>
      </c>
      <c r="C2899" s="8">
        <v>-9.3457943925233655E-3</v>
      </c>
    </row>
    <row r="2900" spans="1:3" x14ac:dyDescent="0.45">
      <c r="A2900" s="2">
        <v>44744</v>
      </c>
      <c r="B2900" s="7">
        <v>214000</v>
      </c>
      <c r="C2900" s="8">
        <v>9.4339622641510523E-3</v>
      </c>
    </row>
    <row r="2901" spans="1:3" x14ac:dyDescent="0.45">
      <c r="A2901" s="2">
        <v>44751</v>
      </c>
      <c r="B2901" s="7">
        <v>212000</v>
      </c>
      <c r="C2901" s="8">
        <v>-9.3457943925233655E-3</v>
      </c>
    </row>
    <row r="2902" spans="1:3" x14ac:dyDescent="0.45">
      <c r="A2902" s="2">
        <v>44758</v>
      </c>
      <c r="B2902" s="7">
        <v>216000</v>
      </c>
      <c r="C2902" s="8">
        <v>1.8867924528301883E-2</v>
      </c>
    </row>
    <row r="2903" spans="1:3" x14ac:dyDescent="0.45">
      <c r="A2903" s="2">
        <v>44765</v>
      </c>
      <c r="B2903" s="7">
        <v>221000</v>
      </c>
      <c r="C2903" s="8">
        <v>2.314814814814814E-2</v>
      </c>
    </row>
    <row r="2904" spans="1:3" x14ac:dyDescent="0.45">
      <c r="A2904" s="2">
        <v>44772</v>
      </c>
      <c r="B2904" s="7">
        <v>228000</v>
      </c>
      <c r="C2904" s="8">
        <v>3.167420814479649E-2</v>
      </c>
    </row>
    <row r="2905" spans="1:3" x14ac:dyDescent="0.45">
      <c r="A2905" s="2">
        <v>44779</v>
      </c>
      <c r="B2905" s="7">
        <v>221000</v>
      </c>
      <c r="C2905" s="8">
        <v>-3.0701754385964897E-2</v>
      </c>
    </row>
    <row r="2906" spans="1:3" x14ac:dyDescent="0.45">
      <c r="A2906" s="2">
        <v>44786</v>
      </c>
      <c r="B2906" s="7">
        <v>220000</v>
      </c>
      <c r="C2906" s="8">
        <v>-4.5248868778280382E-3</v>
      </c>
    </row>
    <row r="2907" spans="1:3" x14ac:dyDescent="0.45">
      <c r="A2907" s="2">
        <v>44793</v>
      </c>
      <c r="B2907" s="7">
        <v>215000</v>
      </c>
      <c r="C2907" s="8">
        <v>-2.2727272727272707E-2</v>
      </c>
    </row>
    <row r="2908" spans="1:3" x14ac:dyDescent="0.45">
      <c r="A2908" s="2">
        <v>44800</v>
      </c>
      <c r="B2908" s="7">
        <v>210000</v>
      </c>
      <c r="C2908" s="8">
        <v>-2.3255813953488413E-2</v>
      </c>
    </row>
    <row r="2909" spans="1:3" x14ac:dyDescent="0.45">
      <c r="A2909" s="2">
        <v>44807</v>
      </c>
      <c r="B2909" s="7">
        <v>203000</v>
      </c>
      <c r="C2909" s="8">
        <v>-3.3333333333333326E-2</v>
      </c>
    </row>
    <row r="2910" spans="1:3" x14ac:dyDescent="0.45">
      <c r="A2910" s="2">
        <v>44814</v>
      </c>
      <c r="B2910" s="7">
        <v>195000</v>
      </c>
      <c r="C2910" s="8">
        <v>-3.9408866995073843E-2</v>
      </c>
    </row>
    <row r="2911" spans="1:3" x14ac:dyDescent="0.45">
      <c r="A2911" s="2">
        <v>44821</v>
      </c>
      <c r="B2911" s="7">
        <v>202000</v>
      </c>
      <c r="C2911" s="8">
        <v>3.5897435897435992E-2</v>
      </c>
    </row>
    <row r="2912" spans="1:3" x14ac:dyDescent="0.45">
      <c r="A2912" s="2">
        <v>44828</v>
      </c>
      <c r="B2912" s="7">
        <v>190000</v>
      </c>
      <c r="C2912" s="8">
        <v>-5.9405940594059459E-2</v>
      </c>
    </row>
    <row r="2913" spans="1:3" x14ac:dyDescent="0.45">
      <c r="A2913" s="2">
        <v>44835</v>
      </c>
      <c r="B2913" s="7">
        <v>203000</v>
      </c>
      <c r="C2913" s="8">
        <v>6.8421052631578938E-2</v>
      </c>
    </row>
    <row r="2914" spans="1:3" x14ac:dyDescent="0.45">
      <c r="A2914" s="2">
        <v>44842</v>
      </c>
      <c r="B2914" s="7">
        <v>207000</v>
      </c>
      <c r="C2914" s="8">
        <v>1.9704433497536922E-2</v>
      </c>
    </row>
    <row r="2915" spans="1:3" x14ac:dyDescent="0.45">
      <c r="A2915" s="2">
        <v>44849</v>
      </c>
      <c r="B2915" s="7">
        <v>199000</v>
      </c>
      <c r="C2915" s="8">
        <v>-3.8647342995169032E-2</v>
      </c>
    </row>
    <row r="2916" spans="1:3" x14ac:dyDescent="0.45">
      <c r="A2916" s="2">
        <v>44856</v>
      </c>
      <c r="B2916" s="7">
        <v>202000</v>
      </c>
      <c r="C2916" s="8">
        <v>1.5075376884422065E-2</v>
      </c>
    </row>
    <row r="2917" spans="1:3" x14ac:dyDescent="0.45">
      <c r="A2917" s="2">
        <v>44863</v>
      </c>
      <c r="B2917" s="7">
        <v>202000</v>
      </c>
      <c r="C2917" s="8">
        <v>0</v>
      </c>
    </row>
    <row r="2918" spans="1:3" x14ac:dyDescent="0.45">
      <c r="A2918" s="2">
        <v>44870</v>
      </c>
      <c r="B2918" s="7">
        <v>204000</v>
      </c>
      <c r="C2918" s="8">
        <v>9.9009900990099098E-3</v>
      </c>
    </row>
    <row r="2919" spans="1:3" x14ac:dyDescent="0.45">
      <c r="A2919" s="2">
        <v>44877</v>
      </c>
      <c r="B2919" s="7">
        <v>210000</v>
      </c>
      <c r="C2919" s="8">
        <v>2.9411764705882248E-2</v>
      </c>
    </row>
    <row r="2920" spans="1:3" x14ac:dyDescent="0.45">
      <c r="A2920" s="2">
        <v>44884</v>
      </c>
      <c r="B2920" s="7">
        <v>220000</v>
      </c>
      <c r="C2920" s="8">
        <v>4.7619047619047672E-2</v>
      </c>
    </row>
    <row r="2921" spans="1:3" x14ac:dyDescent="0.45">
      <c r="A2921" s="2">
        <v>44891</v>
      </c>
      <c r="B2921" s="7">
        <v>209000</v>
      </c>
      <c r="C2921" s="8">
        <v>-5.0000000000000044E-2</v>
      </c>
    </row>
    <row r="2922" spans="1:3" x14ac:dyDescent="0.45">
      <c r="A2922" s="2">
        <v>44898</v>
      </c>
      <c r="B2922" s="7">
        <v>209000</v>
      </c>
      <c r="C2922" s="8">
        <v>0</v>
      </c>
    </row>
    <row r="2923" spans="1:3" x14ac:dyDescent="0.45">
      <c r="A2923" s="2">
        <v>44905</v>
      </c>
      <c r="B2923" s="7">
        <v>209000</v>
      </c>
      <c r="C2923" s="8">
        <v>0</v>
      </c>
    </row>
    <row r="2924" spans="1:3" x14ac:dyDescent="0.45">
      <c r="A2924" s="2">
        <v>44912</v>
      </c>
      <c r="B2924" s="7">
        <v>213000</v>
      </c>
      <c r="C2924" s="8">
        <v>1.9138755980861344E-2</v>
      </c>
    </row>
    <row r="2925" spans="1:3" x14ac:dyDescent="0.45">
      <c r="A2925" s="2">
        <v>44919</v>
      </c>
      <c r="B2925" s="7">
        <v>205000</v>
      </c>
      <c r="C2925" s="8">
        <v>-3.7558685446009377E-2</v>
      </c>
    </row>
    <row r="2926" spans="1:3" x14ac:dyDescent="0.45">
      <c r="A2926" s="2">
        <v>44926</v>
      </c>
      <c r="B2926" s="7">
        <v>205000</v>
      </c>
      <c r="C2926" s="8">
        <v>0</v>
      </c>
    </row>
    <row r="2927" spans="1:3" x14ac:dyDescent="0.45">
      <c r="A2927" s="2">
        <v>44933</v>
      </c>
      <c r="B2927" s="7">
        <v>210000</v>
      </c>
      <c r="C2927" s="8">
        <v>2.4390243902439046E-2</v>
      </c>
    </row>
    <row r="2928" spans="1:3" x14ac:dyDescent="0.45">
      <c r="A2928" s="2">
        <v>44940</v>
      </c>
      <c r="B2928" s="7">
        <v>204000</v>
      </c>
      <c r="C2928" s="8">
        <v>-2.8571428571428581E-2</v>
      </c>
    </row>
    <row r="2929" spans="1:3" x14ac:dyDescent="0.45">
      <c r="A2929" s="2">
        <v>44947</v>
      </c>
      <c r="B2929" s="7">
        <v>204000</v>
      </c>
      <c r="C2929" s="8">
        <v>0</v>
      </c>
    </row>
    <row r="2930" spans="1:3" x14ac:dyDescent="0.45">
      <c r="A2930" s="2">
        <v>44954</v>
      </c>
      <c r="B2930" s="7">
        <v>200000</v>
      </c>
      <c r="C2930" s="8">
        <v>-1.9607843137254943E-2</v>
      </c>
    </row>
    <row r="2931" spans="1:3" x14ac:dyDescent="0.45">
      <c r="A2931" s="2">
        <v>44961</v>
      </c>
      <c r="B2931" s="7">
        <v>215000</v>
      </c>
      <c r="C2931" s="8">
        <v>7.4999999999999956E-2</v>
      </c>
    </row>
    <row r="2932" spans="1:3" x14ac:dyDescent="0.45">
      <c r="A2932" s="2">
        <v>44968</v>
      </c>
      <c r="B2932" s="7">
        <v>220000</v>
      </c>
      <c r="C2932" s="8">
        <v>2.3255813953488413E-2</v>
      </c>
    </row>
    <row r="2933" spans="1:3" x14ac:dyDescent="0.45">
      <c r="A2933" s="2">
        <v>44975</v>
      </c>
      <c r="B2933" s="7">
        <v>217000</v>
      </c>
      <c r="C2933" s="8">
        <v>-1.3636363636363669E-2</v>
      </c>
    </row>
    <row r="2934" spans="1:3" x14ac:dyDescent="0.45">
      <c r="A2934" s="2">
        <v>44982</v>
      </c>
      <c r="B2934" s="7">
        <v>207000</v>
      </c>
      <c r="C2934" s="8">
        <v>-4.6082949308755783E-2</v>
      </c>
    </row>
    <row r="2935" spans="1:3" x14ac:dyDescent="0.45">
      <c r="A2935" s="2">
        <v>44989</v>
      </c>
      <c r="B2935" s="7">
        <v>230000</v>
      </c>
      <c r="C2935" s="8">
        <v>0.11111111111111116</v>
      </c>
    </row>
    <row r="2936" spans="1:3" x14ac:dyDescent="0.45">
      <c r="A2936" s="2">
        <v>44996</v>
      </c>
      <c r="B2936" s="7">
        <v>222000</v>
      </c>
      <c r="C2936" s="8">
        <v>-3.4782608695652195E-2</v>
      </c>
    </row>
    <row r="2937" spans="1:3" x14ac:dyDescent="0.45">
      <c r="A2937" s="2">
        <v>45003</v>
      </c>
      <c r="B2937" s="7">
        <v>230000</v>
      </c>
      <c r="C2937" s="8">
        <v>3.6036036036036112E-2</v>
      </c>
    </row>
    <row r="2938" spans="1:3" x14ac:dyDescent="0.45">
      <c r="A2938" s="2">
        <v>45010</v>
      </c>
      <c r="B2938" s="7">
        <v>234000</v>
      </c>
      <c r="C2938" s="8">
        <v>1.7391304347825987E-2</v>
      </c>
    </row>
    <row r="2939" spans="1:3" x14ac:dyDescent="0.45">
      <c r="A2939" s="2">
        <v>45017</v>
      </c>
      <c r="B2939" s="7">
        <v>217000</v>
      </c>
      <c r="C2939" s="8">
        <v>-7.2649572649572614E-2</v>
      </c>
    </row>
    <row r="2940" spans="1:3" x14ac:dyDescent="0.45">
      <c r="A2940" s="2">
        <v>45024</v>
      </c>
      <c r="B2940" s="7">
        <v>220000</v>
      </c>
      <c r="C2940" s="8">
        <v>1.3824884792626779E-2</v>
      </c>
    </row>
    <row r="2941" spans="1:3" x14ac:dyDescent="0.45">
      <c r="A2941" s="2">
        <v>45031</v>
      </c>
      <c r="B2941" s="7">
        <v>223000</v>
      </c>
      <c r="C2941" s="8">
        <v>1.3636363636363669E-2</v>
      </c>
    </row>
    <row r="2942" spans="1:3" x14ac:dyDescent="0.45">
      <c r="A2942" s="2">
        <v>45038</v>
      </c>
      <c r="B2942" s="7">
        <v>209000</v>
      </c>
      <c r="C2942" s="8">
        <v>-6.2780269058295923E-2</v>
      </c>
    </row>
    <row r="2943" spans="1:3" x14ac:dyDescent="0.45">
      <c r="A2943" s="2">
        <v>45045</v>
      </c>
      <c r="B2943" s="7">
        <v>213000</v>
      </c>
      <c r="C2943" s="8">
        <v>1.9138755980861344E-2</v>
      </c>
    </row>
    <row r="2944" spans="1:3" x14ac:dyDescent="0.45">
      <c r="A2944" s="2">
        <v>45052</v>
      </c>
      <c r="B2944" s="7">
        <v>223000</v>
      </c>
      <c r="C2944" s="8">
        <v>4.6948356807511749E-2</v>
      </c>
    </row>
    <row r="2945" spans="1:3" x14ac:dyDescent="0.45">
      <c r="A2945" s="2">
        <v>45059</v>
      </c>
      <c r="B2945" s="7">
        <v>225000</v>
      </c>
      <c r="C2945" s="8">
        <v>8.9686098654708779E-3</v>
      </c>
    </row>
    <row r="2946" spans="1:3" x14ac:dyDescent="0.45">
      <c r="A2946" s="2">
        <v>45066</v>
      </c>
      <c r="B2946" s="7">
        <v>227000</v>
      </c>
      <c r="C2946" s="8">
        <v>8.8888888888889461E-3</v>
      </c>
    </row>
    <row r="2947" spans="1:3" x14ac:dyDescent="0.45">
      <c r="A2947" s="2">
        <v>45073</v>
      </c>
      <c r="B2947" s="7">
        <v>229000</v>
      </c>
      <c r="C2947" s="8">
        <v>8.8105726872247381E-3</v>
      </c>
    </row>
    <row r="2948" spans="1:3" x14ac:dyDescent="0.45">
      <c r="A2948" s="2">
        <v>45080</v>
      </c>
      <c r="B2948" s="7">
        <v>252000</v>
      </c>
      <c r="C2948" s="8">
        <v>0.10043668122270732</v>
      </c>
    </row>
    <row r="2949" spans="1:3" x14ac:dyDescent="0.45">
      <c r="A2949" s="2">
        <v>45087</v>
      </c>
      <c r="B2949" s="7">
        <v>256000</v>
      </c>
      <c r="C2949" s="8">
        <v>1.5873015873015817E-2</v>
      </c>
    </row>
    <row r="2950" spans="1:3" x14ac:dyDescent="0.45">
      <c r="A2950" s="2">
        <v>45094</v>
      </c>
      <c r="B2950" s="7">
        <v>259000</v>
      </c>
      <c r="C2950" s="8">
        <v>1.171875E-2</v>
      </c>
    </row>
    <row r="2951" spans="1:3" x14ac:dyDescent="0.45">
      <c r="A2951" s="2">
        <v>45101</v>
      </c>
      <c r="B2951" s="7">
        <v>236000</v>
      </c>
      <c r="C2951" s="8">
        <v>-8.8803088803088848E-2</v>
      </c>
    </row>
    <row r="2952" spans="1:3" x14ac:dyDescent="0.45">
      <c r="A2952" s="2">
        <v>45108</v>
      </c>
      <c r="B2952" s="7">
        <v>248000</v>
      </c>
      <c r="C2952" s="8">
        <v>5.0847457627118731E-2</v>
      </c>
    </row>
    <row r="2953" spans="1:3" x14ac:dyDescent="0.45">
      <c r="A2953" s="2">
        <v>45115</v>
      </c>
      <c r="B2953" s="7">
        <v>230000</v>
      </c>
      <c r="C2953" s="8">
        <v>-7.2580645161290369E-2</v>
      </c>
    </row>
    <row r="2954" spans="1:3" x14ac:dyDescent="0.45">
      <c r="A2954" s="2">
        <v>45122</v>
      </c>
      <c r="B2954" s="7">
        <v>229000</v>
      </c>
      <c r="C2954" s="8">
        <v>-4.3478260869564966E-3</v>
      </c>
    </row>
    <row r="2955" spans="1:3" x14ac:dyDescent="0.45">
      <c r="A2955" s="2">
        <v>45129</v>
      </c>
      <c r="B2955" s="7">
        <v>231000</v>
      </c>
      <c r="C2955" s="8">
        <v>8.733624454148492E-3</v>
      </c>
    </row>
    <row r="2956" spans="1:3" x14ac:dyDescent="0.45">
      <c r="A2956" s="2">
        <v>45136</v>
      </c>
      <c r="B2956" s="7">
        <v>238000</v>
      </c>
      <c r="C2956" s="8">
        <v>3.0303030303030276E-2</v>
      </c>
    </row>
    <row r="2957" spans="1:3" x14ac:dyDescent="0.45">
      <c r="A2957" s="2">
        <v>45143</v>
      </c>
      <c r="B2957" s="7">
        <v>258000</v>
      </c>
      <c r="C2957" s="8">
        <v>8.4033613445378075E-2</v>
      </c>
    </row>
    <row r="2958" spans="1:3" x14ac:dyDescent="0.45">
      <c r="A2958" s="2">
        <v>45150</v>
      </c>
      <c r="B2958" s="7">
        <v>248000</v>
      </c>
      <c r="C2958" s="8">
        <v>-3.8759689922480578E-2</v>
      </c>
    </row>
    <row r="2959" spans="1:3" x14ac:dyDescent="0.45">
      <c r="A2959" s="2">
        <v>45157</v>
      </c>
      <c r="B2959" s="7">
        <v>240000</v>
      </c>
      <c r="C2959" s="8">
        <v>-3.2258064516129004E-2</v>
      </c>
    </row>
    <row r="2960" spans="1:3" x14ac:dyDescent="0.45">
      <c r="A2960" s="2">
        <v>45164</v>
      </c>
      <c r="B2960" s="7">
        <v>234000</v>
      </c>
      <c r="C2960" s="8">
        <v>-2.5000000000000022E-2</v>
      </c>
    </row>
    <row r="2961" spans="1:3" x14ac:dyDescent="0.45">
      <c r="A2961" s="2">
        <v>45171</v>
      </c>
      <c r="B2961" s="7">
        <v>225000</v>
      </c>
      <c r="C2961" s="8">
        <v>-3.8461538461538436E-2</v>
      </c>
    </row>
    <row r="2962" spans="1:3" x14ac:dyDescent="0.45">
      <c r="A2962" s="2">
        <v>45178</v>
      </c>
      <c r="B2962" s="7">
        <v>225000</v>
      </c>
      <c r="C2962" s="8">
        <v>0</v>
      </c>
    </row>
    <row r="2963" spans="1:3" x14ac:dyDescent="0.45">
      <c r="A2963" s="2">
        <v>45185</v>
      </c>
      <c r="B2963" s="7">
        <v>211000</v>
      </c>
      <c r="C2963" s="8">
        <v>-6.2222222222222179E-2</v>
      </c>
    </row>
    <row r="2964" spans="1:3" x14ac:dyDescent="0.45">
      <c r="A2964" s="2">
        <v>45192</v>
      </c>
      <c r="B2964" s="7">
        <v>216000</v>
      </c>
      <c r="C2964" s="8">
        <v>2.3696682464454888E-2</v>
      </c>
    </row>
    <row r="2965" spans="1:3" x14ac:dyDescent="0.45">
      <c r="A2965" s="2">
        <v>45199</v>
      </c>
      <c r="B2965" s="7">
        <v>216000</v>
      </c>
      <c r="C2965" s="8">
        <v>0</v>
      </c>
    </row>
    <row r="2966" spans="1:3" x14ac:dyDescent="0.45">
      <c r="A2966" s="2">
        <v>45206</v>
      </c>
      <c r="B2966" s="7">
        <v>210000</v>
      </c>
      <c r="C2966" s="8">
        <v>-2.777777777777779E-2</v>
      </c>
    </row>
    <row r="2967" spans="1:3" x14ac:dyDescent="0.45">
      <c r="A2967" s="2">
        <v>45213</v>
      </c>
      <c r="B2967" s="7">
        <v>200000</v>
      </c>
      <c r="C2967" s="8">
        <v>-4.7619047619047672E-2</v>
      </c>
    </row>
    <row r="2968" spans="1:3" x14ac:dyDescent="0.45">
      <c r="A2968" s="2">
        <v>45220</v>
      </c>
      <c r="B2968" s="7">
        <v>214000</v>
      </c>
      <c r="C2968" s="8">
        <v>7.0000000000000062E-2</v>
      </c>
    </row>
    <row r="2969" spans="1:3" x14ac:dyDescent="0.45">
      <c r="A2969" s="2">
        <v>45227</v>
      </c>
      <c r="B2969" s="7">
        <v>217000</v>
      </c>
      <c r="C2969" s="8">
        <v>1.4018691588784993E-2</v>
      </c>
    </row>
    <row r="2970" spans="1:3" x14ac:dyDescent="0.45">
      <c r="A2970" s="2">
        <v>45234</v>
      </c>
      <c r="B2970" s="7">
        <v>216000</v>
      </c>
      <c r="C2970" s="8">
        <v>-4.6082949308755561E-3</v>
      </c>
    </row>
    <row r="2971" spans="1:3" x14ac:dyDescent="0.45">
      <c r="A2971" s="2">
        <v>45241</v>
      </c>
      <c r="B2971" s="7">
        <v>230000</v>
      </c>
      <c r="C2971" s="8">
        <v>6.4814814814814881E-2</v>
      </c>
    </row>
    <row r="2972" spans="1:3" x14ac:dyDescent="0.45">
      <c r="A2972" s="2">
        <v>45248</v>
      </c>
      <c r="B2972" s="7">
        <v>213000</v>
      </c>
      <c r="C2972" s="8">
        <v>-7.3913043478260887E-2</v>
      </c>
    </row>
    <row r="2973" spans="1:3" x14ac:dyDescent="0.45">
      <c r="A2973" s="2">
        <v>45255</v>
      </c>
      <c r="B2973" s="7">
        <v>213000</v>
      </c>
      <c r="C2973" s="8">
        <v>0</v>
      </c>
    </row>
    <row r="2974" spans="1:3" x14ac:dyDescent="0.45">
      <c r="A2974" s="2">
        <v>45262</v>
      </c>
      <c r="B2974" s="7">
        <v>215000</v>
      </c>
      <c r="C2974" s="8">
        <v>9.3896713615022609E-3</v>
      </c>
    </row>
    <row r="2975" spans="1:3" x14ac:dyDescent="0.45">
      <c r="A2975" s="2">
        <v>45269</v>
      </c>
      <c r="B2975" s="7">
        <v>203000</v>
      </c>
      <c r="C2975" s="8">
        <v>-5.5813953488372148E-2</v>
      </c>
    </row>
    <row r="2976" spans="1:3" x14ac:dyDescent="0.45">
      <c r="A2976" s="2">
        <v>45276</v>
      </c>
      <c r="B2976" s="7">
        <v>209000</v>
      </c>
      <c r="C2976" s="8">
        <v>2.9556650246305383E-2</v>
      </c>
    </row>
    <row r="2977" spans="1:3" x14ac:dyDescent="0.45">
      <c r="A2977" s="2">
        <v>45283</v>
      </c>
      <c r="B2977" s="7">
        <v>212000</v>
      </c>
      <c r="C2977" s="8">
        <v>1.4354066985645897E-2</v>
      </c>
    </row>
    <row r="2978" spans="1:3" x14ac:dyDescent="0.45">
      <c r="A2978" s="2">
        <v>45290</v>
      </c>
      <c r="B2978" s="7">
        <v>200000</v>
      </c>
      <c r="C2978" s="8">
        <v>-5.6603773584905648E-2</v>
      </c>
    </row>
    <row r="2979" spans="1:3" x14ac:dyDescent="0.45">
      <c r="A2979" s="2">
        <v>45297</v>
      </c>
      <c r="B2979" s="7">
        <v>201000</v>
      </c>
      <c r="C2979" s="8">
        <v>4.9999999999998934E-3</v>
      </c>
    </row>
    <row r="2980" spans="1:3" x14ac:dyDescent="0.45">
      <c r="A2980" s="2">
        <v>45304</v>
      </c>
      <c r="B2980" s="7">
        <v>195000</v>
      </c>
      <c r="C2980" s="8">
        <v>-2.9850746268656692E-2</v>
      </c>
    </row>
    <row r="2981" spans="1:3" x14ac:dyDescent="0.45">
      <c r="A2981" s="2">
        <v>45311</v>
      </c>
      <c r="B2981" s="7">
        <v>224000</v>
      </c>
      <c r="C2981" s="8">
        <v>0.14871794871794863</v>
      </c>
    </row>
    <row r="2982" spans="1:3" x14ac:dyDescent="0.45">
      <c r="A2982" s="2">
        <v>45318</v>
      </c>
      <c r="B2982" s="7">
        <v>226000</v>
      </c>
      <c r="C2982" s="8">
        <v>8.9285714285713969E-3</v>
      </c>
    </row>
    <row r="2983" spans="1:3" x14ac:dyDescent="0.45">
      <c r="A2983" s="2">
        <v>45325</v>
      </c>
      <c r="B2983" s="7">
        <v>213000</v>
      </c>
      <c r="C2983" s="8">
        <v>-5.7522123893805288E-2</v>
      </c>
    </row>
    <row r="2984" spans="1:3" x14ac:dyDescent="0.45">
      <c r="A2984" s="2">
        <v>45332</v>
      </c>
      <c r="B2984" s="7">
        <v>213000</v>
      </c>
      <c r="C2984" s="8">
        <v>0</v>
      </c>
    </row>
    <row r="2985" spans="1:3" x14ac:dyDescent="0.45">
      <c r="A2985" s="2">
        <v>45339</v>
      </c>
      <c r="B2985" s="7">
        <v>202000</v>
      </c>
      <c r="C2985" s="8">
        <v>-5.1643192488262879E-2</v>
      </c>
    </row>
    <row r="2986" spans="1:3" x14ac:dyDescent="0.45">
      <c r="A2986" s="2">
        <v>45346</v>
      </c>
      <c r="B2986" s="7">
        <v>212000</v>
      </c>
      <c r="C2986" s="8">
        <v>4.9504950495049549E-2</v>
      </c>
    </row>
    <row r="2987" spans="1:3" x14ac:dyDescent="0.45">
      <c r="A2987" s="2">
        <v>45353</v>
      </c>
      <c r="B2987" s="7">
        <v>213000</v>
      </c>
      <c r="C2987" s="8">
        <v>4.7169811320755262E-3</v>
      </c>
    </row>
    <row r="2988" spans="1:3" x14ac:dyDescent="0.45">
      <c r="A2988" s="2">
        <v>45360</v>
      </c>
      <c r="B2988" s="7">
        <v>213000</v>
      </c>
      <c r="C2988" s="8">
        <v>0</v>
      </c>
    </row>
    <row r="2989" spans="1:3" x14ac:dyDescent="0.45">
      <c r="A2989" s="2">
        <v>45367</v>
      </c>
      <c r="B2989" s="7">
        <v>213000</v>
      </c>
      <c r="C2989" s="8">
        <v>0</v>
      </c>
    </row>
    <row r="2990" spans="1:3" x14ac:dyDescent="0.45">
      <c r="A2990" s="2">
        <v>45374</v>
      </c>
      <c r="B2990" s="7">
        <v>214000</v>
      </c>
      <c r="C2990" s="8">
        <v>4.6948356807512415E-3</v>
      </c>
    </row>
    <row r="2991" spans="1:3" x14ac:dyDescent="0.45">
      <c r="A2991" s="2">
        <v>45381</v>
      </c>
      <c r="B2991" s="7">
        <v>223000</v>
      </c>
      <c r="C2991" s="8">
        <v>4.20560747663552E-2</v>
      </c>
    </row>
    <row r="2992" spans="1:3" x14ac:dyDescent="0.45">
      <c r="A2992" s="2">
        <v>45388</v>
      </c>
      <c r="B2992" s="7">
        <v>213000</v>
      </c>
      <c r="C2992" s="8">
        <v>-4.4843049327354279E-2</v>
      </c>
    </row>
    <row r="2993" spans="1:3" x14ac:dyDescent="0.45">
      <c r="A2993" s="2">
        <v>45395</v>
      </c>
      <c r="B2993" s="7">
        <v>212000</v>
      </c>
      <c r="C2993" s="8">
        <v>-4.6948356807511304E-3</v>
      </c>
    </row>
    <row r="2994" spans="1:3" x14ac:dyDescent="0.45">
      <c r="A2994" s="2">
        <v>45402</v>
      </c>
      <c r="B2994" s="7">
        <v>209000</v>
      </c>
      <c r="C2994" s="8">
        <v>-1.4150943396226467E-2</v>
      </c>
    </row>
    <row r="2995" spans="1:3" x14ac:dyDescent="0.45">
      <c r="A2995" s="2">
        <v>45409</v>
      </c>
      <c r="B2995" s="7">
        <v>207000</v>
      </c>
      <c r="C2995" s="8">
        <v>-9.5693779904306719E-3</v>
      </c>
    </row>
    <row r="2996" spans="1:3" x14ac:dyDescent="0.45">
      <c r="A2996" s="2">
        <v>45416</v>
      </c>
      <c r="B2996" s="7">
        <v>230000</v>
      </c>
      <c r="C2996" s="8">
        <v>0.11111111111111116</v>
      </c>
    </row>
    <row r="2997" spans="1:3" x14ac:dyDescent="0.45">
      <c r="A2997" s="2">
        <v>45423</v>
      </c>
      <c r="B2997" s="7">
        <v>222000</v>
      </c>
      <c r="C2997" s="8">
        <v>-3.4782608695652195E-2</v>
      </c>
    </row>
    <row r="2998" spans="1:3" x14ac:dyDescent="0.45">
      <c r="A2998" s="2">
        <v>45430</v>
      </c>
      <c r="B2998" s="7">
        <v>216000</v>
      </c>
      <c r="C2998" s="8">
        <v>-2.7027027027026973E-2</v>
      </c>
    </row>
    <row r="2999" spans="1:3" x14ac:dyDescent="0.45">
      <c r="A2999" s="2">
        <v>45437</v>
      </c>
      <c r="B2999" s="7">
        <v>220000</v>
      </c>
      <c r="C2999" s="8">
        <v>1.8518518518518601E-2</v>
      </c>
    </row>
    <row r="3000" spans="1:3" x14ac:dyDescent="0.45">
      <c r="A3000" s="2">
        <v>45444</v>
      </c>
      <c r="B3000" s="7">
        <v>227000</v>
      </c>
      <c r="C3000" s="8">
        <v>3.1818181818181746E-2</v>
      </c>
    </row>
    <row r="3001" spans="1:3" x14ac:dyDescent="0.45">
      <c r="A3001" s="2">
        <v>45451</v>
      </c>
      <c r="B3001" s="7">
        <v>240000</v>
      </c>
      <c r="C3001" s="8">
        <v>5.7268722466960353E-2</v>
      </c>
    </row>
    <row r="3002" spans="1:3" x14ac:dyDescent="0.45">
      <c r="A3002" s="2">
        <v>45458</v>
      </c>
      <c r="B3002" s="7">
        <v>236000</v>
      </c>
      <c r="C3002" s="8">
        <v>-1.6666666666666718E-2</v>
      </c>
    </row>
    <row r="3003" spans="1:3" x14ac:dyDescent="0.45">
      <c r="A3003" s="2">
        <v>45465</v>
      </c>
      <c r="B3003" s="7">
        <v>233000</v>
      </c>
      <c r="C3003" s="8">
        <v>-1.2711864406779627E-2</v>
      </c>
    </row>
    <row r="3004" spans="1:3" x14ac:dyDescent="0.45">
      <c r="A3004" s="2">
        <v>45472</v>
      </c>
      <c r="B3004" s="7">
        <v>238000</v>
      </c>
      <c r="C3004" s="8">
        <v>2.1459227467811148E-2</v>
      </c>
    </row>
    <row r="3005" spans="1:3" x14ac:dyDescent="0.45">
      <c r="A3005" s="2">
        <v>45479</v>
      </c>
      <c r="B3005" s="7">
        <v>223000</v>
      </c>
      <c r="C3005" s="8">
        <v>-6.3025210084033612E-2</v>
      </c>
    </row>
    <row r="3006" spans="1:3" x14ac:dyDescent="0.45">
      <c r="A3006" s="2">
        <v>45486</v>
      </c>
      <c r="B3006" s="7">
        <v>241000</v>
      </c>
      <c r="C3006" s="8">
        <v>8.0717488789237679E-2</v>
      </c>
    </row>
    <row r="3007" spans="1:3" x14ac:dyDescent="0.45">
      <c r="A3007" s="2">
        <v>45493</v>
      </c>
      <c r="B3007" s="7">
        <v>237000</v>
      </c>
      <c r="C3007" s="8">
        <v>-1.6597510373444035E-2</v>
      </c>
    </row>
    <row r="3008" spans="1:3" x14ac:dyDescent="0.45">
      <c r="A3008" s="2">
        <v>45500</v>
      </c>
      <c r="B3008" s="7">
        <v>248000</v>
      </c>
      <c r="C3008" s="8">
        <v>4.6413502109704741E-2</v>
      </c>
    </row>
    <row r="3009" spans="1:3" x14ac:dyDescent="0.45">
      <c r="A3009" s="2">
        <v>45507</v>
      </c>
      <c r="B3009" s="7">
        <v>234000</v>
      </c>
      <c r="C3009" s="8">
        <v>-5.6451612903225756E-2</v>
      </c>
    </row>
    <row r="3010" spans="1:3" x14ac:dyDescent="0.45">
      <c r="A3010" s="2">
        <v>45514</v>
      </c>
      <c r="B3010" s="7">
        <v>228000</v>
      </c>
      <c r="C3010" s="8">
        <v>-2.5641025641025661E-2</v>
      </c>
    </row>
    <row r="3011" spans="1:3" x14ac:dyDescent="0.45">
      <c r="A3011" s="2">
        <v>45521</v>
      </c>
      <c r="B3011" s="7">
        <v>232000</v>
      </c>
      <c r="C3011" s="8">
        <v>1.7543859649122862E-2</v>
      </c>
    </row>
    <row r="3012" spans="1:3" x14ac:dyDescent="0.45">
      <c r="A3012" s="2">
        <v>45528</v>
      </c>
      <c r="B3012" s="7">
        <v>232000</v>
      </c>
      <c r="C3012" s="8">
        <v>0</v>
      </c>
    </row>
    <row r="3013" spans="1:3" x14ac:dyDescent="0.45">
      <c r="A3013" s="2">
        <v>45535</v>
      </c>
      <c r="B3013" s="7">
        <v>227000</v>
      </c>
      <c r="C3013" s="8">
        <v>-2.155172413793105E-2</v>
      </c>
    </row>
    <row r="3014" spans="1:3" x14ac:dyDescent="0.45">
      <c r="A3014" s="2">
        <v>45542</v>
      </c>
      <c r="B3014" s="7">
        <v>227000</v>
      </c>
      <c r="C3014" s="8">
        <v>0</v>
      </c>
    </row>
    <row r="3015" spans="1:3" x14ac:dyDescent="0.45">
      <c r="A3015" s="2">
        <v>45549</v>
      </c>
      <c r="B3015" s="7">
        <v>223000</v>
      </c>
      <c r="C3015" s="8">
        <v>-1.7621145374449365E-2</v>
      </c>
    </row>
    <row r="3016" spans="1:3" x14ac:dyDescent="0.45">
      <c r="A3016" s="2">
        <v>45556</v>
      </c>
      <c r="B3016" s="7">
        <v>221000</v>
      </c>
      <c r="C3016" s="8">
        <v>-8.9686098654708779E-3</v>
      </c>
    </row>
    <row r="3017" spans="1:3" x14ac:dyDescent="0.45">
      <c r="A3017" s="2">
        <v>45563</v>
      </c>
      <c r="B3017" s="7">
        <v>227000</v>
      </c>
      <c r="C3017" s="8">
        <v>2.7149321266968229E-2</v>
      </c>
    </row>
    <row r="3018" spans="1:3" x14ac:dyDescent="0.45">
      <c r="A3018" s="2">
        <v>45570</v>
      </c>
      <c r="B3018" s="7">
        <v>258000</v>
      </c>
      <c r="C3018" s="8">
        <v>0.13656387665198233</v>
      </c>
    </row>
    <row r="3019" spans="1:3" x14ac:dyDescent="0.45">
      <c r="A3019" s="2">
        <v>45577</v>
      </c>
      <c r="B3019" s="7">
        <v>241000</v>
      </c>
      <c r="C3019" s="8">
        <v>-6.589147286821706E-2</v>
      </c>
    </row>
    <row r="3020" spans="1:3" x14ac:dyDescent="0.45">
      <c r="A3020" s="2">
        <v>45584</v>
      </c>
      <c r="B3020" s="7">
        <v>227000</v>
      </c>
      <c r="C3020" s="8">
        <v>-5.8091286307053958E-2</v>
      </c>
    </row>
    <row r="3021" spans="1:3" x14ac:dyDescent="0.45">
      <c r="A3021" s="2">
        <v>45591</v>
      </c>
      <c r="B3021" s="7">
        <v>219000</v>
      </c>
      <c r="C3021" s="8">
        <v>-3.524229074889873E-2</v>
      </c>
    </row>
    <row r="3022" spans="1:3" x14ac:dyDescent="0.45">
      <c r="A3022" s="2">
        <v>45598</v>
      </c>
      <c r="B3022" s="7">
        <v>221000</v>
      </c>
      <c r="C3022" s="8">
        <v>9.1324200913243114E-3</v>
      </c>
    </row>
    <row r="3023" spans="1:3" x14ac:dyDescent="0.45">
      <c r="A3023" s="2">
        <v>45605</v>
      </c>
      <c r="B3023" s="7">
        <v>218000</v>
      </c>
      <c r="C3023" s="8">
        <v>-1.3574660633484115E-2</v>
      </c>
    </row>
    <row r="3024" spans="1:3" x14ac:dyDescent="0.45">
      <c r="A3024" s="2">
        <v>45612</v>
      </c>
      <c r="B3024" s="7">
        <v>216000</v>
      </c>
      <c r="C3024" s="8">
        <v>-9.1743119266054496E-3</v>
      </c>
    </row>
    <row r="3025" spans="1:3" x14ac:dyDescent="0.45">
      <c r="A3025" s="2">
        <v>45619</v>
      </c>
      <c r="B3025" s="7">
        <v>219000</v>
      </c>
      <c r="C3025" s="8">
        <v>1.388888888888884E-2</v>
      </c>
    </row>
    <row r="3026" spans="1:3" x14ac:dyDescent="0.45">
      <c r="A3026" s="2">
        <v>45626</v>
      </c>
      <c r="B3026" s="7">
        <v>222000</v>
      </c>
      <c r="C3026" s="8">
        <v>1.3698630136986356E-2</v>
      </c>
    </row>
    <row r="3027" spans="1:3" x14ac:dyDescent="0.45">
      <c r="A3027" s="2">
        <v>45633</v>
      </c>
      <c r="B3027" s="7">
        <v>238000</v>
      </c>
      <c r="C3027" s="8">
        <v>7.2072072072072002E-2</v>
      </c>
    </row>
    <row r="3028" spans="1:3" x14ac:dyDescent="0.45">
      <c r="A3028" s="2">
        <v>45640</v>
      </c>
      <c r="B3028" s="7">
        <v>222000</v>
      </c>
      <c r="C3028" s="8">
        <v>-6.7226890756302504E-2</v>
      </c>
    </row>
    <row r="3029" spans="1:3" x14ac:dyDescent="0.45">
      <c r="A3029" s="2">
        <v>45647</v>
      </c>
      <c r="B3029" s="7">
        <v>219000</v>
      </c>
      <c r="C3029" s="8">
        <v>-1.3513513513513487E-2</v>
      </c>
    </row>
    <row r="3030" spans="1:3" x14ac:dyDescent="0.45">
      <c r="A3030" s="2">
        <v>45654</v>
      </c>
      <c r="B3030" s="7">
        <v>212000</v>
      </c>
      <c r="C3030" s="8">
        <v>-3.1963470319634757E-2</v>
      </c>
    </row>
    <row r="3031" spans="1:3" x14ac:dyDescent="0.45">
      <c r="A3031" s="2">
        <v>45661</v>
      </c>
      <c r="B3031" s="7">
        <v>206000</v>
      </c>
      <c r="C3031" s="8">
        <v>-2.8301886792452824E-2</v>
      </c>
    </row>
    <row r="3032" spans="1:3" x14ac:dyDescent="0.45">
      <c r="A3032" s="2">
        <v>45668</v>
      </c>
      <c r="B3032" s="7">
        <v>219000</v>
      </c>
      <c r="C3032" s="8">
        <v>6.3106796116504826E-2</v>
      </c>
    </row>
    <row r="3033" spans="1:3" x14ac:dyDescent="0.45">
      <c r="A3033" s="2">
        <v>45675</v>
      </c>
      <c r="B3033" s="7">
        <v>223000</v>
      </c>
      <c r="C3033" s="8">
        <v>1.8264840182648401E-2</v>
      </c>
    </row>
    <row r="3034" spans="1:3" x14ac:dyDescent="0.45">
      <c r="A3034" s="2">
        <v>45682</v>
      </c>
      <c r="B3034" s="7">
        <v>212000</v>
      </c>
      <c r="C3034" s="8">
        <v>-4.9327354260089717E-2</v>
      </c>
    </row>
    <row r="3035" spans="1:3" x14ac:dyDescent="0.45">
      <c r="A3035" s="2">
        <v>45689</v>
      </c>
      <c r="B3035" s="7">
        <v>220000</v>
      </c>
      <c r="C3035" s="8">
        <v>3.7735849056603765E-2</v>
      </c>
    </row>
    <row r="3036" spans="1:3" x14ac:dyDescent="0.45">
      <c r="A3036" s="2">
        <v>45696</v>
      </c>
      <c r="B3036" s="7">
        <v>216000</v>
      </c>
      <c r="C3036" s="8">
        <v>-1.8181818181818188E-2</v>
      </c>
    </row>
    <row r="3037" spans="1:3" x14ac:dyDescent="0.45">
      <c r="A3037" s="2">
        <v>45703</v>
      </c>
      <c r="B3037" s="7">
        <v>223000</v>
      </c>
      <c r="C3037" s="8">
        <v>3.240740740740744E-2</v>
      </c>
    </row>
    <row r="3038" spans="1:3" x14ac:dyDescent="0.45">
      <c r="A3038" s="2">
        <v>45710</v>
      </c>
      <c r="B3038" s="7">
        <v>241000</v>
      </c>
      <c r="C3038" s="8">
        <v>8.0717488789237679E-2</v>
      </c>
    </row>
    <row r="3039" spans="1:3" x14ac:dyDescent="0.45">
      <c r="A3039" s="2">
        <v>45717</v>
      </c>
      <c r="B3039" s="7">
        <v>224000</v>
      </c>
      <c r="C3039" s="8">
        <v>-7.0539419087136901E-2</v>
      </c>
    </row>
    <row r="3040" spans="1:3" x14ac:dyDescent="0.45">
      <c r="A3040" s="2">
        <v>45724</v>
      </c>
      <c r="B3040" s="7">
        <v>222000</v>
      </c>
      <c r="C3040" s="8">
        <v>-8.9285714285713969E-3</v>
      </c>
    </row>
    <row r="3041" spans="1:3" x14ac:dyDescent="0.45">
      <c r="A3041" s="2">
        <v>45731</v>
      </c>
      <c r="B3041" s="7">
        <v>225000</v>
      </c>
      <c r="C3041" s="8">
        <v>1.3513513513513598E-2</v>
      </c>
    </row>
    <row r="3042" spans="1:3" x14ac:dyDescent="0.45">
      <c r="A3042" s="2">
        <v>45738</v>
      </c>
      <c r="B3042" s="7">
        <v>224000</v>
      </c>
      <c r="C3042" s="8">
        <v>-4.4444444444444731E-3</v>
      </c>
    </row>
    <row r="3043" spans="1:3" x14ac:dyDescent="0.45">
      <c r="A3043" s="2">
        <v>45745</v>
      </c>
      <c r="B3043" s="7">
        <v>220000</v>
      </c>
      <c r="C3043" s="8">
        <v>-1.7857142857142905E-2</v>
      </c>
    </row>
    <row r="3044" spans="1:3" x14ac:dyDescent="0.45">
      <c r="A3044" s="2">
        <v>45752</v>
      </c>
      <c r="B3044" s="7">
        <v>223000</v>
      </c>
      <c r="C3044" s="8">
        <v>1.3636363636363669E-2</v>
      </c>
    </row>
    <row r="3045" spans="1:3" x14ac:dyDescent="0.45">
      <c r="A3045" s="2">
        <v>45759</v>
      </c>
      <c r="B3045" s="7">
        <v>217000</v>
      </c>
      <c r="C3045" s="8">
        <v>-2.6905829596412523E-2</v>
      </c>
    </row>
    <row r="3046" spans="1:3" x14ac:dyDescent="0.45">
      <c r="A3046" s="2">
        <v>45766</v>
      </c>
      <c r="B3046" s="7">
        <v>224000</v>
      </c>
      <c r="C3046" s="8">
        <v>3.2258064516129004E-2</v>
      </c>
    </row>
    <row r="3047" spans="1:3" x14ac:dyDescent="0.45">
      <c r="A3047" s="2">
        <v>45773</v>
      </c>
      <c r="B3047" s="7">
        <v>239000</v>
      </c>
      <c r="C3047" s="8">
        <v>6.6964285714285809E-2</v>
      </c>
    </row>
    <row r="3048" spans="1:3" x14ac:dyDescent="0.45">
      <c r="A3048" s="2">
        <v>45780</v>
      </c>
      <c r="B3048" s="7">
        <v>228000</v>
      </c>
      <c r="C3048" s="8">
        <v>-4.6025104602510414E-2</v>
      </c>
    </row>
    <row r="3049" spans="1:3" x14ac:dyDescent="0.45">
      <c r="A3049" s="2">
        <v>45787</v>
      </c>
      <c r="B3049" s="7">
        <v>226000</v>
      </c>
      <c r="C3049" s="8">
        <v>-8.7719298245614308E-3</v>
      </c>
    </row>
    <row r="3050" spans="1:3" x14ac:dyDescent="0.45">
      <c r="A3050" s="2">
        <v>45794</v>
      </c>
      <c r="B3050" s="7">
        <v>225000</v>
      </c>
      <c r="C3050" s="8">
        <v>-4.4247787610619538E-3</v>
      </c>
    </row>
    <row r="3051" spans="1:3" x14ac:dyDescent="0.45">
      <c r="A3051" s="2">
        <v>45801</v>
      </c>
      <c r="B3051" s="7">
        <v>236000</v>
      </c>
      <c r="C3051" s="8">
        <v>4.8888888888888982E-2</v>
      </c>
    </row>
    <row r="3052" spans="1:3" x14ac:dyDescent="0.45">
      <c r="A3052" s="2">
        <v>45808</v>
      </c>
      <c r="B3052" s="7">
        <v>244000</v>
      </c>
      <c r="C3052" s="8">
        <v>3.3898305084745672E-2</v>
      </c>
    </row>
    <row r="3053" spans="1:3" x14ac:dyDescent="0.45">
      <c r="A3053" s="2">
        <v>45815</v>
      </c>
      <c r="B3053" s="7">
        <v>246000</v>
      </c>
      <c r="C3053" s="8">
        <v>8.1967213114753079E-3</v>
      </c>
    </row>
    <row r="3054" spans="1:3" x14ac:dyDescent="0.45">
      <c r="A3054" s="2">
        <v>45822</v>
      </c>
      <c r="B3054" s="7">
        <v>243000</v>
      </c>
      <c r="C3054" s="8">
        <v>-1.2195121951219523E-2</v>
      </c>
    </row>
    <row r="3055" spans="1:3" x14ac:dyDescent="0.45">
      <c r="A3055" s="2">
        <v>45829</v>
      </c>
      <c r="B3055" s="7">
        <v>236000</v>
      </c>
      <c r="C3055" s="8">
        <v>-2.8806584362139898E-2</v>
      </c>
    </row>
    <row r="3056" spans="1:3" x14ac:dyDescent="0.45">
      <c r="A3056" s="2">
        <v>45836</v>
      </c>
      <c r="B3056" s="7">
        <v>231000</v>
      </c>
      <c r="C3056" s="8">
        <v>-2.1186440677966156E-2</v>
      </c>
    </row>
    <row r="3057" spans="1:3" x14ac:dyDescent="0.45">
      <c r="A3057" s="2">
        <v>45843</v>
      </c>
      <c r="B3057" s="7">
        <v>228000</v>
      </c>
      <c r="C3057" s="8">
        <v>-1.2987012987012991E-2</v>
      </c>
    </row>
    <row r="3058" spans="1:3" x14ac:dyDescent="0.45">
      <c r="A3058" s="2">
        <v>45850</v>
      </c>
      <c r="B3058" s="7">
        <v>221000</v>
      </c>
      <c r="C3058" s="8">
        <v>-3.0701754385964897E-2</v>
      </c>
    </row>
    <row r="3059" spans="1:3" x14ac:dyDescent="0.45">
      <c r="A3059" s="2">
        <v>45857</v>
      </c>
      <c r="B3059" s="7">
        <v>218000</v>
      </c>
      <c r="C3059" s="8">
        <v>-1.3574660633484115E-2</v>
      </c>
    </row>
    <row r="3060" spans="1:3" x14ac:dyDescent="0.45">
      <c r="A3060" s="2">
        <v>45864</v>
      </c>
      <c r="B3060" s="7">
        <v>219000</v>
      </c>
      <c r="C3060" s="8">
        <v>4.5871559633028358E-3</v>
      </c>
    </row>
    <row r="3061" spans="1:3" x14ac:dyDescent="0.45">
      <c r="A3061" s="2">
        <v>45871</v>
      </c>
      <c r="B3061" s="7">
        <v>226000</v>
      </c>
      <c r="C3061" s="8">
        <v>3.1963470319634757E-2</v>
      </c>
    </row>
    <row r="3062" spans="1:3" x14ac:dyDescent="0.45">
      <c r="A3062" s="2">
        <v>45878</v>
      </c>
      <c r="B3062" s="7">
        <v>224000</v>
      </c>
      <c r="C3062" s="8">
        <v>-8.8495575221239076E-3</v>
      </c>
    </row>
    <row r="3063" spans="1:3" x14ac:dyDescent="0.45">
      <c r="A3063" s="2">
        <v>45885</v>
      </c>
      <c r="B3063" s="7">
        <v>233000</v>
      </c>
      <c r="C3063" s="8">
        <v>4.0178571428571397E-2</v>
      </c>
    </row>
    <row r="3064" spans="1:3" x14ac:dyDescent="0.45">
      <c r="A3064" s="2">
        <v>45892</v>
      </c>
      <c r="B3064" s="7">
        <v>229000</v>
      </c>
      <c r="C3064" s="8">
        <v>-1.7167381974248941E-2</v>
      </c>
    </row>
    <row r="3065" spans="1:3" x14ac:dyDescent="0.45">
      <c r="A3065" s="2">
        <v>45899</v>
      </c>
      <c r="B3065" s="7">
        <v>236000</v>
      </c>
      <c r="C3065" s="8">
        <v>3.0567685589519611E-2</v>
      </c>
    </row>
    <row r="3066" spans="1:3" x14ac:dyDescent="0.45">
      <c r="A3066" s="2">
        <v>45906</v>
      </c>
      <c r="B3066" s="7">
        <v>259000</v>
      </c>
      <c r="C3066" s="8">
        <v>9.745762711864403E-2</v>
      </c>
    </row>
    <row r="3067" spans="1:3" x14ac:dyDescent="0.45">
      <c r="A3067" s="2">
        <v>45913</v>
      </c>
      <c r="B3067" s="7">
        <v>233000</v>
      </c>
      <c r="C3067" s="8">
        <v>-0.10038610038610041</v>
      </c>
    </row>
    <row r="3068" spans="1:3" x14ac:dyDescent="0.45">
      <c r="A3068" s="2">
        <v>45920</v>
      </c>
      <c r="B3068" s="7">
        <v>219000</v>
      </c>
      <c r="C3068" s="8">
        <v>-6.0085836909871237E-2</v>
      </c>
    </row>
    <row r="3069" spans="1:3" x14ac:dyDescent="0.45">
      <c r="A3069" s="2">
        <v>45927</v>
      </c>
      <c r="B3069" s="7">
        <v>225000</v>
      </c>
      <c r="C3069" s="8">
        <v>2.7397260273972712E-2</v>
      </c>
    </row>
    <row r="3070" spans="1:3" x14ac:dyDescent="0.45">
      <c r="A3070" s="2">
        <v>45934</v>
      </c>
      <c r="B3070" s="7">
        <v>233000</v>
      </c>
      <c r="C3070" s="8">
        <v>3.5555555555555562E-2</v>
      </c>
    </row>
    <row r="3071" spans="1:3" x14ac:dyDescent="0.45">
      <c r="A3071" s="2">
        <v>45941</v>
      </c>
      <c r="B3071" s="7">
        <v>222000</v>
      </c>
      <c r="C3071" s="8">
        <v>-4.7210300429184504E-2</v>
      </c>
    </row>
    <row r="3072" spans="1:3" x14ac:dyDescent="0.45">
      <c r="A3072" s="2">
        <v>45948</v>
      </c>
      <c r="B3072" s="7">
        <v>231000</v>
      </c>
      <c r="C3072" s="8">
        <v>4.0540540540540571E-2</v>
      </c>
    </row>
    <row r="3073" spans="1:3" x14ac:dyDescent="0.45">
      <c r="A3073" s="2">
        <v>45955</v>
      </c>
      <c r="B3073" s="7">
        <v>221000</v>
      </c>
      <c r="C3073" s="8">
        <v>-4.3290043290043267E-2</v>
      </c>
    </row>
    <row r="3074" spans="1:3" x14ac:dyDescent="0.45">
      <c r="A3074" s="2">
        <v>45962</v>
      </c>
      <c r="B3074" s="7">
        <v>228000</v>
      </c>
      <c r="C3074" s="8">
        <v>3.167420814479649E-2</v>
      </c>
    </row>
    <row r="3075" spans="1:3" x14ac:dyDescent="0.45">
      <c r="A3075" s="2">
        <v>45969</v>
      </c>
      <c r="B3075" s="7">
        <v>228000</v>
      </c>
      <c r="C3075" s="8">
        <v>0</v>
      </c>
    </row>
    <row r="3076" spans="1:3" x14ac:dyDescent="0.45">
      <c r="A3076" s="2">
        <v>45976</v>
      </c>
      <c r="B3076" s="7">
        <v>222000</v>
      </c>
      <c r="C3076" s="8">
        <v>-2.6315789473684181E-2</v>
      </c>
    </row>
    <row r="3077" spans="1:3" x14ac:dyDescent="0.45">
      <c r="A3077" s="2">
        <v>45983</v>
      </c>
      <c r="B3077" s="7">
        <v>218000</v>
      </c>
      <c r="C3077" s="8">
        <v>-1.8018018018018056E-2</v>
      </c>
    </row>
    <row r="3078" spans="1:3" x14ac:dyDescent="0.45">
      <c r="A3078" s="2">
        <v>45990</v>
      </c>
      <c r="B3078" s="7">
        <v>216000</v>
      </c>
      <c r="C3078" s="8">
        <v>-9.1743119266054496E-3</v>
      </c>
    </row>
    <row r="3079" spans="1:3" x14ac:dyDescent="0.45">
      <c r="A3079" s="2">
        <v>45997</v>
      </c>
      <c r="B3079" s="7">
        <v>235000</v>
      </c>
      <c r="C3079" s="8">
        <v>8.7962962962963021E-2</v>
      </c>
    </row>
    <row r="3080" spans="1:3" x14ac:dyDescent="0.45">
      <c r="A3080" s="2">
        <v>46004</v>
      </c>
      <c r="B3080" s="7">
        <v>224000</v>
      </c>
      <c r="C3080" s="8">
        <v>-4.6808510638297829E-2</v>
      </c>
    </row>
    <row r="3081" spans="1:3" x14ac:dyDescent="0.45">
      <c r="A3081" s="2">
        <v>46011</v>
      </c>
      <c r="B3081" s="7">
        <v>215000</v>
      </c>
      <c r="C3081" s="8">
        <v>-4.0178571428571397E-2</v>
      </c>
    </row>
    <row r="3082" spans="1:3" x14ac:dyDescent="0.45">
      <c r="A3082" s="2">
        <v>46018</v>
      </c>
      <c r="B3082" s="7">
        <v>203000</v>
      </c>
      <c r="C3082" s="8">
        <v>-5.5813953488372148E-2</v>
      </c>
    </row>
    <row r="3083" spans="1:3" x14ac:dyDescent="0.45">
      <c r="A3083" s="2">
        <v>46025</v>
      </c>
      <c r="B3083" s="7">
        <v>207000</v>
      </c>
      <c r="C3083" s="8">
        <v>1.9704433497536922E-2</v>
      </c>
    </row>
    <row r="3084" spans="1:3" x14ac:dyDescent="0.45">
      <c r="A3084" s="2">
        <v>46032</v>
      </c>
      <c r="B3084" s="7">
        <v>201000</v>
      </c>
      <c r="C3084" s="8">
        <v>-2.8985507246376829E-2</v>
      </c>
    </row>
    <row r="3085" spans="1:3" x14ac:dyDescent="0.45">
      <c r="A3085" s="2">
        <v>46039</v>
      </c>
      <c r="B3085" s="7">
        <v>210000</v>
      </c>
      <c r="C3085" s="8">
        <v>4.4776119402984982E-2</v>
      </c>
    </row>
    <row r="3086" spans="1:3" x14ac:dyDescent="0.45">
      <c r="A3086" s="2">
        <v>46046</v>
      </c>
      <c r="B3086" s="7">
        <v>211000</v>
      </c>
      <c r="C3086" s="8">
        <v>4.761904761904745E-3</v>
      </c>
    </row>
    <row r="3087" spans="1:3" x14ac:dyDescent="0.45">
      <c r="A3087" s="2">
        <v>46053</v>
      </c>
      <c r="B3087" s="7">
        <v>230000</v>
      </c>
      <c r="C3087" s="8">
        <v>9.004739336492884E-2</v>
      </c>
    </row>
    <row r="3088" spans="1:3" x14ac:dyDescent="0.45">
      <c r="A3088" s="2">
        <v>46060</v>
      </c>
      <c r="B3088" s="7">
        <v>230000</v>
      </c>
      <c r="C3088" s="8">
        <v>0</v>
      </c>
    </row>
    <row r="3089" spans="1:3" x14ac:dyDescent="0.45">
      <c r="A3089" s="2">
        <v>46067</v>
      </c>
      <c r="B3089" s="7">
        <v>208000</v>
      </c>
      <c r="C3089" s="8">
        <v>-9.5652173913043481E-2</v>
      </c>
    </row>
    <row r="3090" spans="1:3" x14ac:dyDescent="0.45">
      <c r="A3090" s="2">
        <v>46074</v>
      </c>
      <c r="B3090" s="7">
        <v>211000</v>
      </c>
      <c r="C3090" s="8">
        <v>1.4423076923076872E-2</v>
      </c>
    </row>
    <row r="3091" spans="1:3" x14ac:dyDescent="0.45">
      <c r="A3091" s="2">
        <v>46081</v>
      </c>
      <c r="B3091" s="7">
        <v>214000</v>
      </c>
      <c r="C3091" s="8">
        <v>1.4218009478673022E-2</v>
      </c>
    </row>
    <row r="3092" spans="1:3" x14ac:dyDescent="0.45">
      <c r="A3092" s="2">
        <v>46088</v>
      </c>
      <c r="B3092" s="7">
        <v>213000</v>
      </c>
      <c r="C3092" s="8">
        <v>-4.6728971962616273E-3</v>
      </c>
    </row>
    <row r="3093" spans="1:3" x14ac:dyDescent="0.45">
      <c r="A3093" s="2">
        <v>46095</v>
      </c>
      <c r="B3093" s="7">
        <v>205000</v>
      </c>
      <c r="C3093" s="8">
        <v>-3.7558685446009377E-2</v>
      </c>
    </row>
    <row r="3094" spans="1:3" x14ac:dyDescent="0.45">
      <c r="A3094" s="2">
        <v>46102</v>
      </c>
      <c r="B3094" s="7">
        <v>211000</v>
      </c>
      <c r="C3094" s="8">
        <v>2.9268292682926855E-2</v>
      </c>
    </row>
    <row r="3095" spans="1:3" x14ac:dyDescent="0.45">
      <c r="A3095" s="2">
        <v>46109</v>
      </c>
      <c r="B3095" s="7">
        <v>203000</v>
      </c>
      <c r="C3095" s="8">
        <v>-3.7914691943127909E-2</v>
      </c>
    </row>
    <row r="3096" spans="1:3" x14ac:dyDescent="0.45">
      <c r="A3096" s="2">
        <v>46116</v>
      </c>
      <c r="B3096" s="7">
        <v>218000</v>
      </c>
      <c r="C3096" s="8">
        <v>7.3891625615763568E-2</v>
      </c>
    </row>
    <row r="3097" spans="1:3" x14ac:dyDescent="0.45">
      <c r="A3097" s="2">
        <v>46123</v>
      </c>
      <c r="B3097" s="7">
        <v>208000</v>
      </c>
      <c r="C3097" s="8">
        <v>-4.587155963302747E-2</v>
      </c>
    </row>
    <row r="3098" spans="1:3" x14ac:dyDescent="0.45">
      <c r="A3098" s="2">
        <v>46130</v>
      </c>
      <c r="B3098" s="7">
        <v>215000</v>
      </c>
      <c r="C3098" s="8">
        <v>3.3653846153846256E-2</v>
      </c>
    </row>
    <row r="3099" spans="1:3" x14ac:dyDescent="0.45">
      <c r="A3099" s="2">
        <v>46137</v>
      </c>
      <c r="B3099" s="7">
        <v>190000</v>
      </c>
      <c r="C3099" s="8">
        <v>-0.11627906976744184</v>
      </c>
    </row>
    <row r="3100" spans="1:3" x14ac:dyDescent="0.45">
      <c r="A3100" s="2">
        <v>46144</v>
      </c>
      <c r="B3100" s="7">
        <v>199000</v>
      </c>
      <c r="C3100" s="8">
        <v>4.7368421052631504E-2</v>
      </c>
    </row>
    <row r="3101" spans="1:3" x14ac:dyDescent="0.45">
      <c r="A3101" s="2">
        <v>46151</v>
      </c>
      <c r="B3101" s="7">
        <v>212000</v>
      </c>
      <c r="C3101" s="8">
        <v>6.5326633165829096E-2</v>
      </c>
    </row>
    <row r="3102" spans="1:3" x14ac:dyDescent="0.45">
      <c r="A3102" s="2">
        <v>46158</v>
      </c>
      <c r="B3102" s="7">
        <v>210000</v>
      </c>
      <c r="C3102" s="8">
        <v>-9.4339622641509413E-3</v>
      </c>
    </row>
    <row r="3103" spans="1:3" x14ac:dyDescent="0.45">
      <c r="A3103" s="2">
        <v>46165</v>
      </c>
      <c r="B3103" s="7">
        <v>212000</v>
      </c>
      <c r="C3103" s="8">
        <v>9.52380952380949E-3</v>
      </c>
    </row>
    <row r="3104" spans="1:3" x14ac:dyDescent="0.45">
      <c r="A3104" s="2">
        <v>46172</v>
      </c>
      <c r="B3104" s="7">
        <v>225000</v>
      </c>
      <c r="C3104" s="8">
        <v>6.1320754716981174E-2</v>
      </c>
    </row>
    <row r="3105" spans="1:3" x14ac:dyDescent="0.45">
      <c r="A3105" s="2">
        <v>46179</v>
      </c>
      <c r="B3105" s="7">
        <v>230000</v>
      </c>
      <c r="C3105" s="8">
        <v>2.2222222222222143E-2</v>
      </c>
    </row>
    <row r="3106" spans="1:3" x14ac:dyDescent="0.45">
      <c r="A3106" s="2">
        <v>46186</v>
      </c>
      <c r="B3106" s="7">
        <v>227000</v>
      </c>
      <c r="C3106" s="8">
        <v>-1.3043478260869601E-2</v>
      </c>
    </row>
    <row r="3107" spans="1:3" x14ac:dyDescent="0.45">
      <c r="A3107" s="2">
        <v>46193</v>
      </c>
      <c r="B3107" s="7">
        <v>216000</v>
      </c>
      <c r="C3107" s="8">
        <v>-4.8458149779735726E-2</v>
      </c>
    </row>
    <row r="3108" spans="1:3" x14ac:dyDescent="0.45">
      <c r="A3108" s="2">
        <v>46200</v>
      </c>
      <c r="B3108" s="7">
        <v>215000</v>
      </c>
      <c r="C3108" s="8">
        <v>-4.6296296296296502E-3</v>
      </c>
    </row>
    <row r="3109" spans="1:3" x14ac:dyDescent="0.45">
      <c r="A3109" s="2">
        <v>46207</v>
      </c>
      <c r="B3109" s="7">
        <v>217000</v>
      </c>
      <c r="C3109" s="8">
        <f>B3109/B3108-1</f>
        <v>9.302325581395321E-3</v>
      </c>
    </row>
    <row r="3110" spans="1:3" x14ac:dyDescent="0.45">
      <c r="A3110" s="2">
        <v>46214</v>
      </c>
      <c r="B3110" s="7">
        <v>209000</v>
      </c>
      <c r="C3110" s="8">
        <f t="shared" ref="C3110:C3113" si="0">B3110/B3109-1</f>
        <v>-3.686635944700456E-2</v>
      </c>
    </row>
    <row r="3111" spans="1:3" x14ac:dyDescent="0.45">
      <c r="A3111" s="2">
        <v>46221</v>
      </c>
      <c r="B3111" s="7">
        <v>188000</v>
      </c>
      <c r="C3111" s="8">
        <f t="shared" si="0"/>
        <v>-0.1004784688995215</v>
      </c>
    </row>
    <row r="3112" spans="1:3" x14ac:dyDescent="0.45">
      <c r="A3112" s="2">
        <v>46228</v>
      </c>
      <c r="B3112" s="7">
        <v>197000</v>
      </c>
      <c r="C3112" s="8">
        <f t="shared" si="0"/>
        <v>4.7872340425531901E-2</v>
      </c>
    </row>
    <row r="3113" spans="1:3" x14ac:dyDescent="0.45">
      <c r="A3113" s="2">
        <v>46235</v>
      </c>
      <c r="B3113" s="7">
        <v>199000</v>
      </c>
      <c r="C3113" s="8">
        <f t="shared" si="0"/>
        <v>1.0152284263959421E-2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86DD9-0714-4770-8B1D-2B8B8552C9C6}">
  <dimension ref="A1:X679"/>
  <sheetViews>
    <sheetView workbookViewId="0"/>
  </sheetViews>
  <sheetFormatPr defaultRowHeight="14.25" x14ac:dyDescent="0.45"/>
  <cols>
    <col min="1" max="1" width="107.59765625" bestFit="1" customWidth="1"/>
    <col min="2" max="2" width="5.265625" bestFit="1" customWidth="1"/>
    <col min="3" max="3" width="11.9296875" bestFit="1" customWidth="1"/>
    <col min="6" max="6" width="32.3984375" bestFit="1" customWidth="1"/>
    <col min="7" max="7" width="13.06640625" bestFit="1" customWidth="1"/>
    <col min="8" max="8" width="22.53125" bestFit="1" customWidth="1"/>
    <col min="9" max="9" width="8.86328125" bestFit="1" customWidth="1"/>
    <col min="10" max="10" width="13.33203125" bestFit="1" customWidth="1"/>
    <col min="12" max="12" width="9.6640625" bestFit="1" customWidth="1"/>
    <col min="17" max="17" width="24.1328125" bestFit="1" customWidth="1"/>
    <col min="18" max="18" width="12.33203125" bestFit="1" customWidth="1"/>
    <col min="19" max="19" width="45.06640625" bestFit="1" customWidth="1"/>
    <col min="21" max="21" width="23.796875" bestFit="1" customWidth="1"/>
    <col min="22" max="24" width="12.33203125" bestFit="1" customWidth="1"/>
  </cols>
  <sheetData>
    <row r="1" spans="1:24" x14ac:dyDescent="0.45">
      <c r="A1" s="1" t="s">
        <v>46</v>
      </c>
    </row>
    <row r="2" spans="1:24" x14ac:dyDescent="0.45">
      <c r="A2" t="s">
        <v>114</v>
      </c>
      <c r="F2" s="1" t="s">
        <v>4</v>
      </c>
      <c r="Q2" s="1" t="s">
        <v>47</v>
      </c>
      <c r="U2" s="1" t="s">
        <v>32</v>
      </c>
    </row>
    <row r="3" spans="1:24" x14ac:dyDescent="0.45">
      <c r="F3" t="s">
        <v>5</v>
      </c>
      <c r="G3" s="3">
        <f>B$679</f>
        <v>55.2</v>
      </c>
      <c r="Q3" t="s">
        <v>19</v>
      </c>
      <c r="R3" s="4">
        <f>AVERAGE($C$6:$C$679)</f>
        <v>-4.5994065281899109E-2</v>
      </c>
      <c r="U3" t="s">
        <v>33</v>
      </c>
      <c r="V3">
        <v>1</v>
      </c>
      <c r="W3">
        <v>2</v>
      </c>
      <c r="X3">
        <v>3</v>
      </c>
    </row>
    <row r="4" spans="1:24" x14ac:dyDescent="0.45">
      <c r="A4" s="1" t="s">
        <v>1</v>
      </c>
      <c r="B4" s="1" t="s">
        <v>2</v>
      </c>
      <c r="C4" s="1" t="s">
        <v>3</v>
      </c>
      <c r="F4" t="s">
        <v>6</v>
      </c>
      <c r="G4" s="3">
        <f>AVERAGE($B$5:$B$679)</f>
        <v>84.416148148148096</v>
      </c>
      <c r="Q4" t="s">
        <v>20</v>
      </c>
      <c r="R4">
        <f>_xlfn.STDEV.S($C$6:$C$679)/SQRT(COUNT($C$6:$C$679))</f>
        <v>0.16299880063855726</v>
      </c>
      <c r="U4" t="s">
        <v>34</v>
      </c>
      <c r="V4">
        <f>$R$3+V$3*$R$7</f>
        <v>4.185700922837623</v>
      </c>
      <c r="W4">
        <f>$R$3+W$3*$R$7</f>
        <v>8.4173959109571452</v>
      </c>
      <c r="X4">
        <f>$R$3+X$3*$R$7</f>
        <v>12.649090899076668</v>
      </c>
    </row>
    <row r="5" spans="1:24" x14ac:dyDescent="0.45">
      <c r="A5" s="2">
        <v>19299</v>
      </c>
      <c r="B5" s="3">
        <v>86.2</v>
      </c>
      <c r="C5" s="4"/>
      <c r="F5" t="s">
        <v>7</v>
      </c>
      <c r="G5" s="3">
        <f>_xlfn.STDEV.S($B$5:$B$679)</f>
        <v>13.704604804822598</v>
      </c>
      <c r="Q5" t="s">
        <v>21</v>
      </c>
      <c r="R5" s="4">
        <f>MEDIAN($C$6:$C$679)</f>
        <v>-0.10000000000000142</v>
      </c>
      <c r="U5" t="s">
        <v>35</v>
      </c>
      <c r="V5">
        <f>$R$3-V$3*$R$7</f>
        <v>-4.2776890534014216</v>
      </c>
      <c r="W5">
        <f>$R$3-W$3*$R$7</f>
        <v>-8.5093840415209439</v>
      </c>
      <c r="X5">
        <f>$R$3-X$3*$R$7</f>
        <v>-12.741079029640467</v>
      </c>
    </row>
    <row r="6" spans="1:24" x14ac:dyDescent="0.45">
      <c r="A6" s="2">
        <v>19391</v>
      </c>
      <c r="B6" s="3">
        <v>90.7</v>
      </c>
      <c r="C6" s="4">
        <v>4.5</v>
      </c>
      <c r="F6" t="s">
        <v>8</v>
      </c>
      <c r="G6" s="3">
        <f>(G3-G4)/G5</f>
        <v>-2.1318490072670349</v>
      </c>
      <c r="Q6" t="s">
        <v>22</v>
      </c>
      <c r="R6">
        <f>_xlfn.MODE.SNGL($C$6:$C$679)</f>
        <v>1.2999999999999972</v>
      </c>
    </row>
    <row r="7" spans="1:24" x14ac:dyDescent="0.45">
      <c r="A7" s="2">
        <v>19572</v>
      </c>
      <c r="B7" s="3">
        <v>80.8</v>
      </c>
      <c r="C7" s="4">
        <v>-9.9000000000000057</v>
      </c>
      <c r="F7" t="s">
        <v>9</v>
      </c>
      <c r="G7" s="5">
        <f>_xlfn.PERCENTRANK.INC($B$5:$B$679,G3)</f>
        <v>0.02</v>
      </c>
      <c r="Q7" t="s">
        <v>23</v>
      </c>
      <c r="R7">
        <f>_xlfn.STDEV.S($C$6:$C$679)</f>
        <v>4.2316949881195223</v>
      </c>
      <c r="U7" s="1" t="s">
        <v>36</v>
      </c>
    </row>
    <row r="8" spans="1:24" x14ac:dyDescent="0.45">
      <c r="A8" s="2">
        <v>19664</v>
      </c>
      <c r="B8" s="3">
        <v>80.7</v>
      </c>
      <c r="C8" s="4">
        <v>-9.9999999999994316E-2</v>
      </c>
      <c r="F8" t="s">
        <v>10</v>
      </c>
      <c r="G8" t="str">
        <f>IF(G6&gt;=2,"EXTREME HIGH",IF(G6&gt;=1,"HIGH (+1 to +2σ)",IF(G6&lt;=-2,"EXTREME LOW",IF(G6&lt;=-1,"LOW (-1 to -2σ)","NORMAL (±1σ)"))))</f>
        <v>EXTREME LOW</v>
      </c>
      <c r="Q8" t="s">
        <v>24</v>
      </c>
      <c r="R8">
        <f>_xlfn.VAR.S($C$6:$C$679)</f>
        <v>17.907242472475886</v>
      </c>
      <c r="U8" t="s">
        <v>37</v>
      </c>
      <c r="V8" t="s">
        <v>38</v>
      </c>
      <c r="W8" t="s">
        <v>39</v>
      </c>
      <c r="X8" t="s">
        <v>40</v>
      </c>
    </row>
    <row r="9" spans="1:24" x14ac:dyDescent="0.45">
      <c r="A9" s="2">
        <v>19756</v>
      </c>
      <c r="B9" s="3">
        <v>82</v>
      </c>
      <c r="C9" s="4">
        <v>1.2999999999999972</v>
      </c>
      <c r="F9" t="s">
        <v>11</v>
      </c>
      <c r="G9" t="str">
        <f>IF(G6&gt;=1,"STRONG vs history",IF(G6&lt;=-1,"WEAK vs history","NEUTRAL vs history"))</f>
        <v>WEAK vs history</v>
      </c>
      <c r="Q9" t="s">
        <v>25</v>
      </c>
      <c r="R9">
        <f>KURT($C$6:$C$679)</f>
        <v>1.0402967566594099</v>
      </c>
      <c r="S9" t="str">
        <f>IF(R9&gt;0,"More peaked than normal — fat tails (excess kurtosis &gt; 0)",IF(R9&lt;0,"Flatter than normal — thin tails (excess kurtosis &lt; 0)","Approximately normal kurtosis"))</f>
        <v>More peaked than normal — fat tails (excess kurtosis &gt; 0)</v>
      </c>
      <c r="U9">
        <v>1</v>
      </c>
      <c r="V9" s="5">
        <f>COUNTIFS($C$6:$C$679,"&gt;="&amp;($R$3-$R$7*$U9),$C$6:$C$679,"&lt;="&amp;($R$3+$R$7*$U9))/$R$15</f>
        <v>0.70623145400593468</v>
      </c>
      <c r="W9" s="5">
        <v>0.68200000000000005</v>
      </c>
      <c r="X9" t="str">
        <f>IF(V9&gt;W9+0.02,"fat tails",IF(V9&lt;W9-0.02,"thin tails","≈ normal"))</f>
        <v>fat tails</v>
      </c>
    </row>
    <row r="10" spans="1:24" x14ac:dyDescent="0.45">
      <c r="A10" s="2">
        <v>19845</v>
      </c>
      <c r="B10" s="3">
        <v>82.9</v>
      </c>
      <c r="C10" s="4">
        <v>0.90000000000000568</v>
      </c>
      <c r="Q10" t="s">
        <v>26</v>
      </c>
      <c r="R10">
        <f>SKEW($C$6:$C$679)</f>
        <v>-0.10781328817498284</v>
      </c>
      <c r="S10" t="str">
        <f>IF(R10&gt;0,"Positive skew — bigger fat tail on the upside",IF(R10&lt;0,"Negative skew — bigger fat tail on the downside","Approximately symmetric"))</f>
        <v>Negative skew — bigger fat tail on the downside</v>
      </c>
      <c r="U10">
        <v>2</v>
      </c>
      <c r="V10" s="5">
        <f>COUNTIFS($C$6:$C$679,"&gt;="&amp;($R$3-$R$7*$U10),$C$6:$C$679,"&lt;="&amp;($R$3+$R$7*$U10))/$R$15</f>
        <v>0.94955489614243327</v>
      </c>
      <c r="W10" s="5">
        <v>0.95399999999999996</v>
      </c>
      <c r="X10" t="str">
        <f>IF(V10&gt;W10+0.02,"fat tails",IF(V10&lt;W10-0.02,"thin tails","≈ normal"))</f>
        <v>≈ normal</v>
      </c>
    </row>
    <row r="11" spans="1:24" x14ac:dyDescent="0.45">
      <c r="A11" s="2">
        <v>20029</v>
      </c>
      <c r="B11" s="3">
        <v>87</v>
      </c>
      <c r="C11" s="4">
        <v>4.0999999999999943</v>
      </c>
      <c r="H11" s="1" t="s">
        <v>12</v>
      </c>
      <c r="Q11" t="s">
        <v>15</v>
      </c>
      <c r="R11" s="4">
        <f>MAX($C$6:$C$679)-MIN($C$6:$C$679)</f>
        <v>34.599999999999994</v>
      </c>
      <c r="U11">
        <v>3</v>
      </c>
      <c r="V11" s="5">
        <f>COUNTIFS($C$6:$C$679,"&gt;="&amp;($R$3-$R$7*$U11),$C$6:$C$679,"&lt;="&amp;($R$3+$R$7*$U11))/$R$15</f>
        <v>0.99406528189910981</v>
      </c>
      <c r="W11" s="5">
        <v>0.997</v>
      </c>
      <c r="X11" t="str">
        <f>IF(V11&gt;W11+0.02,"fat tails",IF(V11&lt;W11-0.02,"thin tails","≈ normal"))</f>
        <v>≈ normal</v>
      </c>
    </row>
    <row r="12" spans="1:24" x14ac:dyDescent="0.45">
      <c r="A12" s="2">
        <v>20121</v>
      </c>
      <c r="B12" s="3">
        <v>95.9</v>
      </c>
      <c r="C12" s="4">
        <v>8.9000000000000057</v>
      </c>
      <c r="H12" t="s">
        <v>13</v>
      </c>
      <c r="I12" t="s">
        <v>14</v>
      </c>
      <c r="J12" t="s">
        <v>15</v>
      </c>
      <c r="K12" t="s">
        <v>16</v>
      </c>
      <c r="L12" t="s">
        <v>17</v>
      </c>
      <c r="Q12" t="s">
        <v>27</v>
      </c>
      <c r="R12" s="4">
        <f>MIN($C$6:$C$679)</f>
        <v>-17.299999999999997</v>
      </c>
    </row>
    <row r="13" spans="1:24" x14ac:dyDescent="0.45">
      <c r="A13" s="2">
        <v>20210</v>
      </c>
      <c r="B13" s="3">
        <v>99.1</v>
      </c>
      <c r="C13" s="4">
        <v>3.1999999999999886</v>
      </c>
      <c r="H13" s="6">
        <f>$R$12+($R$11/12)*(ROW()-12)</f>
        <v>-14.416666666666664</v>
      </c>
      <c r="I13" s="7">
        <f>COUNTIFS($C$6:$C$679,"&gt;="&amp;$R$12,$C$6:$C$679,"&lt;="&amp;H13)</f>
        <v>2</v>
      </c>
      <c r="J13" t="str">
        <f>TEXT($R$12,"0.00")&amp;" to "&amp;TEXT(H13,"0.00")</f>
        <v>-17.30 to -14.42</v>
      </c>
      <c r="K13" s="5">
        <f>I13/$R$15</f>
        <v>2.967359050445104E-3</v>
      </c>
      <c r="L13" s="5">
        <f>SUM($K$13:K13)</f>
        <v>2.967359050445104E-3</v>
      </c>
      <c r="Q13" t="s">
        <v>28</v>
      </c>
      <c r="R13" s="4">
        <f>MAX($C$6:$C$679)</f>
        <v>17.299999999999997</v>
      </c>
    </row>
    <row r="14" spans="1:24" x14ac:dyDescent="0.45">
      <c r="A14" s="2">
        <v>20394</v>
      </c>
      <c r="B14" s="3">
        <v>99.7</v>
      </c>
      <c r="C14" s="4">
        <v>0.60000000000000853</v>
      </c>
      <c r="H14" s="6">
        <f>$R$12+($R$11/12)*(ROW()-12)</f>
        <v>-11.533333333333331</v>
      </c>
      <c r="I14" s="7">
        <f>COUNTIFS($C$6:$C$679,"&gt;"&amp;H13,$C$6:$C$679,"&lt;="&amp;H14)</f>
        <v>5</v>
      </c>
      <c r="J14" t="str">
        <f>TEXT(H13,"0.00")&amp;" to "&amp;TEXT(H14,"0.00")</f>
        <v>-14.42 to -11.53</v>
      </c>
      <c r="K14" s="5">
        <f>I14/$R$15</f>
        <v>7.4183976261127599E-3</v>
      </c>
      <c r="L14" s="5">
        <f>SUM($K$13:K14)</f>
        <v>1.0385756676557865E-2</v>
      </c>
      <c r="Q14" t="s">
        <v>29</v>
      </c>
      <c r="R14" s="4">
        <f>SUM($C$6:$C$679)</f>
        <v>-31</v>
      </c>
    </row>
    <row r="15" spans="1:24" x14ac:dyDescent="0.45">
      <c r="A15" s="2">
        <v>20576</v>
      </c>
      <c r="B15" s="3">
        <v>98.2</v>
      </c>
      <c r="C15" s="4">
        <v>-1.5</v>
      </c>
      <c r="H15" s="6">
        <f>$R$12+($R$11/12)*(ROW()-12)</f>
        <v>-8.6499999999999986</v>
      </c>
      <c r="I15" s="7">
        <f>COUNTIFS($C$6:$C$679,"&gt;"&amp;H14,$C$6:$C$679,"&lt;="&amp;H15)</f>
        <v>13</v>
      </c>
      <c r="J15" t="str">
        <f>TEXT(H14,"0.00")&amp;" to "&amp;TEXT(H15,"0.00")</f>
        <v>-11.53 to -8.65</v>
      </c>
      <c r="K15" s="5">
        <f>I15/$R$15</f>
        <v>1.9287833827893175E-2</v>
      </c>
      <c r="L15" s="5">
        <f>SUM($K$13:K15)</f>
        <v>2.967359050445104E-2</v>
      </c>
      <c r="Q15" t="s">
        <v>30</v>
      </c>
      <c r="R15">
        <f>COUNT($C$6:$C$679)</f>
        <v>674</v>
      </c>
      <c r="S15" t="s">
        <v>31</v>
      </c>
    </row>
    <row r="16" spans="1:24" x14ac:dyDescent="0.45">
      <c r="A16" s="2">
        <v>20668</v>
      </c>
      <c r="B16" s="3">
        <v>99.9</v>
      </c>
      <c r="C16" s="4">
        <v>1.7000000000000028</v>
      </c>
      <c r="H16" s="6">
        <f>$R$12+($R$11/12)*(ROW()-12)</f>
        <v>-5.7666666666666657</v>
      </c>
      <c r="I16" s="7">
        <f>COUNTIFS($C$6:$C$679,"&gt;"&amp;H15,$C$6:$C$679,"&lt;="&amp;H16)</f>
        <v>28</v>
      </c>
      <c r="J16" t="str">
        <f>TEXT(H15,"0.00")&amp;" to "&amp;TEXT(H16,"0.00")</f>
        <v>-8.65 to -5.77</v>
      </c>
      <c r="K16" s="5">
        <f>I16/$R$15</f>
        <v>4.1543026706231452E-2</v>
      </c>
      <c r="L16" s="5">
        <f>SUM($K$13:K16)</f>
        <v>7.1216617210682495E-2</v>
      </c>
    </row>
    <row r="17" spans="1:12" x14ac:dyDescent="0.45">
      <c r="A17" s="2">
        <v>20760</v>
      </c>
      <c r="B17" s="3">
        <v>100.2</v>
      </c>
      <c r="C17" s="4">
        <v>0.29999999999999716</v>
      </c>
      <c r="H17" s="6">
        <f>$R$12+($R$11/12)*(ROW()-12)</f>
        <v>-2.8833333333333329</v>
      </c>
      <c r="I17" s="7">
        <f>COUNTIFS($C$6:$C$679,"&gt;"&amp;H16,$C$6:$C$679,"&lt;="&amp;H17)</f>
        <v>101</v>
      </c>
      <c r="J17" t="str">
        <f>TEXT(H16,"0.00")&amp;" to "&amp;TEXT(H17,"0.00")</f>
        <v>-5.77 to -2.88</v>
      </c>
      <c r="K17" s="5">
        <f>I17/$R$15</f>
        <v>0.14985163204747776</v>
      </c>
      <c r="L17" s="5">
        <f>SUM($K$13:K17)</f>
        <v>0.22106824925816027</v>
      </c>
    </row>
    <row r="18" spans="1:12" x14ac:dyDescent="0.45">
      <c r="A18" s="2">
        <v>20941</v>
      </c>
      <c r="B18" s="3">
        <v>92.9</v>
      </c>
      <c r="C18" s="4">
        <v>-7.2999999999999972</v>
      </c>
      <c r="H18" s="6">
        <f>$R$12+($R$11/12)*(ROW()-12)</f>
        <v>0</v>
      </c>
      <c r="I18" s="7">
        <f>COUNTIFS($C$6:$C$679,"&gt;"&amp;H17,$C$6:$C$679,"&lt;="&amp;H18)</f>
        <v>199</v>
      </c>
      <c r="J18" t="str">
        <f>TEXT(H17,"0.00")&amp;" to "&amp;TEXT(H18,"0.00")</f>
        <v>-2.88 to 0.00</v>
      </c>
      <c r="K18" s="5">
        <f>I18/$R$15</f>
        <v>0.29525222551928781</v>
      </c>
      <c r="L18" s="5">
        <f>SUM($K$13:K18)</f>
        <v>0.51632047477744814</v>
      </c>
    </row>
    <row r="19" spans="1:12" x14ac:dyDescent="0.45">
      <c r="A19" s="2">
        <v>21125</v>
      </c>
      <c r="B19" s="3">
        <v>83.7</v>
      </c>
      <c r="C19" s="4">
        <v>-9.2000000000000028</v>
      </c>
      <c r="H19" s="6">
        <f>$R$12+($R$11/12)*(ROW()-12)</f>
        <v>2.8833333333333329</v>
      </c>
      <c r="I19" s="7">
        <f>COUNTIFS($C$6:$C$679,"&gt;"&amp;H18,$C$6:$C$679,"&lt;="&amp;H19)</f>
        <v>170</v>
      </c>
      <c r="J19" t="str">
        <f>TEXT(H18,"0.00")&amp;" to "&amp;TEXT(H19,"0.00")</f>
        <v>0.00 to 2.88</v>
      </c>
      <c r="K19" s="5">
        <f>I19/$R$15</f>
        <v>0.25222551928783382</v>
      </c>
      <c r="L19" s="5">
        <f>SUM($K$13:K19)</f>
        <v>0.7685459940652819</v>
      </c>
    </row>
    <row r="20" spans="1:12" x14ac:dyDescent="0.45">
      <c r="A20" s="2">
        <v>21217</v>
      </c>
      <c r="B20" s="3">
        <v>78.5</v>
      </c>
      <c r="C20" s="4">
        <v>-5.2000000000000028</v>
      </c>
      <c r="H20" s="6">
        <f>$R$12+($R$11/12)*(ROW()-12)</f>
        <v>5.7666666666666657</v>
      </c>
      <c r="I20" s="7">
        <f>COUNTIFS($C$6:$C$679,"&gt;"&amp;H19,$C$6:$C$679,"&lt;="&amp;H20)</f>
        <v>101</v>
      </c>
      <c r="J20" t="str">
        <f>TEXT(H19,"0.00")&amp;" to "&amp;TEXT(H20,"0.00")</f>
        <v>2.88 to 5.77</v>
      </c>
      <c r="K20" s="5">
        <f>I20/$R$15</f>
        <v>0.14985163204747776</v>
      </c>
      <c r="L20" s="5">
        <f>SUM($K$13:K20)</f>
        <v>0.91839762611275966</v>
      </c>
    </row>
    <row r="21" spans="1:12" x14ac:dyDescent="0.45">
      <c r="A21" s="2">
        <v>21306</v>
      </c>
      <c r="B21" s="3">
        <v>80.900000000000006</v>
      </c>
      <c r="C21" s="4">
        <v>2.4000000000000057</v>
      </c>
      <c r="H21" s="6">
        <f>$R$12+($R$11/12)*(ROW()-12)</f>
        <v>8.6499999999999986</v>
      </c>
      <c r="I21" s="7">
        <f>COUNTIFS($C$6:$C$679,"&gt;"&amp;H20,$C$6:$C$679,"&lt;="&amp;H21)</f>
        <v>43</v>
      </c>
      <c r="J21" t="str">
        <f>TEXT(H20,"0.00")&amp;" to "&amp;TEXT(H21,"0.00")</f>
        <v>5.77 to 8.65</v>
      </c>
      <c r="K21" s="5">
        <f>I21/$R$15</f>
        <v>6.3798219584569729E-2</v>
      </c>
      <c r="L21" s="5">
        <f>SUM($K$13:K21)</f>
        <v>0.98219584569732943</v>
      </c>
    </row>
    <row r="22" spans="1:12" x14ac:dyDescent="0.45">
      <c r="A22" s="2">
        <v>21490</v>
      </c>
      <c r="B22" s="3">
        <v>90.8</v>
      </c>
      <c r="C22" s="4">
        <v>9.8999999999999915</v>
      </c>
      <c r="H22" s="6">
        <f>$R$12+($R$11/12)*(ROW()-12)</f>
        <v>11.533333333333331</v>
      </c>
      <c r="I22" s="7">
        <f>COUNTIFS($C$6:$C$679,"&gt;"&amp;H21,$C$6:$C$679,"&lt;="&amp;H22)</f>
        <v>9</v>
      </c>
      <c r="J22" t="str">
        <f>TEXT(H21,"0.00")&amp;" to "&amp;TEXT(H22,"0.00")</f>
        <v>8.65 to 11.53</v>
      </c>
      <c r="K22" s="5">
        <f>I22/$R$15</f>
        <v>1.3353115727002967E-2</v>
      </c>
      <c r="L22" s="5">
        <f>SUM($K$13:K22)</f>
        <v>0.99554896142433236</v>
      </c>
    </row>
    <row r="23" spans="1:12" x14ac:dyDescent="0.45">
      <c r="A23" s="2">
        <v>21671</v>
      </c>
      <c r="B23" s="3">
        <v>95.3</v>
      </c>
      <c r="C23" s="4">
        <v>4.5</v>
      </c>
      <c r="H23" s="6">
        <f>$R$12+($R$11/12)*(ROW()-12)</f>
        <v>14.416666666666664</v>
      </c>
      <c r="I23" s="7">
        <f>COUNTIFS($C$6:$C$679,"&gt;"&amp;H22,$C$6:$C$679,"&lt;="&amp;H23)</f>
        <v>1</v>
      </c>
      <c r="J23" t="str">
        <f>TEXT(H22,"0.00")&amp;" to "&amp;TEXT(H23,"0.00")</f>
        <v>11.53 to 14.42</v>
      </c>
      <c r="K23" s="5">
        <f>I23/$R$15</f>
        <v>1.483679525222552E-3</v>
      </c>
      <c r="L23" s="5">
        <f>SUM($K$13:K23)</f>
        <v>0.9970326409495549</v>
      </c>
    </row>
    <row r="24" spans="1:12" x14ac:dyDescent="0.45">
      <c r="A24" s="2">
        <v>21855</v>
      </c>
      <c r="B24" s="3">
        <v>93.8</v>
      </c>
      <c r="C24" s="4">
        <v>-1.5</v>
      </c>
      <c r="H24" s="6">
        <f>$R$12+($R$11/12)*(ROW()-12)</f>
        <v>17.299999999999997</v>
      </c>
      <c r="I24" s="7">
        <f>COUNTIFS($C$6:$C$679,"&gt;"&amp;H23,$C$6:$C$679,"&lt;="&amp;H24)</f>
        <v>2</v>
      </c>
      <c r="J24" t="str">
        <f>TEXT(H23,"0.00")&amp;" to "&amp;TEXT(H24,"0.00")</f>
        <v>14.42 to 17.30</v>
      </c>
      <c r="K24" s="5">
        <f>I24/$R$15</f>
        <v>2.967359050445104E-3</v>
      </c>
      <c r="L24" s="5">
        <f>SUM($K$13:K24)</f>
        <v>1</v>
      </c>
    </row>
    <row r="25" spans="1:12" x14ac:dyDescent="0.45">
      <c r="A25" s="2">
        <v>21947</v>
      </c>
      <c r="B25" s="3">
        <v>100</v>
      </c>
      <c r="C25" s="4">
        <v>6.2000000000000028</v>
      </c>
    </row>
    <row r="26" spans="1:12" x14ac:dyDescent="0.45">
      <c r="A26" s="2">
        <v>22037</v>
      </c>
      <c r="B26" s="3">
        <v>93.3</v>
      </c>
      <c r="C26" s="4">
        <v>-6.7000000000000028</v>
      </c>
    </row>
    <row r="27" spans="1:12" x14ac:dyDescent="0.45">
      <c r="A27" s="2">
        <v>22129</v>
      </c>
      <c r="B27" s="3">
        <v>97.2</v>
      </c>
      <c r="C27" s="4">
        <v>3.9000000000000057</v>
      </c>
    </row>
    <row r="28" spans="1:12" x14ac:dyDescent="0.45">
      <c r="A28" s="2">
        <v>22221</v>
      </c>
      <c r="B28" s="3">
        <v>90.1</v>
      </c>
      <c r="C28" s="4">
        <v>-7.1000000000000085</v>
      </c>
    </row>
    <row r="29" spans="1:12" x14ac:dyDescent="0.45">
      <c r="A29" s="2">
        <v>22313</v>
      </c>
      <c r="B29" s="3">
        <v>91.6</v>
      </c>
      <c r="C29" s="4">
        <v>1.5</v>
      </c>
    </row>
    <row r="30" spans="1:12" x14ac:dyDescent="0.45">
      <c r="A30" s="2">
        <v>22402</v>
      </c>
      <c r="B30" s="3">
        <v>92.5</v>
      </c>
      <c r="C30" s="4">
        <v>0.90000000000000568</v>
      </c>
    </row>
    <row r="31" spans="1:12" x14ac:dyDescent="0.45">
      <c r="A31" s="2">
        <v>22494</v>
      </c>
      <c r="B31" s="3">
        <v>99.2</v>
      </c>
      <c r="C31" s="4">
        <v>6.7000000000000028</v>
      </c>
    </row>
    <row r="32" spans="1:12" x14ac:dyDescent="0.45">
      <c r="A32" s="2">
        <v>22586</v>
      </c>
      <c r="B32" s="3">
        <v>93</v>
      </c>
      <c r="C32" s="4">
        <v>-6.2000000000000028</v>
      </c>
    </row>
    <row r="33" spans="1:3" x14ac:dyDescent="0.45">
      <c r="A33" s="2">
        <v>22678</v>
      </c>
      <c r="B33" s="3">
        <v>99.9</v>
      </c>
      <c r="C33" s="4">
        <v>6.9000000000000057</v>
      </c>
    </row>
    <row r="34" spans="1:3" x14ac:dyDescent="0.45">
      <c r="A34" s="2">
        <v>22767</v>
      </c>
      <c r="B34" s="3">
        <v>95.4</v>
      </c>
      <c r="C34" s="4">
        <v>-4.5</v>
      </c>
    </row>
    <row r="35" spans="1:3" x14ac:dyDescent="0.45">
      <c r="A35" s="2">
        <v>22859</v>
      </c>
      <c r="B35" s="3">
        <v>91.6</v>
      </c>
      <c r="C35" s="4">
        <v>-3.8000000000000114</v>
      </c>
    </row>
    <row r="36" spans="1:3" x14ac:dyDescent="0.45">
      <c r="A36" s="2">
        <v>22951</v>
      </c>
      <c r="B36" s="3">
        <v>95</v>
      </c>
      <c r="C36" s="4">
        <v>3.4000000000000057</v>
      </c>
    </row>
    <row r="37" spans="1:3" x14ac:dyDescent="0.45">
      <c r="A37" s="2">
        <v>23043</v>
      </c>
      <c r="B37" s="3">
        <v>98.4</v>
      </c>
      <c r="C37" s="4">
        <v>3.4000000000000057</v>
      </c>
    </row>
    <row r="38" spans="1:3" x14ac:dyDescent="0.45">
      <c r="A38" s="2">
        <v>23132</v>
      </c>
      <c r="B38" s="3">
        <v>91.7</v>
      </c>
      <c r="C38" s="4">
        <v>-6.7000000000000028</v>
      </c>
    </row>
    <row r="39" spans="1:3" x14ac:dyDescent="0.45">
      <c r="A39" s="2">
        <v>23224</v>
      </c>
      <c r="B39" s="3">
        <v>96.4</v>
      </c>
      <c r="C39" s="4">
        <v>4.7000000000000028</v>
      </c>
    </row>
    <row r="40" spans="1:3" x14ac:dyDescent="0.45">
      <c r="A40" s="2">
        <v>23316</v>
      </c>
      <c r="B40" s="3">
        <v>94.4</v>
      </c>
      <c r="C40" s="4">
        <v>-2</v>
      </c>
    </row>
    <row r="41" spans="1:3" x14ac:dyDescent="0.45">
      <c r="A41" s="2">
        <v>23408</v>
      </c>
      <c r="B41" s="3">
        <v>99.5</v>
      </c>
      <c r="C41" s="4">
        <v>5.0999999999999943</v>
      </c>
    </row>
    <row r="42" spans="1:3" x14ac:dyDescent="0.45">
      <c r="A42" s="2">
        <v>23498</v>
      </c>
      <c r="B42" s="3">
        <v>98.5</v>
      </c>
      <c r="C42" s="4">
        <v>-1</v>
      </c>
    </row>
    <row r="43" spans="1:3" x14ac:dyDescent="0.45">
      <c r="A43" s="2">
        <v>23590</v>
      </c>
      <c r="B43" s="3">
        <v>100.6</v>
      </c>
      <c r="C43" s="4">
        <v>2.0999999999999943</v>
      </c>
    </row>
    <row r="44" spans="1:3" x14ac:dyDescent="0.45">
      <c r="A44" s="2">
        <v>23682</v>
      </c>
      <c r="B44" s="3">
        <v>99.9</v>
      </c>
      <c r="C44" s="4">
        <v>-0.69999999999998863</v>
      </c>
    </row>
    <row r="45" spans="1:3" x14ac:dyDescent="0.45">
      <c r="A45" s="2">
        <v>23774</v>
      </c>
      <c r="B45" s="3">
        <v>102</v>
      </c>
      <c r="C45" s="4">
        <v>2.0999999999999943</v>
      </c>
    </row>
    <row r="46" spans="1:3" x14ac:dyDescent="0.45">
      <c r="A46" s="2">
        <v>23863</v>
      </c>
      <c r="B46" s="3">
        <v>105.4</v>
      </c>
      <c r="C46" s="4">
        <v>3.4000000000000057</v>
      </c>
    </row>
    <row r="47" spans="1:3" x14ac:dyDescent="0.45">
      <c r="A47" s="2">
        <v>23955</v>
      </c>
      <c r="B47" s="3">
        <v>103.4</v>
      </c>
      <c r="C47" s="4">
        <v>-2</v>
      </c>
    </row>
    <row r="48" spans="1:3" x14ac:dyDescent="0.45">
      <c r="A48" s="2">
        <v>24047</v>
      </c>
      <c r="B48" s="3">
        <v>102.9</v>
      </c>
      <c r="C48" s="4">
        <v>-0.5</v>
      </c>
    </row>
    <row r="49" spans="1:3" x14ac:dyDescent="0.45">
      <c r="A49" s="2">
        <v>24139</v>
      </c>
      <c r="B49" s="3">
        <v>100</v>
      </c>
      <c r="C49" s="4">
        <v>-2.9000000000000057</v>
      </c>
    </row>
    <row r="50" spans="1:3" x14ac:dyDescent="0.45">
      <c r="A50" s="2">
        <v>24228</v>
      </c>
      <c r="B50" s="3">
        <v>95.7</v>
      </c>
      <c r="C50" s="4">
        <v>-4.2999999999999972</v>
      </c>
    </row>
    <row r="51" spans="1:3" x14ac:dyDescent="0.45">
      <c r="A51" s="2">
        <v>24320</v>
      </c>
      <c r="B51" s="3">
        <v>91.2</v>
      </c>
      <c r="C51" s="4">
        <v>-4.5</v>
      </c>
    </row>
    <row r="52" spans="1:3" x14ac:dyDescent="0.45">
      <c r="A52" s="2">
        <v>24412</v>
      </c>
      <c r="B52" s="3">
        <v>88.3</v>
      </c>
      <c r="C52" s="4">
        <v>-2.9000000000000057</v>
      </c>
    </row>
    <row r="53" spans="1:3" x14ac:dyDescent="0.45">
      <c r="A53" s="2">
        <v>24504</v>
      </c>
      <c r="B53" s="3">
        <v>94.1</v>
      </c>
      <c r="C53" s="4">
        <v>5.7999999999999972</v>
      </c>
    </row>
    <row r="54" spans="1:3" x14ac:dyDescent="0.45">
      <c r="A54" s="2">
        <v>24593</v>
      </c>
      <c r="B54" s="3">
        <v>95.9</v>
      </c>
      <c r="C54" s="4">
        <v>1.8000000000000114</v>
      </c>
    </row>
    <row r="55" spans="1:3" x14ac:dyDescent="0.45">
      <c r="A55" s="2">
        <v>24685</v>
      </c>
      <c r="B55" s="3">
        <v>97</v>
      </c>
      <c r="C55" s="4">
        <v>1.0999999999999943</v>
      </c>
    </row>
    <row r="56" spans="1:3" x14ac:dyDescent="0.45">
      <c r="A56" s="2">
        <v>24777</v>
      </c>
      <c r="B56" s="3">
        <v>92.9</v>
      </c>
      <c r="C56" s="4">
        <v>-4.0999999999999943</v>
      </c>
    </row>
    <row r="57" spans="1:3" x14ac:dyDescent="0.45">
      <c r="A57" s="2">
        <v>24869</v>
      </c>
      <c r="B57" s="3">
        <v>97.2</v>
      </c>
      <c r="C57" s="4">
        <v>4.2999999999999972</v>
      </c>
    </row>
    <row r="58" spans="1:3" x14ac:dyDescent="0.45">
      <c r="A58" s="2">
        <v>24959</v>
      </c>
      <c r="B58" s="3">
        <v>92.4</v>
      </c>
      <c r="C58" s="4">
        <v>-4.7999999999999972</v>
      </c>
    </row>
    <row r="59" spans="1:3" x14ac:dyDescent="0.45">
      <c r="A59" s="2">
        <v>25051</v>
      </c>
      <c r="B59" s="3">
        <v>92.4</v>
      </c>
      <c r="C59" s="4">
        <v>0</v>
      </c>
    </row>
    <row r="60" spans="1:3" x14ac:dyDescent="0.45">
      <c r="A60" s="2">
        <v>25143</v>
      </c>
      <c r="B60" s="3">
        <v>91.7</v>
      </c>
      <c r="C60" s="4">
        <v>-0.70000000000000284</v>
      </c>
    </row>
    <row r="61" spans="1:3" x14ac:dyDescent="0.45">
      <c r="A61" s="2">
        <v>25235</v>
      </c>
      <c r="B61" s="3">
        <v>98.2</v>
      </c>
      <c r="C61" s="4">
        <v>6.5</v>
      </c>
    </row>
    <row r="62" spans="1:3" x14ac:dyDescent="0.45">
      <c r="A62" s="2">
        <v>25324</v>
      </c>
      <c r="B62" s="3">
        <v>91.5</v>
      </c>
      <c r="C62" s="4">
        <v>-6.7000000000000028</v>
      </c>
    </row>
    <row r="63" spans="1:3" x14ac:dyDescent="0.45">
      <c r="A63" s="2">
        <v>25416</v>
      </c>
      <c r="B63" s="3">
        <v>86.4</v>
      </c>
      <c r="C63" s="4">
        <v>-5.0999999999999943</v>
      </c>
    </row>
    <row r="64" spans="1:3" x14ac:dyDescent="0.45">
      <c r="A64" s="2">
        <v>25508</v>
      </c>
      <c r="B64" s="3">
        <v>79.7</v>
      </c>
      <c r="C64" s="4">
        <v>-6.7000000000000028</v>
      </c>
    </row>
    <row r="65" spans="1:3" x14ac:dyDescent="0.45">
      <c r="A65" s="2">
        <v>25600</v>
      </c>
      <c r="B65" s="3">
        <v>78.099999999999994</v>
      </c>
      <c r="C65" s="4">
        <v>-1.6000000000000085</v>
      </c>
    </row>
    <row r="66" spans="1:3" x14ac:dyDescent="0.45">
      <c r="A66" s="2">
        <v>25689</v>
      </c>
      <c r="B66" s="3">
        <v>75.400000000000006</v>
      </c>
      <c r="C66" s="4">
        <v>-2.6999999999999886</v>
      </c>
    </row>
    <row r="67" spans="1:3" x14ac:dyDescent="0.45">
      <c r="A67" s="2">
        <v>25781</v>
      </c>
      <c r="B67" s="3">
        <v>77.599999999999994</v>
      </c>
      <c r="C67" s="4">
        <v>2.1999999999999886</v>
      </c>
    </row>
    <row r="68" spans="1:3" x14ac:dyDescent="0.45">
      <c r="A68" s="2">
        <v>25873</v>
      </c>
      <c r="B68" s="3">
        <v>72.400000000000006</v>
      </c>
      <c r="C68" s="4">
        <v>-5.1999999999999886</v>
      </c>
    </row>
    <row r="69" spans="1:3" x14ac:dyDescent="0.45">
      <c r="A69" s="2">
        <v>25965</v>
      </c>
      <c r="B69" s="3">
        <v>78.099999999999994</v>
      </c>
      <c r="C69" s="4">
        <v>5.6999999999999886</v>
      </c>
    </row>
    <row r="70" spans="1:3" x14ac:dyDescent="0.45">
      <c r="A70" s="2">
        <v>26054</v>
      </c>
      <c r="B70" s="3">
        <v>80.2</v>
      </c>
      <c r="C70" s="4">
        <v>2.1000000000000085</v>
      </c>
    </row>
    <row r="71" spans="1:3" x14ac:dyDescent="0.45">
      <c r="A71" s="2">
        <v>26146</v>
      </c>
      <c r="B71" s="3">
        <v>82.1</v>
      </c>
      <c r="C71" s="4">
        <v>1.8999999999999915</v>
      </c>
    </row>
    <row r="72" spans="1:3" x14ac:dyDescent="0.45">
      <c r="A72" s="2">
        <v>26238</v>
      </c>
      <c r="B72" s="3">
        <v>82</v>
      </c>
      <c r="C72" s="4">
        <v>-9.9999999999994316E-2</v>
      </c>
    </row>
    <row r="73" spans="1:3" x14ac:dyDescent="0.45">
      <c r="A73" s="2">
        <v>26330</v>
      </c>
      <c r="B73" s="3">
        <v>92.8</v>
      </c>
      <c r="C73" s="4">
        <v>10.799999999999997</v>
      </c>
    </row>
    <row r="74" spans="1:3" x14ac:dyDescent="0.45">
      <c r="A74" s="2">
        <v>26420</v>
      </c>
      <c r="B74" s="3">
        <v>88.6</v>
      </c>
      <c r="C74" s="4">
        <v>-4.2000000000000028</v>
      </c>
    </row>
    <row r="75" spans="1:3" x14ac:dyDescent="0.45">
      <c r="A75" s="2">
        <v>26512</v>
      </c>
      <c r="B75" s="3">
        <v>95.2</v>
      </c>
      <c r="C75" s="4">
        <v>6.6000000000000085</v>
      </c>
    </row>
    <row r="76" spans="1:3" x14ac:dyDescent="0.45">
      <c r="A76" s="2">
        <v>26604</v>
      </c>
      <c r="B76" s="3">
        <v>90.7</v>
      </c>
      <c r="C76" s="4">
        <v>-4.5</v>
      </c>
    </row>
    <row r="77" spans="1:3" x14ac:dyDescent="0.45">
      <c r="A77" s="2">
        <v>26696</v>
      </c>
      <c r="B77" s="3">
        <v>81.900000000000006</v>
      </c>
      <c r="C77" s="4">
        <v>-8.7999999999999972</v>
      </c>
    </row>
    <row r="78" spans="1:3" x14ac:dyDescent="0.45">
      <c r="A78" s="2">
        <v>26785</v>
      </c>
      <c r="B78" s="3">
        <v>77</v>
      </c>
      <c r="C78" s="4">
        <v>-4.9000000000000057</v>
      </c>
    </row>
    <row r="79" spans="1:3" x14ac:dyDescent="0.45">
      <c r="A79" s="2">
        <v>26877</v>
      </c>
      <c r="B79" s="3">
        <v>72</v>
      </c>
      <c r="C79" s="4">
        <v>-5</v>
      </c>
    </row>
    <row r="80" spans="1:3" x14ac:dyDescent="0.45">
      <c r="A80" s="2">
        <v>26969</v>
      </c>
      <c r="B80" s="3">
        <v>76.5</v>
      </c>
      <c r="C80" s="4">
        <v>4.5</v>
      </c>
    </row>
    <row r="81" spans="1:3" x14ac:dyDescent="0.45">
      <c r="A81" s="2">
        <v>27061</v>
      </c>
      <c r="B81" s="3">
        <v>61.8</v>
      </c>
      <c r="C81" s="4">
        <v>-14.700000000000003</v>
      </c>
    </row>
    <row r="82" spans="1:3" x14ac:dyDescent="0.45">
      <c r="A82" s="2">
        <v>27150</v>
      </c>
      <c r="B82" s="3">
        <v>72.099999999999994</v>
      </c>
      <c r="C82" s="4">
        <v>10.299999999999997</v>
      </c>
    </row>
    <row r="83" spans="1:3" x14ac:dyDescent="0.45">
      <c r="A83" s="2">
        <v>27242</v>
      </c>
      <c r="B83" s="3">
        <v>64.400000000000006</v>
      </c>
      <c r="C83" s="4">
        <v>-7.6999999999999886</v>
      </c>
    </row>
    <row r="84" spans="1:3" x14ac:dyDescent="0.45">
      <c r="A84" s="2">
        <v>27334</v>
      </c>
      <c r="B84" s="3">
        <v>59.5</v>
      </c>
      <c r="C84" s="4">
        <v>-4.9000000000000057</v>
      </c>
    </row>
    <row r="85" spans="1:3" x14ac:dyDescent="0.45">
      <c r="A85" s="2">
        <v>27426</v>
      </c>
      <c r="B85" s="3">
        <v>57.6</v>
      </c>
      <c r="C85" s="4">
        <v>-1.8999999999999986</v>
      </c>
    </row>
    <row r="86" spans="1:3" x14ac:dyDescent="0.45">
      <c r="A86" s="2">
        <v>27515</v>
      </c>
      <c r="B86" s="3">
        <v>72.8</v>
      </c>
      <c r="C86" s="4">
        <v>15.199999999999996</v>
      </c>
    </row>
    <row r="87" spans="1:3" x14ac:dyDescent="0.45">
      <c r="A87" s="2">
        <v>27607</v>
      </c>
      <c r="B87" s="3">
        <v>75.7</v>
      </c>
      <c r="C87" s="4">
        <v>2.9000000000000057</v>
      </c>
    </row>
    <row r="88" spans="1:3" x14ac:dyDescent="0.45">
      <c r="A88" s="2">
        <v>27699</v>
      </c>
      <c r="B88" s="3">
        <v>75.599999999999994</v>
      </c>
      <c r="C88" s="4">
        <v>-0.10000000000000853</v>
      </c>
    </row>
    <row r="89" spans="1:3" x14ac:dyDescent="0.45">
      <c r="A89" s="2">
        <v>27791</v>
      </c>
      <c r="B89" s="3">
        <v>84.6</v>
      </c>
      <c r="C89" s="4">
        <v>9</v>
      </c>
    </row>
    <row r="90" spans="1:3" x14ac:dyDescent="0.45">
      <c r="A90" s="2">
        <v>27881</v>
      </c>
      <c r="B90" s="3">
        <v>83.3</v>
      </c>
      <c r="C90" s="4">
        <v>-1.2999999999999972</v>
      </c>
    </row>
    <row r="91" spans="1:3" x14ac:dyDescent="0.45">
      <c r="A91" s="2">
        <v>27973</v>
      </c>
      <c r="B91" s="3">
        <v>89.7</v>
      </c>
      <c r="C91" s="4">
        <v>6.4000000000000057</v>
      </c>
    </row>
    <row r="92" spans="1:3" x14ac:dyDescent="0.45">
      <c r="A92" s="2">
        <v>28065</v>
      </c>
      <c r="B92" s="3">
        <v>87</v>
      </c>
      <c r="C92" s="4">
        <v>-2.7000000000000028</v>
      </c>
    </row>
    <row r="93" spans="1:3" x14ac:dyDescent="0.45">
      <c r="A93" s="2">
        <v>28157</v>
      </c>
      <c r="B93" s="3">
        <v>87.1</v>
      </c>
      <c r="C93" s="4">
        <v>9.9999999999994316E-2</v>
      </c>
    </row>
    <row r="94" spans="1:3" x14ac:dyDescent="0.45">
      <c r="A94" s="2">
        <v>28246</v>
      </c>
      <c r="B94" s="3">
        <v>90.2</v>
      </c>
      <c r="C94" s="4">
        <v>3.1000000000000085</v>
      </c>
    </row>
    <row r="95" spans="1:3" x14ac:dyDescent="0.45">
      <c r="A95" s="2">
        <v>28338</v>
      </c>
      <c r="B95" s="3">
        <v>89</v>
      </c>
      <c r="C95" s="4">
        <v>-1.2000000000000028</v>
      </c>
    </row>
    <row r="96" spans="1:3" x14ac:dyDescent="0.45">
      <c r="A96" s="2">
        <v>28430</v>
      </c>
      <c r="B96" s="3">
        <v>84.4</v>
      </c>
      <c r="C96" s="4">
        <v>-4.5999999999999943</v>
      </c>
    </row>
    <row r="97" spans="1:3" x14ac:dyDescent="0.45">
      <c r="A97" s="2">
        <v>28491</v>
      </c>
      <c r="B97" s="3">
        <v>83.7</v>
      </c>
      <c r="C97" s="4">
        <v>-0.70000000000000284</v>
      </c>
    </row>
    <row r="98" spans="1:3" x14ac:dyDescent="0.45">
      <c r="A98" s="2">
        <v>28522</v>
      </c>
      <c r="B98" s="3">
        <v>84.3</v>
      </c>
      <c r="C98" s="4">
        <v>0.59999999999999432</v>
      </c>
    </row>
    <row r="99" spans="1:3" x14ac:dyDescent="0.45">
      <c r="A99" s="2">
        <v>28550</v>
      </c>
      <c r="B99" s="3">
        <v>78.8</v>
      </c>
      <c r="C99" s="4">
        <v>-5.5</v>
      </c>
    </row>
    <row r="100" spans="1:3" x14ac:dyDescent="0.45">
      <c r="A100" s="2">
        <v>28581</v>
      </c>
      <c r="B100" s="3">
        <v>81.599999999999994</v>
      </c>
      <c r="C100" s="4">
        <v>2.7999999999999972</v>
      </c>
    </row>
    <row r="101" spans="1:3" x14ac:dyDescent="0.45">
      <c r="A101" s="2">
        <v>28611</v>
      </c>
      <c r="B101" s="3">
        <v>82.9</v>
      </c>
      <c r="C101" s="4">
        <v>1.3000000000000114</v>
      </c>
    </row>
    <row r="102" spans="1:3" x14ac:dyDescent="0.45">
      <c r="A102" s="2">
        <v>28642</v>
      </c>
      <c r="B102" s="3">
        <v>80</v>
      </c>
      <c r="C102" s="4">
        <v>-2.9000000000000057</v>
      </c>
    </row>
    <row r="103" spans="1:3" x14ac:dyDescent="0.45">
      <c r="A103" s="2">
        <v>28672</v>
      </c>
      <c r="B103" s="3">
        <v>82.4</v>
      </c>
      <c r="C103" s="4">
        <v>2.4000000000000057</v>
      </c>
    </row>
    <row r="104" spans="1:3" x14ac:dyDescent="0.45">
      <c r="A104" s="2">
        <v>28703</v>
      </c>
      <c r="B104" s="3">
        <v>78.400000000000006</v>
      </c>
      <c r="C104" s="4">
        <v>-4</v>
      </c>
    </row>
    <row r="105" spans="1:3" x14ac:dyDescent="0.45">
      <c r="A105" s="2">
        <v>28734</v>
      </c>
      <c r="B105" s="3">
        <v>80.400000000000006</v>
      </c>
      <c r="C105" s="4">
        <v>2</v>
      </c>
    </row>
    <row r="106" spans="1:3" x14ac:dyDescent="0.45">
      <c r="A106" s="2">
        <v>28764</v>
      </c>
      <c r="B106" s="3">
        <v>79.3</v>
      </c>
      <c r="C106" s="4">
        <v>-1.1000000000000085</v>
      </c>
    </row>
    <row r="107" spans="1:3" x14ac:dyDescent="0.45">
      <c r="A107" s="2">
        <v>28795</v>
      </c>
      <c r="B107" s="3">
        <v>75</v>
      </c>
      <c r="C107" s="4">
        <v>-4.2999999999999972</v>
      </c>
    </row>
    <row r="108" spans="1:3" x14ac:dyDescent="0.45">
      <c r="A108" s="2">
        <v>28825</v>
      </c>
      <c r="B108" s="3">
        <v>66.099999999999994</v>
      </c>
      <c r="C108" s="4">
        <v>-8.9000000000000057</v>
      </c>
    </row>
    <row r="109" spans="1:3" x14ac:dyDescent="0.45">
      <c r="A109" s="2">
        <v>28856</v>
      </c>
      <c r="B109" s="3">
        <v>72.099999999999994</v>
      </c>
      <c r="C109" s="4">
        <v>6</v>
      </c>
    </row>
    <row r="110" spans="1:3" x14ac:dyDescent="0.45">
      <c r="A110" s="2">
        <v>28887</v>
      </c>
      <c r="B110" s="3">
        <v>73.900000000000006</v>
      </c>
      <c r="C110" s="4">
        <v>1.8000000000000114</v>
      </c>
    </row>
    <row r="111" spans="1:3" x14ac:dyDescent="0.45">
      <c r="A111" s="2">
        <v>28915</v>
      </c>
      <c r="B111" s="3">
        <v>68.400000000000006</v>
      </c>
      <c r="C111" s="4">
        <v>-5.5</v>
      </c>
    </row>
    <row r="112" spans="1:3" x14ac:dyDescent="0.45">
      <c r="A112" s="2">
        <v>28946</v>
      </c>
      <c r="B112" s="3">
        <v>66</v>
      </c>
      <c r="C112" s="4">
        <v>-2.4000000000000057</v>
      </c>
    </row>
    <row r="113" spans="1:3" x14ac:dyDescent="0.45">
      <c r="A113" s="2">
        <v>28976</v>
      </c>
      <c r="B113" s="3">
        <v>68.099999999999994</v>
      </c>
      <c r="C113" s="4">
        <v>2.0999999999999943</v>
      </c>
    </row>
    <row r="114" spans="1:3" x14ac:dyDescent="0.45">
      <c r="A114" s="2">
        <v>29007</v>
      </c>
      <c r="B114" s="3">
        <v>65.8</v>
      </c>
      <c r="C114" s="4">
        <v>-2.2999999999999972</v>
      </c>
    </row>
    <row r="115" spans="1:3" x14ac:dyDescent="0.45">
      <c r="A115" s="2">
        <v>29037</v>
      </c>
      <c r="B115" s="3">
        <v>60.4</v>
      </c>
      <c r="C115" s="4">
        <v>-5.3999999999999986</v>
      </c>
    </row>
    <row r="116" spans="1:3" x14ac:dyDescent="0.45">
      <c r="A116" s="2">
        <v>29068</v>
      </c>
      <c r="B116" s="3">
        <v>64.5</v>
      </c>
      <c r="C116" s="4">
        <v>4.1000000000000014</v>
      </c>
    </row>
    <row r="117" spans="1:3" x14ac:dyDescent="0.45">
      <c r="A117" s="2">
        <v>29099</v>
      </c>
      <c r="B117" s="3">
        <v>66.7</v>
      </c>
      <c r="C117" s="4">
        <v>2.2000000000000028</v>
      </c>
    </row>
    <row r="118" spans="1:3" x14ac:dyDescent="0.45">
      <c r="A118" s="2">
        <v>29129</v>
      </c>
      <c r="B118" s="3">
        <v>62.1</v>
      </c>
      <c r="C118" s="4">
        <v>-4.6000000000000014</v>
      </c>
    </row>
    <row r="119" spans="1:3" x14ac:dyDescent="0.45">
      <c r="A119" s="2">
        <v>29160</v>
      </c>
      <c r="B119" s="3">
        <v>63.3</v>
      </c>
      <c r="C119" s="4">
        <v>1.1999999999999957</v>
      </c>
    </row>
    <row r="120" spans="1:3" x14ac:dyDescent="0.45">
      <c r="A120" s="2">
        <v>29190</v>
      </c>
      <c r="B120" s="3">
        <v>61</v>
      </c>
      <c r="C120" s="4">
        <v>-2.2999999999999972</v>
      </c>
    </row>
    <row r="121" spans="1:3" x14ac:dyDescent="0.45">
      <c r="A121" s="2">
        <v>29221</v>
      </c>
      <c r="B121" s="3">
        <v>67</v>
      </c>
      <c r="C121" s="4">
        <v>6</v>
      </c>
    </row>
    <row r="122" spans="1:3" x14ac:dyDescent="0.45">
      <c r="A122" s="2">
        <v>29252</v>
      </c>
      <c r="B122" s="3">
        <v>66.900000000000006</v>
      </c>
      <c r="C122" s="4">
        <v>-9.9999999999994316E-2</v>
      </c>
    </row>
    <row r="123" spans="1:3" x14ac:dyDescent="0.45">
      <c r="A123" s="2">
        <v>29281</v>
      </c>
      <c r="B123" s="3">
        <v>56.5</v>
      </c>
      <c r="C123" s="4">
        <v>-10.400000000000006</v>
      </c>
    </row>
    <row r="124" spans="1:3" x14ac:dyDescent="0.45">
      <c r="A124" s="2">
        <v>29312</v>
      </c>
      <c r="B124" s="3">
        <v>52.7</v>
      </c>
      <c r="C124" s="4">
        <v>-3.7999999999999972</v>
      </c>
    </row>
    <row r="125" spans="1:3" x14ac:dyDescent="0.45">
      <c r="A125" s="2">
        <v>29342</v>
      </c>
      <c r="B125" s="3">
        <v>51.7</v>
      </c>
      <c r="C125" s="4">
        <v>-1</v>
      </c>
    </row>
    <row r="126" spans="1:3" x14ac:dyDescent="0.45">
      <c r="A126" s="2">
        <v>29373</v>
      </c>
      <c r="B126" s="3">
        <v>58.7</v>
      </c>
      <c r="C126" s="4">
        <v>7</v>
      </c>
    </row>
    <row r="127" spans="1:3" x14ac:dyDescent="0.45">
      <c r="A127" s="2">
        <v>29403</v>
      </c>
      <c r="B127" s="3">
        <v>62.3</v>
      </c>
      <c r="C127" s="4">
        <v>3.5999999999999943</v>
      </c>
    </row>
    <row r="128" spans="1:3" x14ac:dyDescent="0.45">
      <c r="A128" s="2">
        <v>29434</v>
      </c>
      <c r="B128" s="3">
        <v>67.3</v>
      </c>
      <c r="C128" s="4">
        <v>5</v>
      </c>
    </row>
    <row r="129" spans="1:3" x14ac:dyDescent="0.45">
      <c r="A129" s="2">
        <v>29465</v>
      </c>
      <c r="B129" s="3">
        <v>73.7</v>
      </c>
      <c r="C129" s="4">
        <v>6.4000000000000057</v>
      </c>
    </row>
    <row r="130" spans="1:3" x14ac:dyDescent="0.45">
      <c r="A130" s="2">
        <v>29495</v>
      </c>
      <c r="B130" s="3">
        <v>75</v>
      </c>
      <c r="C130" s="4">
        <v>1.2999999999999972</v>
      </c>
    </row>
    <row r="131" spans="1:3" x14ac:dyDescent="0.45">
      <c r="A131" s="2">
        <v>29526</v>
      </c>
      <c r="B131" s="3">
        <v>76.7</v>
      </c>
      <c r="C131" s="4">
        <v>1.7000000000000028</v>
      </c>
    </row>
    <row r="132" spans="1:3" x14ac:dyDescent="0.45">
      <c r="A132" s="2">
        <v>29556</v>
      </c>
      <c r="B132" s="3">
        <v>64.5</v>
      </c>
      <c r="C132" s="4">
        <v>-12.200000000000003</v>
      </c>
    </row>
    <row r="133" spans="1:3" x14ac:dyDescent="0.45">
      <c r="A133" s="2">
        <v>29587</v>
      </c>
      <c r="B133" s="3">
        <v>71.400000000000006</v>
      </c>
      <c r="C133" s="4">
        <v>6.9000000000000057</v>
      </c>
    </row>
    <row r="134" spans="1:3" x14ac:dyDescent="0.45">
      <c r="A134" s="2">
        <v>29618</v>
      </c>
      <c r="B134" s="3">
        <v>66.900000000000006</v>
      </c>
      <c r="C134" s="4">
        <v>-4.5</v>
      </c>
    </row>
    <row r="135" spans="1:3" x14ac:dyDescent="0.45">
      <c r="A135" s="2">
        <v>29646</v>
      </c>
      <c r="B135" s="3">
        <v>66.5</v>
      </c>
      <c r="C135" s="4">
        <v>-0.40000000000000568</v>
      </c>
    </row>
    <row r="136" spans="1:3" x14ac:dyDescent="0.45">
      <c r="A136" s="2">
        <v>29677</v>
      </c>
      <c r="B136" s="3">
        <v>72.400000000000006</v>
      </c>
      <c r="C136" s="4">
        <v>5.9000000000000057</v>
      </c>
    </row>
    <row r="137" spans="1:3" x14ac:dyDescent="0.45">
      <c r="A137" s="2">
        <v>29707</v>
      </c>
      <c r="B137" s="3">
        <v>76.3</v>
      </c>
      <c r="C137" s="4">
        <v>3.8999999999999915</v>
      </c>
    </row>
    <row r="138" spans="1:3" x14ac:dyDescent="0.45">
      <c r="A138" s="2">
        <v>29738</v>
      </c>
      <c r="B138" s="3">
        <v>73.099999999999994</v>
      </c>
      <c r="C138" s="4">
        <v>-3.2000000000000028</v>
      </c>
    </row>
    <row r="139" spans="1:3" x14ac:dyDescent="0.45">
      <c r="A139" s="2">
        <v>29768</v>
      </c>
      <c r="B139" s="3">
        <v>74.099999999999994</v>
      </c>
      <c r="C139" s="4">
        <v>1</v>
      </c>
    </row>
    <row r="140" spans="1:3" x14ac:dyDescent="0.45">
      <c r="A140" s="2">
        <v>29799</v>
      </c>
      <c r="B140" s="3">
        <v>77.2</v>
      </c>
      <c r="C140" s="4">
        <v>3.1000000000000085</v>
      </c>
    </row>
    <row r="141" spans="1:3" x14ac:dyDescent="0.45">
      <c r="A141" s="2">
        <v>29830</v>
      </c>
      <c r="B141" s="3">
        <v>73.099999999999994</v>
      </c>
      <c r="C141" s="4">
        <v>-4.1000000000000085</v>
      </c>
    </row>
    <row r="142" spans="1:3" x14ac:dyDescent="0.45">
      <c r="A142" s="2">
        <v>29860</v>
      </c>
      <c r="B142" s="3">
        <v>70.3</v>
      </c>
      <c r="C142" s="4">
        <v>-2.7999999999999972</v>
      </c>
    </row>
    <row r="143" spans="1:3" x14ac:dyDescent="0.45">
      <c r="A143" s="2">
        <v>29891</v>
      </c>
      <c r="B143" s="3">
        <v>62.5</v>
      </c>
      <c r="C143" s="4">
        <v>-7.7999999999999972</v>
      </c>
    </row>
    <row r="144" spans="1:3" x14ac:dyDescent="0.45">
      <c r="A144" s="2">
        <v>29921</v>
      </c>
      <c r="B144" s="3">
        <v>64.3</v>
      </c>
      <c r="C144" s="4">
        <v>1.7999999999999972</v>
      </c>
    </row>
    <row r="145" spans="1:3" x14ac:dyDescent="0.45">
      <c r="A145" s="2">
        <v>29952</v>
      </c>
      <c r="B145" s="3">
        <v>71</v>
      </c>
      <c r="C145" s="4">
        <v>6.7000000000000028</v>
      </c>
    </row>
    <row r="146" spans="1:3" x14ac:dyDescent="0.45">
      <c r="A146" s="2">
        <v>29983</v>
      </c>
      <c r="B146" s="3">
        <v>66.5</v>
      </c>
      <c r="C146" s="4">
        <v>-4.5</v>
      </c>
    </row>
    <row r="147" spans="1:3" x14ac:dyDescent="0.45">
      <c r="A147" s="2">
        <v>30011</v>
      </c>
      <c r="B147" s="3">
        <v>62</v>
      </c>
      <c r="C147" s="4">
        <v>-4.5</v>
      </c>
    </row>
    <row r="148" spans="1:3" x14ac:dyDescent="0.45">
      <c r="A148" s="2">
        <v>30042</v>
      </c>
      <c r="B148" s="3">
        <v>65.5</v>
      </c>
      <c r="C148" s="4">
        <v>3.5</v>
      </c>
    </row>
    <row r="149" spans="1:3" x14ac:dyDescent="0.45">
      <c r="A149" s="2">
        <v>30072</v>
      </c>
      <c r="B149" s="3">
        <v>67.5</v>
      </c>
      <c r="C149" s="4">
        <v>2</v>
      </c>
    </row>
    <row r="150" spans="1:3" x14ac:dyDescent="0.45">
      <c r="A150" s="2">
        <v>30103</v>
      </c>
      <c r="B150" s="3">
        <v>65.7</v>
      </c>
      <c r="C150" s="4">
        <v>-1.7999999999999972</v>
      </c>
    </row>
    <row r="151" spans="1:3" x14ac:dyDescent="0.45">
      <c r="A151" s="2">
        <v>30133</v>
      </c>
      <c r="B151" s="3">
        <v>65.400000000000006</v>
      </c>
      <c r="C151" s="4">
        <v>-0.29999999999999716</v>
      </c>
    </row>
    <row r="152" spans="1:3" x14ac:dyDescent="0.45">
      <c r="A152" s="2">
        <v>30164</v>
      </c>
      <c r="B152" s="3">
        <v>65.400000000000006</v>
      </c>
      <c r="C152" s="4">
        <v>0</v>
      </c>
    </row>
    <row r="153" spans="1:3" x14ac:dyDescent="0.45">
      <c r="A153" s="2">
        <v>30195</v>
      </c>
      <c r="B153" s="3">
        <v>69.3</v>
      </c>
      <c r="C153" s="4">
        <v>3.8999999999999915</v>
      </c>
    </row>
    <row r="154" spans="1:3" x14ac:dyDescent="0.45">
      <c r="A154" s="2">
        <v>30225</v>
      </c>
      <c r="B154" s="3">
        <v>73.400000000000006</v>
      </c>
      <c r="C154" s="4">
        <v>4.1000000000000085</v>
      </c>
    </row>
    <row r="155" spans="1:3" x14ac:dyDescent="0.45">
      <c r="A155" s="2">
        <v>30256</v>
      </c>
      <c r="B155" s="3">
        <v>72.099999999999994</v>
      </c>
      <c r="C155" s="4">
        <v>-1.3000000000000114</v>
      </c>
    </row>
    <row r="156" spans="1:3" x14ac:dyDescent="0.45">
      <c r="A156" s="2">
        <v>30286</v>
      </c>
      <c r="B156" s="3">
        <v>71.900000000000006</v>
      </c>
      <c r="C156" s="4">
        <v>-0.19999999999998863</v>
      </c>
    </row>
    <row r="157" spans="1:3" x14ac:dyDescent="0.45">
      <c r="A157" s="2">
        <v>30317</v>
      </c>
      <c r="B157" s="3">
        <v>70.400000000000006</v>
      </c>
      <c r="C157" s="4">
        <v>-1.5</v>
      </c>
    </row>
    <row r="158" spans="1:3" x14ac:dyDescent="0.45">
      <c r="A158" s="2">
        <v>30348</v>
      </c>
      <c r="B158" s="3">
        <v>74.599999999999994</v>
      </c>
      <c r="C158" s="4">
        <v>4.1999999999999886</v>
      </c>
    </row>
    <row r="159" spans="1:3" x14ac:dyDescent="0.45">
      <c r="A159" s="2">
        <v>30376</v>
      </c>
      <c r="B159" s="3">
        <v>80.8</v>
      </c>
      <c r="C159" s="4">
        <v>6.2000000000000028</v>
      </c>
    </row>
    <row r="160" spans="1:3" x14ac:dyDescent="0.45">
      <c r="A160" s="2">
        <v>30407</v>
      </c>
      <c r="B160" s="3">
        <v>89.1</v>
      </c>
      <c r="C160" s="4">
        <v>8.2999999999999972</v>
      </c>
    </row>
    <row r="161" spans="1:3" x14ac:dyDescent="0.45">
      <c r="A161" s="2">
        <v>30437</v>
      </c>
      <c r="B161" s="3">
        <v>93.3</v>
      </c>
      <c r="C161" s="4">
        <v>4.2000000000000028</v>
      </c>
    </row>
    <row r="162" spans="1:3" x14ac:dyDescent="0.45">
      <c r="A162" s="2">
        <v>30468</v>
      </c>
      <c r="B162" s="3">
        <v>92.2</v>
      </c>
      <c r="C162" s="4">
        <v>-1.0999999999999943</v>
      </c>
    </row>
    <row r="163" spans="1:3" x14ac:dyDescent="0.45">
      <c r="A163" s="2">
        <v>30498</v>
      </c>
      <c r="B163" s="3">
        <v>92.8</v>
      </c>
      <c r="C163" s="4">
        <v>0.59999999999999432</v>
      </c>
    </row>
    <row r="164" spans="1:3" x14ac:dyDescent="0.45">
      <c r="A164" s="2">
        <v>30529</v>
      </c>
      <c r="B164" s="3">
        <v>90.9</v>
      </c>
      <c r="C164" s="4">
        <v>-1.8999999999999915</v>
      </c>
    </row>
    <row r="165" spans="1:3" x14ac:dyDescent="0.45">
      <c r="A165" s="2">
        <v>30560</v>
      </c>
      <c r="B165" s="3">
        <v>89.9</v>
      </c>
      <c r="C165" s="4">
        <v>-1</v>
      </c>
    </row>
    <row r="166" spans="1:3" x14ac:dyDescent="0.45">
      <c r="A166" s="2">
        <v>30590</v>
      </c>
      <c r="B166" s="3">
        <v>89.3</v>
      </c>
      <c r="C166" s="4">
        <v>-0.60000000000000853</v>
      </c>
    </row>
    <row r="167" spans="1:3" x14ac:dyDescent="0.45">
      <c r="A167" s="2">
        <v>30621</v>
      </c>
      <c r="B167" s="3">
        <v>91.1</v>
      </c>
      <c r="C167" s="4">
        <v>1.7999999999999972</v>
      </c>
    </row>
    <row r="168" spans="1:3" x14ac:dyDescent="0.45">
      <c r="A168" s="2">
        <v>30651</v>
      </c>
      <c r="B168" s="3">
        <v>94.2</v>
      </c>
      <c r="C168" s="4">
        <v>3.1000000000000085</v>
      </c>
    </row>
    <row r="169" spans="1:3" x14ac:dyDescent="0.45">
      <c r="A169" s="2">
        <v>30682</v>
      </c>
      <c r="B169" s="3">
        <v>100.1</v>
      </c>
      <c r="C169" s="4">
        <v>5.8999999999999915</v>
      </c>
    </row>
    <row r="170" spans="1:3" x14ac:dyDescent="0.45">
      <c r="A170" s="2">
        <v>30713</v>
      </c>
      <c r="B170" s="3">
        <v>97.4</v>
      </c>
      <c r="C170" s="4">
        <v>-2.6999999999999886</v>
      </c>
    </row>
    <row r="171" spans="1:3" x14ac:dyDescent="0.45">
      <c r="A171" s="2">
        <v>30742</v>
      </c>
      <c r="B171" s="3">
        <v>101</v>
      </c>
      <c r="C171" s="4">
        <v>3.5999999999999943</v>
      </c>
    </row>
    <row r="172" spans="1:3" x14ac:dyDescent="0.45">
      <c r="A172" s="2">
        <v>30773</v>
      </c>
      <c r="B172" s="3">
        <v>96.1</v>
      </c>
      <c r="C172" s="4">
        <v>-4.9000000000000057</v>
      </c>
    </row>
    <row r="173" spans="1:3" x14ac:dyDescent="0.45">
      <c r="A173" s="2">
        <v>30803</v>
      </c>
      <c r="B173" s="3">
        <v>98.1</v>
      </c>
      <c r="C173" s="4">
        <v>2</v>
      </c>
    </row>
    <row r="174" spans="1:3" x14ac:dyDescent="0.45">
      <c r="A174" s="2">
        <v>30834</v>
      </c>
      <c r="B174" s="3">
        <v>95.5</v>
      </c>
      <c r="C174" s="4">
        <v>-2.5999999999999943</v>
      </c>
    </row>
    <row r="175" spans="1:3" x14ac:dyDescent="0.45">
      <c r="A175" s="2">
        <v>30864</v>
      </c>
      <c r="B175" s="3">
        <v>96.6</v>
      </c>
      <c r="C175" s="4">
        <v>1.0999999999999943</v>
      </c>
    </row>
    <row r="176" spans="1:3" x14ac:dyDescent="0.45">
      <c r="A176" s="2">
        <v>30895</v>
      </c>
      <c r="B176" s="3">
        <v>99.1</v>
      </c>
      <c r="C176" s="4">
        <v>2.5</v>
      </c>
    </row>
    <row r="177" spans="1:3" x14ac:dyDescent="0.45">
      <c r="A177" s="2">
        <v>30926</v>
      </c>
      <c r="B177" s="3">
        <v>100.9</v>
      </c>
      <c r="C177" s="4">
        <v>1.8000000000000114</v>
      </c>
    </row>
    <row r="178" spans="1:3" x14ac:dyDescent="0.45">
      <c r="A178" s="2">
        <v>30956</v>
      </c>
      <c r="B178" s="3">
        <v>96.3</v>
      </c>
      <c r="C178" s="4">
        <v>-4.6000000000000085</v>
      </c>
    </row>
    <row r="179" spans="1:3" x14ac:dyDescent="0.45">
      <c r="A179" s="2">
        <v>30987</v>
      </c>
      <c r="B179" s="3">
        <v>95.7</v>
      </c>
      <c r="C179" s="4">
        <v>-0.59999999999999432</v>
      </c>
    </row>
    <row r="180" spans="1:3" x14ac:dyDescent="0.45">
      <c r="A180" s="2">
        <v>31017</v>
      </c>
      <c r="B180" s="3">
        <v>92.9</v>
      </c>
      <c r="C180" s="4">
        <v>-2.7999999999999972</v>
      </c>
    </row>
    <row r="181" spans="1:3" x14ac:dyDescent="0.45">
      <c r="A181" s="2">
        <v>31048</v>
      </c>
      <c r="B181" s="3">
        <v>96</v>
      </c>
      <c r="C181" s="4">
        <v>3.0999999999999943</v>
      </c>
    </row>
    <row r="182" spans="1:3" x14ac:dyDescent="0.45">
      <c r="A182" s="2">
        <v>31079</v>
      </c>
      <c r="B182" s="3">
        <v>93.7</v>
      </c>
      <c r="C182" s="4">
        <v>-2.2999999999999972</v>
      </c>
    </row>
    <row r="183" spans="1:3" x14ac:dyDescent="0.45">
      <c r="A183" s="2">
        <v>31107</v>
      </c>
      <c r="B183" s="3">
        <v>93.7</v>
      </c>
      <c r="C183" s="4">
        <v>0</v>
      </c>
    </row>
    <row r="184" spans="1:3" x14ac:dyDescent="0.45">
      <c r="A184" s="2">
        <v>31138</v>
      </c>
      <c r="B184" s="3">
        <v>94.6</v>
      </c>
      <c r="C184" s="4">
        <v>0.89999999999999147</v>
      </c>
    </row>
    <row r="185" spans="1:3" x14ac:dyDescent="0.45">
      <c r="A185" s="2">
        <v>31168</v>
      </c>
      <c r="B185" s="3">
        <v>91.8</v>
      </c>
      <c r="C185" s="4">
        <v>-2.7999999999999972</v>
      </c>
    </row>
    <row r="186" spans="1:3" x14ac:dyDescent="0.45">
      <c r="A186" s="2">
        <v>31199</v>
      </c>
      <c r="B186" s="3">
        <v>96.5</v>
      </c>
      <c r="C186" s="4">
        <v>4.7000000000000028</v>
      </c>
    </row>
    <row r="187" spans="1:3" x14ac:dyDescent="0.45">
      <c r="A187" s="2">
        <v>31229</v>
      </c>
      <c r="B187" s="3">
        <v>94</v>
      </c>
      <c r="C187" s="4">
        <v>-2.5</v>
      </c>
    </row>
    <row r="188" spans="1:3" x14ac:dyDescent="0.45">
      <c r="A188" s="2">
        <v>31260</v>
      </c>
      <c r="B188" s="3">
        <v>92.4</v>
      </c>
      <c r="C188" s="4">
        <v>-1.5999999999999943</v>
      </c>
    </row>
    <row r="189" spans="1:3" x14ac:dyDescent="0.45">
      <c r="A189" s="2">
        <v>31291</v>
      </c>
      <c r="B189" s="3">
        <v>92.1</v>
      </c>
      <c r="C189" s="4">
        <v>-0.30000000000001137</v>
      </c>
    </row>
    <row r="190" spans="1:3" x14ac:dyDescent="0.45">
      <c r="A190" s="2">
        <v>31321</v>
      </c>
      <c r="B190" s="3">
        <v>88.4</v>
      </c>
      <c r="C190" s="4">
        <v>-3.6999999999999886</v>
      </c>
    </row>
    <row r="191" spans="1:3" x14ac:dyDescent="0.45">
      <c r="A191" s="2">
        <v>31352</v>
      </c>
      <c r="B191" s="3">
        <v>90.9</v>
      </c>
      <c r="C191" s="4">
        <v>2.5</v>
      </c>
    </row>
    <row r="192" spans="1:3" x14ac:dyDescent="0.45">
      <c r="A192" s="2">
        <v>31382</v>
      </c>
      <c r="B192" s="3">
        <v>93.9</v>
      </c>
      <c r="C192" s="4">
        <v>3</v>
      </c>
    </row>
    <row r="193" spans="1:3" x14ac:dyDescent="0.45">
      <c r="A193" s="2">
        <v>31413</v>
      </c>
      <c r="B193" s="3">
        <v>95.6</v>
      </c>
      <c r="C193" s="4">
        <v>1.6999999999999886</v>
      </c>
    </row>
    <row r="194" spans="1:3" x14ac:dyDescent="0.45">
      <c r="A194" s="2">
        <v>31444</v>
      </c>
      <c r="B194" s="3">
        <v>95.9</v>
      </c>
      <c r="C194" s="4">
        <v>0.30000000000001137</v>
      </c>
    </row>
    <row r="195" spans="1:3" x14ac:dyDescent="0.45">
      <c r="A195" s="2">
        <v>31472</v>
      </c>
      <c r="B195" s="3">
        <v>95.1</v>
      </c>
      <c r="C195" s="4">
        <v>-0.80000000000001137</v>
      </c>
    </row>
    <row r="196" spans="1:3" x14ac:dyDescent="0.45">
      <c r="A196" s="2">
        <v>31503</v>
      </c>
      <c r="B196" s="3">
        <v>96.2</v>
      </c>
      <c r="C196" s="4">
        <v>1.1000000000000085</v>
      </c>
    </row>
    <row r="197" spans="1:3" x14ac:dyDescent="0.45">
      <c r="A197" s="2">
        <v>31533</v>
      </c>
      <c r="B197" s="3">
        <v>94.8</v>
      </c>
      <c r="C197" s="4">
        <v>-1.4000000000000057</v>
      </c>
    </row>
    <row r="198" spans="1:3" x14ac:dyDescent="0.45">
      <c r="A198" s="2">
        <v>31564</v>
      </c>
      <c r="B198" s="3">
        <v>99.3</v>
      </c>
      <c r="C198" s="4">
        <v>4.5</v>
      </c>
    </row>
    <row r="199" spans="1:3" x14ac:dyDescent="0.45">
      <c r="A199" s="2">
        <v>31594</v>
      </c>
      <c r="B199" s="3">
        <v>97.7</v>
      </c>
      <c r="C199" s="4">
        <v>-1.5999999999999943</v>
      </c>
    </row>
    <row r="200" spans="1:3" x14ac:dyDescent="0.45">
      <c r="A200" s="2">
        <v>31625</v>
      </c>
      <c r="B200" s="3">
        <v>94.9</v>
      </c>
      <c r="C200" s="4">
        <v>-2.7999999999999972</v>
      </c>
    </row>
    <row r="201" spans="1:3" x14ac:dyDescent="0.45">
      <c r="A201" s="2">
        <v>31656</v>
      </c>
      <c r="B201" s="3">
        <v>91.9</v>
      </c>
      <c r="C201" s="4">
        <v>-3</v>
      </c>
    </row>
    <row r="202" spans="1:3" x14ac:dyDescent="0.45">
      <c r="A202" s="2">
        <v>31686</v>
      </c>
      <c r="B202" s="3">
        <v>95.6</v>
      </c>
      <c r="C202" s="4">
        <v>3.6999999999999886</v>
      </c>
    </row>
    <row r="203" spans="1:3" x14ac:dyDescent="0.45">
      <c r="A203" s="2">
        <v>31717</v>
      </c>
      <c r="B203" s="3">
        <v>91.4</v>
      </c>
      <c r="C203" s="4">
        <v>-4.1999999999999886</v>
      </c>
    </row>
    <row r="204" spans="1:3" x14ac:dyDescent="0.45">
      <c r="A204" s="2">
        <v>31747</v>
      </c>
      <c r="B204" s="3">
        <v>89.1</v>
      </c>
      <c r="C204" s="4">
        <v>-2.3000000000000114</v>
      </c>
    </row>
    <row r="205" spans="1:3" x14ac:dyDescent="0.45">
      <c r="A205" s="2">
        <v>31778</v>
      </c>
      <c r="B205" s="3">
        <v>90.4</v>
      </c>
      <c r="C205" s="4">
        <v>1.3000000000000114</v>
      </c>
    </row>
    <row r="206" spans="1:3" x14ac:dyDescent="0.45">
      <c r="A206" s="2">
        <v>31809</v>
      </c>
      <c r="B206" s="3">
        <v>90.2</v>
      </c>
      <c r="C206" s="4">
        <v>-0.20000000000000284</v>
      </c>
    </row>
    <row r="207" spans="1:3" x14ac:dyDescent="0.45">
      <c r="A207" s="2">
        <v>31837</v>
      </c>
      <c r="B207" s="3">
        <v>90.8</v>
      </c>
      <c r="C207" s="4">
        <v>0.59999999999999432</v>
      </c>
    </row>
    <row r="208" spans="1:3" x14ac:dyDescent="0.45">
      <c r="A208" s="2">
        <v>31868</v>
      </c>
      <c r="B208" s="3">
        <v>92.8</v>
      </c>
      <c r="C208" s="4">
        <v>2</v>
      </c>
    </row>
    <row r="209" spans="1:3" x14ac:dyDescent="0.45">
      <c r="A209" s="2">
        <v>31898</v>
      </c>
      <c r="B209" s="3">
        <v>91.1</v>
      </c>
      <c r="C209" s="4">
        <v>-1.7000000000000028</v>
      </c>
    </row>
    <row r="210" spans="1:3" x14ac:dyDescent="0.45">
      <c r="A210" s="2">
        <v>31929</v>
      </c>
      <c r="B210" s="3">
        <v>91.5</v>
      </c>
      <c r="C210" s="4">
        <v>0.40000000000000568</v>
      </c>
    </row>
    <row r="211" spans="1:3" x14ac:dyDescent="0.45">
      <c r="A211" s="2">
        <v>31959</v>
      </c>
      <c r="B211" s="3">
        <v>93.7</v>
      </c>
      <c r="C211" s="4">
        <v>2.2000000000000028</v>
      </c>
    </row>
    <row r="212" spans="1:3" x14ac:dyDescent="0.45">
      <c r="A212" s="2">
        <v>31990</v>
      </c>
      <c r="B212" s="3">
        <v>94.4</v>
      </c>
      <c r="C212" s="4">
        <v>0.70000000000000284</v>
      </c>
    </row>
    <row r="213" spans="1:3" x14ac:dyDescent="0.45">
      <c r="A213" s="2">
        <v>32021</v>
      </c>
      <c r="B213" s="3">
        <v>93.6</v>
      </c>
      <c r="C213" s="4">
        <v>-0.80000000000001137</v>
      </c>
    </row>
    <row r="214" spans="1:3" x14ac:dyDescent="0.45">
      <c r="A214" s="2">
        <v>32051</v>
      </c>
      <c r="B214" s="3">
        <v>89.3</v>
      </c>
      <c r="C214" s="4">
        <v>-4.2999999999999972</v>
      </c>
    </row>
    <row r="215" spans="1:3" x14ac:dyDescent="0.45">
      <c r="A215" s="2">
        <v>32082</v>
      </c>
      <c r="B215" s="3">
        <v>83.1</v>
      </c>
      <c r="C215" s="4">
        <v>-6.2000000000000028</v>
      </c>
    </row>
    <row r="216" spans="1:3" x14ac:dyDescent="0.45">
      <c r="A216" s="2">
        <v>32112</v>
      </c>
      <c r="B216" s="3">
        <v>86.8</v>
      </c>
      <c r="C216" s="4">
        <v>3.7000000000000028</v>
      </c>
    </row>
    <row r="217" spans="1:3" x14ac:dyDescent="0.45">
      <c r="A217" s="2">
        <v>32143</v>
      </c>
      <c r="B217" s="3">
        <v>90.8</v>
      </c>
      <c r="C217" s="4">
        <v>4</v>
      </c>
    </row>
    <row r="218" spans="1:3" x14ac:dyDescent="0.45">
      <c r="A218" s="2">
        <v>32174</v>
      </c>
      <c r="B218" s="3">
        <v>91.6</v>
      </c>
      <c r="C218" s="4">
        <v>0.79999999999999716</v>
      </c>
    </row>
    <row r="219" spans="1:3" x14ac:dyDescent="0.45">
      <c r="A219" s="2">
        <v>32203</v>
      </c>
      <c r="B219" s="3">
        <v>94.6</v>
      </c>
      <c r="C219" s="4">
        <v>3</v>
      </c>
    </row>
    <row r="220" spans="1:3" x14ac:dyDescent="0.45">
      <c r="A220" s="2">
        <v>32234</v>
      </c>
      <c r="B220" s="3">
        <v>91.2</v>
      </c>
      <c r="C220" s="4">
        <v>-3.3999999999999915</v>
      </c>
    </row>
    <row r="221" spans="1:3" x14ac:dyDescent="0.45">
      <c r="A221" s="2">
        <v>32264</v>
      </c>
      <c r="B221" s="3">
        <v>94.8</v>
      </c>
      <c r="C221" s="4">
        <v>3.5999999999999943</v>
      </c>
    </row>
    <row r="222" spans="1:3" x14ac:dyDescent="0.45">
      <c r="A222" s="2">
        <v>32295</v>
      </c>
      <c r="B222" s="3">
        <v>94.7</v>
      </c>
      <c r="C222" s="4">
        <v>-9.9999999999994316E-2</v>
      </c>
    </row>
    <row r="223" spans="1:3" x14ac:dyDescent="0.45">
      <c r="A223" s="2">
        <v>32325</v>
      </c>
      <c r="B223" s="3">
        <v>93.4</v>
      </c>
      <c r="C223" s="4">
        <v>-1.2999999999999972</v>
      </c>
    </row>
    <row r="224" spans="1:3" x14ac:dyDescent="0.45">
      <c r="A224" s="2">
        <v>32356</v>
      </c>
      <c r="B224" s="3">
        <v>97.4</v>
      </c>
      <c r="C224" s="4">
        <v>4</v>
      </c>
    </row>
    <row r="225" spans="1:3" x14ac:dyDescent="0.45">
      <c r="A225" s="2">
        <v>32387</v>
      </c>
      <c r="B225" s="3">
        <v>97.3</v>
      </c>
      <c r="C225" s="4">
        <v>-0.10000000000000853</v>
      </c>
    </row>
    <row r="226" spans="1:3" x14ac:dyDescent="0.45">
      <c r="A226" s="2">
        <v>32417</v>
      </c>
      <c r="B226" s="3">
        <v>94.1</v>
      </c>
      <c r="C226" s="4">
        <v>-3.2000000000000028</v>
      </c>
    </row>
    <row r="227" spans="1:3" x14ac:dyDescent="0.45">
      <c r="A227" s="2">
        <v>32448</v>
      </c>
      <c r="B227" s="3">
        <v>93</v>
      </c>
      <c r="C227" s="4">
        <v>-1.0999999999999943</v>
      </c>
    </row>
    <row r="228" spans="1:3" x14ac:dyDescent="0.45">
      <c r="A228" s="2">
        <v>32478</v>
      </c>
      <c r="B228" s="3">
        <v>91.9</v>
      </c>
      <c r="C228" s="4">
        <v>-1.0999999999999943</v>
      </c>
    </row>
    <row r="229" spans="1:3" x14ac:dyDescent="0.45">
      <c r="A229" s="2">
        <v>32509</v>
      </c>
      <c r="B229" s="3">
        <v>97.9</v>
      </c>
      <c r="C229" s="4">
        <v>6</v>
      </c>
    </row>
    <row r="230" spans="1:3" x14ac:dyDescent="0.45">
      <c r="A230" s="2">
        <v>32540</v>
      </c>
      <c r="B230" s="3">
        <v>95.4</v>
      </c>
      <c r="C230" s="4">
        <v>-2.5</v>
      </c>
    </row>
    <row r="231" spans="1:3" x14ac:dyDescent="0.45">
      <c r="A231" s="2">
        <v>32568</v>
      </c>
      <c r="B231" s="3">
        <v>94.3</v>
      </c>
      <c r="C231" s="4">
        <v>-1.1000000000000085</v>
      </c>
    </row>
    <row r="232" spans="1:3" x14ac:dyDescent="0.45">
      <c r="A232" s="2">
        <v>32599</v>
      </c>
      <c r="B232" s="3">
        <v>91.5</v>
      </c>
      <c r="C232" s="4">
        <v>-2.7999999999999972</v>
      </c>
    </row>
    <row r="233" spans="1:3" x14ac:dyDescent="0.45">
      <c r="A233" s="2">
        <v>32629</v>
      </c>
      <c r="B233" s="3">
        <v>90.7</v>
      </c>
      <c r="C233" s="4">
        <v>-0.79999999999999716</v>
      </c>
    </row>
    <row r="234" spans="1:3" x14ac:dyDescent="0.45">
      <c r="A234" s="2">
        <v>32660</v>
      </c>
      <c r="B234" s="3">
        <v>90.6</v>
      </c>
      <c r="C234" s="4">
        <v>-0.10000000000000853</v>
      </c>
    </row>
    <row r="235" spans="1:3" x14ac:dyDescent="0.45">
      <c r="A235" s="2">
        <v>32690</v>
      </c>
      <c r="B235" s="3">
        <v>92</v>
      </c>
      <c r="C235" s="4">
        <v>1.4000000000000057</v>
      </c>
    </row>
    <row r="236" spans="1:3" x14ac:dyDescent="0.45">
      <c r="A236" s="2">
        <v>32721</v>
      </c>
      <c r="B236" s="3">
        <v>89.6</v>
      </c>
      <c r="C236" s="4">
        <v>-2.4000000000000057</v>
      </c>
    </row>
    <row r="237" spans="1:3" x14ac:dyDescent="0.45">
      <c r="A237" s="2">
        <v>32752</v>
      </c>
      <c r="B237" s="3">
        <v>95.8</v>
      </c>
      <c r="C237" s="4">
        <v>6.2000000000000028</v>
      </c>
    </row>
    <row r="238" spans="1:3" x14ac:dyDescent="0.45">
      <c r="A238" s="2">
        <v>32782</v>
      </c>
      <c r="B238" s="3">
        <v>93.9</v>
      </c>
      <c r="C238" s="4">
        <v>-1.8999999999999915</v>
      </c>
    </row>
    <row r="239" spans="1:3" x14ac:dyDescent="0.45">
      <c r="A239" s="2">
        <v>32813</v>
      </c>
      <c r="B239" s="3">
        <v>90.9</v>
      </c>
      <c r="C239" s="4">
        <v>-3</v>
      </c>
    </row>
    <row r="240" spans="1:3" x14ac:dyDescent="0.45">
      <c r="A240" s="2">
        <v>32843</v>
      </c>
      <c r="B240" s="3">
        <v>90.5</v>
      </c>
      <c r="C240" s="4">
        <v>-0.40000000000000568</v>
      </c>
    </row>
    <row r="241" spans="1:3" x14ac:dyDescent="0.45">
      <c r="A241" s="2">
        <v>32874</v>
      </c>
      <c r="B241" s="3">
        <v>93</v>
      </c>
      <c r="C241" s="4">
        <v>2.5</v>
      </c>
    </row>
    <row r="242" spans="1:3" x14ac:dyDescent="0.45">
      <c r="A242" s="2">
        <v>32905</v>
      </c>
      <c r="B242" s="3">
        <v>89.5</v>
      </c>
      <c r="C242" s="4">
        <v>-3.5</v>
      </c>
    </row>
    <row r="243" spans="1:3" x14ac:dyDescent="0.45">
      <c r="A243" s="2">
        <v>32933</v>
      </c>
      <c r="B243" s="3">
        <v>91.3</v>
      </c>
      <c r="C243" s="4">
        <v>1.7999999999999972</v>
      </c>
    </row>
    <row r="244" spans="1:3" x14ac:dyDescent="0.45">
      <c r="A244" s="2">
        <v>32964</v>
      </c>
      <c r="B244" s="3">
        <v>93.9</v>
      </c>
      <c r="C244" s="4">
        <v>2.6000000000000085</v>
      </c>
    </row>
    <row r="245" spans="1:3" x14ac:dyDescent="0.45">
      <c r="A245" s="2">
        <v>32994</v>
      </c>
      <c r="B245" s="3">
        <v>90.6</v>
      </c>
      <c r="C245" s="4">
        <v>-3.3000000000000114</v>
      </c>
    </row>
    <row r="246" spans="1:3" x14ac:dyDescent="0.45">
      <c r="A246" s="2">
        <v>33025</v>
      </c>
      <c r="B246" s="3">
        <v>88.3</v>
      </c>
      <c r="C246" s="4">
        <v>-2.2999999999999972</v>
      </c>
    </row>
    <row r="247" spans="1:3" x14ac:dyDescent="0.45">
      <c r="A247" s="2">
        <v>33055</v>
      </c>
      <c r="B247" s="3">
        <v>88.2</v>
      </c>
      <c r="C247" s="4">
        <v>-9.9999999999994316E-2</v>
      </c>
    </row>
    <row r="248" spans="1:3" x14ac:dyDescent="0.45">
      <c r="A248" s="2">
        <v>33086</v>
      </c>
      <c r="B248" s="3">
        <v>76.400000000000006</v>
      </c>
      <c r="C248" s="4">
        <v>-11.799999999999997</v>
      </c>
    </row>
    <row r="249" spans="1:3" x14ac:dyDescent="0.45">
      <c r="A249" s="2">
        <v>33117</v>
      </c>
      <c r="B249" s="3">
        <v>72.8</v>
      </c>
      <c r="C249" s="4">
        <v>-3.6000000000000085</v>
      </c>
    </row>
    <row r="250" spans="1:3" x14ac:dyDescent="0.45">
      <c r="A250" s="2">
        <v>33147</v>
      </c>
      <c r="B250" s="3">
        <v>63.9</v>
      </c>
      <c r="C250" s="4">
        <v>-8.8999999999999986</v>
      </c>
    </row>
    <row r="251" spans="1:3" x14ac:dyDescent="0.45">
      <c r="A251" s="2">
        <v>33178</v>
      </c>
      <c r="B251" s="3">
        <v>66</v>
      </c>
      <c r="C251" s="4">
        <v>2.1000000000000014</v>
      </c>
    </row>
    <row r="252" spans="1:3" x14ac:dyDescent="0.45">
      <c r="A252" s="2">
        <v>33208</v>
      </c>
      <c r="B252" s="3">
        <v>65.5</v>
      </c>
      <c r="C252" s="4">
        <v>-0.5</v>
      </c>
    </row>
    <row r="253" spans="1:3" x14ac:dyDescent="0.45">
      <c r="A253" s="2">
        <v>33239</v>
      </c>
      <c r="B253" s="3">
        <v>66.8</v>
      </c>
      <c r="C253" s="4">
        <v>1.2999999999999972</v>
      </c>
    </row>
    <row r="254" spans="1:3" x14ac:dyDescent="0.45">
      <c r="A254" s="2">
        <v>33270</v>
      </c>
      <c r="B254" s="3">
        <v>70.400000000000006</v>
      </c>
      <c r="C254" s="4">
        <v>3.6000000000000085</v>
      </c>
    </row>
    <row r="255" spans="1:3" x14ac:dyDescent="0.45">
      <c r="A255" s="2">
        <v>33298</v>
      </c>
      <c r="B255" s="3">
        <v>87.7</v>
      </c>
      <c r="C255" s="4">
        <v>17.299999999999997</v>
      </c>
    </row>
    <row r="256" spans="1:3" x14ac:dyDescent="0.45">
      <c r="A256" s="2">
        <v>33329</v>
      </c>
      <c r="B256" s="3">
        <v>81.8</v>
      </c>
      <c r="C256" s="4">
        <v>-5.9000000000000057</v>
      </c>
    </row>
    <row r="257" spans="1:3" x14ac:dyDescent="0.45">
      <c r="A257" s="2">
        <v>33359</v>
      </c>
      <c r="B257" s="3">
        <v>78.3</v>
      </c>
      <c r="C257" s="4">
        <v>-3.5</v>
      </c>
    </row>
    <row r="258" spans="1:3" x14ac:dyDescent="0.45">
      <c r="A258" s="2">
        <v>33390</v>
      </c>
      <c r="B258" s="3">
        <v>82.1</v>
      </c>
      <c r="C258" s="4">
        <v>3.7999999999999972</v>
      </c>
    </row>
    <row r="259" spans="1:3" x14ac:dyDescent="0.45">
      <c r="A259" s="2">
        <v>33420</v>
      </c>
      <c r="B259" s="3">
        <v>82.9</v>
      </c>
      <c r="C259" s="4">
        <v>0.80000000000001137</v>
      </c>
    </row>
    <row r="260" spans="1:3" x14ac:dyDescent="0.45">
      <c r="A260" s="2">
        <v>33451</v>
      </c>
      <c r="B260" s="3">
        <v>82</v>
      </c>
      <c r="C260" s="4">
        <v>-0.90000000000000568</v>
      </c>
    </row>
    <row r="261" spans="1:3" x14ac:dyDescent="0.45">
      <c r="A261" s="2">
        <v>33482</v>
      </c>
      <c r="B261" s="3">
        <v>83</v>
      </c>
      <c r="C261" s="4">
        <v>1</v>
      </c>
    </row>
    <row r="262" spans="1:3" x14ac:dyDescent="0.45">
      <c r="A262" s="2">
        <v>33512</v>
      </c>
      <c r="B262" s="3">
        <v>78.3</v>
      </c>
      <c r="C262" s="4">
        <v>-4.7000000000000028</v>
      </c>
    </row>
    <row r="263" spans="1:3" x14ac:dyDescent="0.45">
      <c r="A263" s="2">
        <v>33543</v>
      </c>
      <c r="B263" s="3">
        <v>69.099999999999994</v>
      </c>
      <c r="C263" s="4">
        <v>-9.2000000000000028</v>
      </c>
    </row>
    <row r="264" spans="1:3" x14ac:dyDescent="0.45">
      <c r="A264" s="2">
        <v>33573</v>
      </c>
      <c r="B264" s="3">
        <v>68.2</v>
      </c>
      <c r="C264" s="4">
        <v>-0.89999999999999147</v>
      </c>
    </row>
    <row r="265" spans="1:3" x14ac:dyDescent="0.45">
      <c r="A265" s="2">
        <v>33604</v>
      </c>
      <c r="B265" s="3">
        <v>67.5</v>
      </c>
      <c r="C265" s="4">
        <v>-0.70000000000000284</v>
      </c>
    </row>
    <row r="266" spans="1:3" x14ac:dyDescent="0.45">
      <c r="A266" s="2">
        <v>33635</v>
      </c>
      <c r="B266" s="3">
        <v>68.8</v>
      </c>
      <c r="C266" s="4">
        <v>1.2999999999999972</v>
      </c>
    </row>
    <row r="267" spans="1:3" x14ac:dyDescent="0.45">
      <c r="A267" s="2">
        <v>33664</v>
      </c>
      <c r="B267" s="3">
        <v>76</v>
      </c>
      <c r="C267" s="4">
        <v>7.2000000000000028</v>
      </c>
    </row>
    <row r="268" spans="1:3" x14ac:dyDescent="0.45">
      <c r="A268" s="2">
        <v>33695</v>
      </c>
      <c r="B268" s="3">
        <v>77.2</v>
      </c>
      <c r="C268" s="4">
        <v>1.2000000000000028</v>
      </c>
    </row>
    <row r="269" spans="1:3" x14ac:dyDescent="0.45">
      <c r="A269" s="2">
        <v>33725</v>
      </c>
      <c r="B269" s="3">
        <v>79.2</v>
      </c>
      <c r="C269" s="4">
        <v>2</v>
      </c>
    </row>
    <row r="270" spans="1:3" x14ac:dyDescent="0.45">
      <c r="A270" s="2">
        <v>33756</v>
      </c>
      <c r="B270" s="3">
        <v>80.400000000000006</v>
      </c>
      <c r="C270" s="4">
        <v>1.2000000000000028</v>
      </c>
    </row>
    <row r="271" spans="1:3" x14ac:dyDescent="0.45">
      <c r="A271" s="2">
        <v>33786</v>
      </c>
      <c r="B271" s="3">
        <v>76.599999999999994</v>
      </c>
      <c r="C271" s="4">
        <v>-3.8000000000000114</v>
      </c>
    </row>
    <row r="272" spans="1:3" x14ac:dyDescent="0.45">
      <c r="A272" s="2">
        <v>33817</v>
      </c>
      <c r="B272" s="3">
        <v>76.099999999999994</v>
      </c>
      <c r="C272" s="4">
        <v>-0.5</v>
      </c>
    </row>
    <row r="273" spans="1:3" x14ac:dyDescent="0.45">
      <c r="A273" s="2">
        <v>33848</v>
      </c>
      <c r="B273" s="3">
        <v>75.599999999999994</v>
      </c>
      <c r="C273" s="4">
        <v>-0.5</v>
      </c>
    </row>
    <row r="274" spans="1:3" x14ac:dyDescent="0.45">
      <c r="A274" s="2">
        <v>33878</v>
      </c>
      <c r="B274" s="3">
        <v>73.3</v>
      </c>
      <c r="C274" s="4">
        <v>-2.2999999999999972</v>
      </c>
    </row>
    <row r="275" spans="1:3" x14ac:dyDescent="0.45">
      <c r="A275" s="2">
        <v>33909</v>
      </c>
      <c r="B275" s="3">
        <v>85.3</v>
      </c>
      <c r="C275" s="4">
        <v>12</v>
      </c>
    </row>
    <row r="276" spans="1:3" x14ac:dyDescent="0.45">
      <c r="A276" s="2">
        <v>33939</v>
      </c>
      <c r="B276" s="3">
        <v>91</v>
      </c>
      <c r="C276" s="4">
        <v>5.7000000000000028</v>
      </c>
    </row>
    <row r="277" spans="1:3" x14ac:dyDescent="0.45">
      <c r="A277" s="2">
        <v>33970</v>
      </c>
      <c r="B277" s="3">
        <v>89.3</v>
      </c>
      <c r="C277" s="4">
        <v>-1.7000000000000028</v>
      </c>
    </row>
    <row r="278" spans="1:3" x14ac:dyDescent="0.45">
      <c r="A278" s="2">
        <v>34001</v>
      </c>
      <c r="B278" s="3">
        <v>86.6</v>
      </c>
      <c r="C278" s="4">
        <v>-2.7000000000000028</v>
      </c>
    </row>
    <row r="279" spans="1:3" x14ac:dyDescent="0.45">
      <c r="A279" s="2">
        <v>34029</v>
      </c>
      <c r="B279" s="3">
        <v>85.9</v>
      </c>
      <c r="C279" s="4">
        <v>-0.69999999999998863</v>
      </c>
    </row>
    <row r="280" spans="1:3" x14ac:dyDescent="0.45">
      <c r="A280" s="2">
        <v>34060</v>
      </c>
      <c r="B280" s="3">
        <v>85.6</v>
      </c>
      <c r="C280" s="4">
        <v>-0.30000000000001137</v>
      </c>
    </row>
    <row r="281" spans="1:3" x14ac:dyDescent="0.45">
      <c r="A281" s="2">
        <v>34090</v>
      </c>
      <c r="B281" s="3">
        <v>80.3</v>
      </c>
      <c r="C281" s="4">
        <v>-5.2999999999999972</v>
      </c>
    </row>
    <row r="282" spans="1:3" x14ac:dyDescent="0.45">
      <c r="A282" s="2">
        <v>34121</v>
      </c>
      <c r="B282" s="3">
        <v>81.5</v>
      </c>
      <c r="C282" s="4">
        <v>1.2000000000000028</v>
      </c>
    </row>
    <row r="283" spans="1:3" x14ac:dyDescent="0.45">
      <c r="A283" s="2">
        <v>34151</v>
      </c>
      <c r="B283" s="3">
        <v>77</v>
      </c>
      <c r="C283" s="4">
        <v>-4.5</v>
      </c>
    </row>
    <row r="284" spans="1:3" x14ac:dyDescent="0.45">
      <c r="A284" s="2">
        <v>34182</v>
      </c>
      <c r="B284" s="3">
        <v>77.3</v>
      </c>
      <c r="C284" s="4">
        <v>0.29999999999999716</v>
      </c>
    </row>
    <row r="285" spans="1:3" x14ac:dyDescent="0.45">
      <c r="A285" s="2">
        <v>34213</v>
      </c>
      <c r="B285" s="3">
        <v>77.900000000000006</v>
      </c>
      <c r="C285" s="4">
        <v>0.60000000000000853</v>
      </c>
    </row>
    <row r="286" spans="1:3" x14ac:dyDescent="0.45">
      <c r="A286" s="2">
        <v>34243</v>
      </c>
      <c r="B286" s="3">
        <v>82.7</v>
      </c>
      <c r="C286" s="4">
        <v>4.7999999999999972</v>
      </c>
    </row>
    <row r="287" spans="1:3" x14ac:dyDescent="0.45">
      <c r="A287" s="2">
        <v>34274</v>
      </c>
      <c r="B287" s="3">
        <v>81.2</v>
      </c>
      <c r="C287" s="4">
        <v>-1.5</v>
      </c>
    </row>
    <row r="288" spans="1:3" x14ac:dyDescent="0.45">
      <c r="A288" s="2">
        <v>34304</v>
      </c>
      <c r="B288" s="3">
        <v>88.2</v>
      </c>
      <c r="C288" s="4">
        <v>7</v>
      </c>
    </row>
    <row r="289" spans="1:3" x14ac:dyDescent="0.45">
      <c r="A289" s="2">
        <v>34335</v>
      </c>
      <c r="B289" s="3">
        <v>94.3</v>
      </c>
      <c r="C289" s="4">
        <v>6.0999999999999943</v>
      </c>
    </row>
    <row r="290" spans="1:3" x14ac:dyDescent="0.45">
      <c r="A290" s="2">
        <v>34366</v>
      </c>
      <c r="B290" s="3">
        <v>93.2</v>
      </c>
      <c r="C290" s="4">
        <v>-1.0999999999999943</v>
      </c>
    </row>
    <row r="291" spans="1:3" x14ac:dyDescent="0.45">
      <c r="A291" s="2">
        <v>34394</v>
      </c>
      <c r="B291" s="3">
        <v>91.5</v>
      </c>
      <c r="C291" s="4">
        <v>-1.7000000000000028</v>
      </c>
    </row>
    <row r="292" spans="1:3" x14ac:dyDescent="0.45">
      <c r="A292" s="2">
        <v>34425</v>
      </c>
      <c r="B292" s="3">
        <v>92.6</v>
      </c>
      <c r="C292" s="4">
        <v>1.0999999999999943</v>
      </c>
    </row>
    <row r="293" spans="1:3" x14ac:dyDescent="0.45">
      <c r="A293" s="2">
        <v>34455</v>
      </c>
      <c r="B293" s="3">
        <v>92.8</v>
      </c>
      <c r="C293" s="4">
        <v>0.20000000000000284</v>
      </c>
    </row>
    <row r="294" spans="1:3" x14ac:dyDescent="0.45">
      <c r="A294" s="2">
        <v>34486</v>
      </c>
      <c r="B294" s="3">
        <v>91.2</v>
      </c>
      <c r="C294" s="4">
        <v>-1.5999999999999943</v>
      </c>
    </row>
    <row r="295" spans="1:3" x14ac:dyDescent="0.45">
      <c r="A295" s="2">
        <v>34516</v>
      </c>
      <c r="B295" s="3">
        <v>89</v>
      </c>
      <c r="C295" s="4">
        <v>-2.2000000000000028</v>
      </c>
    </row>
    <row r="296" spans="1:3" x14ac:dyDescent="0.45">
      <c r="A296" s="2">
        <v>34547</v>
      </c>
      <c r="B296" s="3">
        <v>91.7</v>
      </c>
      <c r="C296" s="4">
        <v>2.7000000000000028</v>
      </c>
    </row>
    <row r="297" spans="1:3" x14ac:dyDescent="0.45">
      <c r="A297" s="2">
        <v>34578</v>
      </c>
      <c r="B297" s="3">
        <v>91.5</v>
      </c>
      <c r="C297" s="4">
        <v>-0.20000000000000284</v>
      </c>
    </row>
    <row r="298" spans="1:3" x14ac:dyDescent="0.45">
      <c r="A298" s="2">
        <v>34608</v>
      </c>
      <c r="B298" s="3">
        <v>92.7</v>
      </c>
      <c r="C298" s="4">
        <v>1.2000000000000028</v>
      </c>
    </row>
    <row r="299" spans="1:3" x14ac:dyDescent="0.45">
      <c r="A299" s="2">
        <v>34639</v>
      </c>
      <c r="B299" s="3">
        <v>91.6</v>
      </c>
      <c r="C299" s="4">
        <v>-1.1000000000000085</v>
      </c>
    </row>
    <row r="300" spans="1:3" x14ac:dyDescent="0.45">
      <c r="A300" s="2">
        <v>34669</v>
      </c>
      <c r="B300" s="3">
        <v>95.1</v>
      </c>
      <c r="C300" s="4">
        <v>3.5</v>
      </c>
    </row>
    <row r="301" spans="1:3" x14ac:dyDescent="0.45">
      <c r="A301" s="2">
        <v>34700</v>
      </c>
      <c r="B301" s="3">
        <v>97.6</v>
      </c>
      <c r="C301" s="4">
        <v>2.5</v>
      </c>
    </row>
    <row r="302" spans="1:3" x14ac:dyDescent="0.45">
      <c r="A302" s="2">
        <v>34731</v>
      </c>
      <c r="B302" s="3">
        <v>95.1</v>
      </c>
      <c r="C302" s="4">
        <v>-2.5</v>
      </c>
    </row>
    <row r="303" spans="1:3" x14ac:dyDescent="0.45">
      <c r="A303" s="2">
        <v>34759</v>
      </c>
      <c r="B303" s="3">
        <v>90.3</v>
      </c>
      <c r="C303" s="4">
        <v>-4.7999999999999972</v>
      </c>
    </row>
    <row r="304" spans="1:3" x14ac:dyDescent="0.45">
      <c r="A304" s="2">
        <v>34790</v>
      </c>
      <c r="B304" s="3">
        <v>92.5</v>
      </c>
      <c r="C304" s="4">
        <v>2.2000000000000028</v>
      </c>
    </row>
    <row r="305" spans="1:3" x14ac:dyDescent="0.45">
      <c r="A305" s="2">
        <v>34820</v>
      </c>
      <c r="B305" s="3">
        <v>89.8</v>
      </c>
      <c r="C305" s="4">
        <v>-2.7000000000000028</v>
      </c>
    </row>
    <row r="306" spans="1:3" x14ac:dyDescent="0.45">
      <c r="A306" s="2">
        <v>34851</v>
      </c>
      <c r="B306" s="3">
        <v>92.7</v>
      </c>
      <c r="C306" s="4">
        <v>2.9000000000000057</v>
      </c>
    </row>
    <row r="307" spans="1:3" x14ac:dyDescent="0.45">
      <c r="A307" s="2">
        <v>34881</v>
      </c>
      <c r="B307" s="3">
        <v>94.4</v>
      </c>
      <c r="C307" s="4">
        <v>1.7000000000000028</v>
      </c>
    </row>
    <row r="308" spans="1:3" x14ac:dyDescent="0.45">
      <c r="A308" s="2">
        <v>34912</v>
      </c>
      <c r="B308" s="3">
        <v>96.2</v>
      </c>
      <c r="C308" s="4">
        <v>1.7999999999999972</v>
      </c>
    </row>
    <row r="309" spans="1:3" x14ac:dyDescent="0.45">
      <c r="A309" s="2">
        <v>34943</v>
      </c>
      <c r="B309" s="3">
        <v>88.9</v>
      </c>
      <c r="C309" s="4">
        <v>-7.2999999999999972</v>
      </c>
    </row>
    <row r="310" spans="1:3" x14ac:dyDescent="0.45">
      <c r="A310" s="2">
        <v>34973</v>
      </c>
      <c r="B310" s="3">
        <v>90.2</v>
      </c>
      <c r="C310" s="4">
        <v>1.2999999999999972</v>
      </c>
    </row>
    <row r="311" spans="1:3" x14ac:dyDescent="0.45">
      <c r="A311" s="2">
        <v>35004</v>
      </c>
      <c r="B311" s="3">
        <v>88.2</v>
      </c>
      <c r="C311" s="4">
        <v>-2</v>
      </c>
    </row>
    <row r="312" spans="1:3" x14ac:dyDescent="0.45">
      <c r="A312" s="2">
        <v>35034</v>
      </c>
      <c r="B312" s="3">
        <v>91</v>
      </c>
      <c r="C312" s="4">
        <v>2.7999999999999972</v>
      </c>
    </row>
    <row r="313" spans="1:3" x14ac:dyDescent="0.45">
      <c r="A313" s="2">
        <v>35065</v>
      </c>
      <c r="B313" s="3">
        <v>89.3</v>
      </c>
      <c r="C313" s="4">
        <v>-1.7000000000000028</v>
      </c>
    </row>
    <row r="314" spans="1:3" x14ac:dyDescent="0.45">
      <c r="A314" s="2">
        <v>35096</v>
      </c>
      <c r="B314" s="3">
        <v>88.5</v>
      </c>
      <c r="C314" s="4">
        <v>-0.79999999999999716</v>
      </c>
    </row>
    <row r="315" spans="1:3" x14ac:dyDescent="0.45">
      <c r="A315" s="2">
        <v>35125</v>
      </c>
      <c r="B315" s="3">
        <v>93.7</v>
      </c>
      <c r="C315" s="4">
        <v>5.2000000000000028</v>
      </c>
    </row>
    <row r="316" spans="1:3" x14ac:dyDescent="0.45">
      <c r="A316" s="2">
        <v>35156</v>
      </c>
      <c r="B316" s="3">
        <v>92.7</v>
      </c>
      <c r="C316" s="4">
        <v>-1</v>
      </c>
    </row>
    <row r="317" spans="1:3" x14ac:dyDescent="0.45">
      <c r="A317" s="2">
        <v>35186</v>
      </c>
      <c r="B317" s="3">
        <v>89.4</v>
      </c>
      <c r="C317" s="4">
        <v>-3.2999999999999972</v>
      </c>
    </row>
    <row r="318" spans="1:3" x14ac:dyDescent="0.45">
      <c r="A318" s="2">
        <v>35217</v>
      </c>
      <c r="B318" s="3">
        <v>92.4</v>
      </c>
      <c r="C318" s="4">
        <v>3</v>
      </c>
    </row>
    <row r="319" spans="1:3" x14ac:dyDescent="0.45">
      <c r="A319" s="2">
        <v>35247</v>
      </c>
      <c r="B319" s="3">
        <v>94.7</v>
      </c>
      <c r="C319" s="4">
        <v>2.2999999999999972</v>
      </c>
    </row>
    <row r="320" spans="1:3" x14ac:dyDescent="0.45">
      <c r="A320" s="2">
        <v>35278</v>
      </c>
      <c r="B320" s="3">
        <v>95.3</v>
      </c>
      <c r="C320" s="4">
        <v>0.59999999999999432</v>
      </c>
    </row>
    <row r="321" spans="1:3" x14ac:dyDescent="0.45">
      <c r="A321" s="2">
        <v>35309</v>
      </c>
      <c r="B321" s="3">
        <v>94.7</v>
      </c>
      <c r="C321" s="4">
        <v>-0.59999999999999432</v>
      </c>
    </row>
    <row r="322" spans="1:3" x14ac:dyDescent="0.45">
      <c r="A322" s="2">
        <v>35339</v>
      </c>
      <c r="B322" s="3">
        <v>96.5</v>
      </c>
      <c r="C322" s="4">
        <v>1.7999999999999972</v>
      </c>
    </row>
    <row r="323" spans="1:3" x14ac:dyDescent="0.45">
      <c r="A323" s="2">
        <v>35370</v>
      </c>
      <c r="B323" s="3">
        <v>99.2</v>
      </c>
      <c r="C323" s="4">
        <v>2.7000000000000028</v>
      </c>
    </row>
    <row r="324" spans="1:3" x14ac:dyDescent="0.45">
      <c r="A324" s="2">
        <v>35400</v>
      </c>
      <c r="B324" s="3">
        <v>96.9</v>
      </c>
      <c r="C324" s="4">
        <v>-2.2999999999999972</v>
      </c>
    </row>
    <row r="325" spans="1:3" x14ac:dyDescent="0.45">
      <c r="A325" s="2">
        <v>35431</v>
      </c>
      <c r="B325" s="3">
        <v>97.4</v>
      </c>
      <c r="C325" s="4">
        <v>0.5</v>
      </c>
    </row>
    <row r="326" spans="1:3" x14ac:dyDescent="0.45">
      <c r="A326" s="2">
        <v>35462</v>
      </c>
      <c r="B326" s="3">
        <v>99.7</v>
      </c>
      <c r="C326" s="4">
        <v>2.2999999999999972</v>
      </c>
    </row>
    <row r="327" spans="1:3" x14ac:dyDescent="0.45">
      <c r="A327" s="2">
        <v>35490</v>
      </c>
      <c r="B327" s="3">
        <v>100</v>
      </c>
      <c r="C327" s="4">
        <v>0.29999999999999716</v>
      </c>
    </row>
    <row r="328" spans="1:3" x14ac:dyDescent="0.45">
      <c r="A328" s="2">
        <v>35521</v>
      </c>
      <c r="B328" s="3">
        <v>101.4</v>
      </c>
      <c r="C328" s="4">
        <v>1.4000000000000057</v>
      </c>
    </row>
    <row r="329" spans="1:3" x14ac:dyDescent="0.45">
      <c r="A329" s="2">
        <v>35551</v>
      </c>
      <c r="B329" s="3">
        <v>103.2</v>
      </c>
      <c r="C329" s="4">
        <v>1.7999999999999972</v>
      </c>
    </row>
    <row r="330" spans="1:3" x14ac:dyDescent="0.45">
      <c r="A330" s="2">
        <v>35582</v>
      </c>
      <c r="B330" s="3">
        <v>104.5</v>
      </c>
      <c r="C330" s="4">
        <v>1.2999999999999972</v>
      </c>
    </row>
    <row r="331" spans="1:3" x14ac:dyDescent="0.45">
      <c r="A331" s="2">
        <v>35612</v>
      </c>
      <c r="B331" s="3">
        <v>107.1</v>
      </c>
      <c r="C331" s="4">
        <v>2.5999999999999943</v>
      </c>
    </row>
    <row r="332" spans="1:3" x14ac:dyDescent="0.45">
      <c r="A332" s="2">
        <v>35643</v>
      </c>
      <c r="B332" s="3">
        <v>104.4</v>
      </c>
      <c r="C332" s="4">
        <v>-2.6999999999999886</v>
      </c>
    </row>
    <row r="333" spans="1:3" x14ac:dyDescent="0.45">
      <c r="A333" s="2">
        <v>35674</v>
      </c>
      <c r="B333" s="3">
        <v>106</v>
      </c>
      <c r="C333" s="4">
        <v>1.5999999999999943</v>
      </c>
    </row>
    <row r="334" spans="1:3" x14ac:dyDescent="0.45">
      <c r="A334" s="2">
        <v>35704</v>
      </c>
      <c r="B334" s="3">
        <v>105.6</v>
      </c>
      <c r="C334" s="4">
        <v>-0.40000000000000568</v>
      </c>
    </row>
    <row r="335" spans="1:3" x14ac:dyDescent="0.45">
      <c r="A335" s="2">
        <v>35735</v>
      </c>
      <c r="B335" s="3">
        <v>107.2</v>
      </c>
      <c r="C335" s="4">
        <v>1.6000000000000085</v>
      </c>
    </row>
    <row r="336" spans="1:3" x14ac:dyDescent="0.45">
      <c r="A336" s="2">
        <v>35765</v>
      </c>
      <c r="B336" s="3">
        <v>102.1</v>
      </c>
      <c r="C336" s="4">
        <v>-5.1000000000000085</v>
      </c>
    </row>
    <row r="337" spans="1:3" x14ac:dyDescent="0.45">
      <c r="A337" s="2">
        <v>35796</v>
      </c>
      <c r="B337" s="3">
        <v>106.6</v>
      </c>
      <c r="C337" s="4">
        <v>4.5</v>
      </c>
    </row>
    <row r="338" spans="1:3" x14ac:dyDescent="0.45">
      <c r="A338" s="2">
        <v>35827</v>
      </c>
      <c r="B338" s="3">
        <v>110.4</v>
      </c>
      <c r="C338" s="4">
        <v>3.8000000000000114</v>
      </c>
    </row>
    <row r="339" spans="1:3" x14ac:dyDescent="0.45">
      <c r="A339" s="2">
        <v>35855</v>
      </c>
      <c r="B339" s="3">
        <v>106.5</v>
      </c>
      <c r="C339" s="4">
        <v>-3.9000000000000057</v>
      </c>
    </row>
    <row r="340" spans="1:3" x14ac:dyDescent="0.45">
      <c r="A340" s="2">
        <v>35886</v>
      </c>
      <c r="B340" s="3">
        <v>108.7</v>
      </c>
      <c r="C340" s="4">
        <v>2.2000000000000028</v>
      </c>
    </row>
    <row r="341" spans="1:3" x14ac:dyDescent="0.45">
      <c r="A341" s="2">
        <v>35916</v>
      </c>
      <c r="B341" s="3">
        <v>106.5</v>
      </c>
      <c r="C341" s="4">
        <v>-2.2000000000000028</v>
      </c>
    </row>
    <row r="342" spans="1:3" x14ac:dyDescent="0.45">
      <c r="A342" s="2">
        <v>35947</v>
      </c>
      <c r="B342" s="3">
        <v>105.6</v>
      </c>
      <c r="C342" s="4">
        <v>-0.90000000000000568</v>
      </c>
    </row>
    <row r="343" spans="1:3" x14ac:dyDescent="0.45">
      <c r="A343" s="2">
        <v>35977</v>
      </c>
      <c r="B343" s="3">
        <v>105.2</v>
      </c>
      <c r="C343" s="4">
        <v>-0.39999999999999147</v>
      </c>
    </row>
    <row r="344" spans="1:3" x14ac:dyDescent="0.45">
      <c r="A344" s="2">
        <v>36008</v>
      </c>
      <c r="B344" s="3">
        <v>104.4</v>
      </c>
      <c r="C344" s="4">
        <v>-0.79999999999999716</v>
      </c>
    </row>
    <row r="345" spans="1:3" x14ac:dyDescent="0.45">
      <c r="A345" s="2">
        <v>36039</v>
      </c>
      <c r="B345" s="3">
        <v>100.9</v>
      </c>
      <c r="C345" s="4">
        <v>-3.5</v>
      </c>
    </row>
    <row r="346" spans="1:3" x14ac:dyDescent="0.45">
      <c r="A346" s="2">
        <v>36069</v>
      </c>
      <c r="B346" s="3">
        <v>97.4</v>
      </c>
      <c r="C346" s="4">
        <v>-3.5</v>
      </c>
    </row>
    <row r="347" spans="1:3" x14ac:dyDescent="0.45">
      <c r="A347" s="2">
        <v>36100</v>
      </c>
      <c r="B347" s="3">
        <v>102.7</v>
      </c>
      <c r="C347" s="4">
        <v>5.2999999999999972</v>
      </c>
    </row>
    <row r="348" spans="1:3" x14ac:dyDescent="0.45">
      <c r="A348" s="2">
        <v>36130</v>
      </c>
      <c r="B348" s="3">
        <v>100.5</v>
      </c>
      <c r="C348" s="4">
        <v>-2.2000000000000028</v>
      </c>
    </row>
    <row r="349" spans="1:3" x14ac:dyDescent="0.45">
      <c r="A349" s="2">
        <v>36161</v>
      </c>
      <c r="B349" s="3">
        <v>103.9</v>
      </c>
      <c r="C349" s="4">
        <v>3.4000000000000057</v>
      </c>
    </row>
    <row r="350" spans="1:3" x14ac:dyDescent="0.45">
      <c r="A350" s="2">
        <v>36192</v>
      </c>
      <c r="B350" s="3">
        <v>108.1</v>
      </c>
      <c r="C350" s="4">
        <v>4.1999999999999886</v>
      </c>
    </row>
    <row r="351" spans="1:3" x14ac:dyDescent="0.45">
      <c r="A351" s="2">
        <v>36220</v>
      </c>
      <c r="B351" s="3">
        <v>105.7</v>
      </c>
      <c r="C351" s="4">
        <v>-2.3999999999999915</v>
      </c>
    </row>
    <row r="352" spans="1:3" x14ac:dyDescent="0.45">
      <c r="A352" s="2">
        <v>36251</v>
      </c>
      <c r="B352" s="3">
        <v>104.6</v>
      </c>
      <c r="C352" s="4">
        <v>-1.1000000000000085</v>
      </c>
    </row>
    <row r="353" spans="1:3" x14ac:dyDescent="0.45">
      <c r="A353" s="2">
        <v>36281</v>
      </c>
      <c r="B353" s="3">
        <v>106.8</v>
      </c>
      <c r="C353" s="4">
        <v>2.2000000000000028</v>
      </c>
    </row>
    <row r="354" spans="1:3" x14ac:dyDescent="0.45">
      <c r="A354" s="2">
        <v>36312</v>
      </c>
      <c r="B354" s="3">
        <v>107.3</v>
      </c>
      <c r="C354" s="4">
        <v>0.5</v>
      </c>
    </row>
    <row r="355" spans="1:3" x14ac:dyDescent="0.45">
      <c r="A355" s="2">
        <v>36342</v>
      </c>
      <c r="B355" s="3">
        <v>106</v>
      </c>
      <c r="C355" s="4">
        <v>-1.2999999999999972</v>
      </c>
    </row>
    <row r="356" spans="1:3" x14ac:dyDescent="0.45">
      <c r="A356" s="2">
        <v>36373</v>
      </c>
      <c r="B356" s="3">
        <v>104.5</v>
      </c>
      <c r="C356" s="4">
        <v>-1.5</v>
      </c>
    </row>
    <row r="357" spans="1:3" x14ac:dyDescent="0.45">
      <c r="A357" s="2">
        <v>36404</v>
      </c>
      <c r="B357" s="3">
        <v>107.2</v>
      </c>
      <c r="C357" s="4">
        <v>2.7000000000000028</v>
      </c>
    </row>
    <row r="358" spans="1:3" x14ac:dyDescent="0.45">
      <c r="A358" s="2">
        <v>36434</v>
      </c>
      <c r="B358" s="3">
        <v>103.2</v>
      </c>
      <c r="C358" s="4">
        <v>-4</v>
      </c>
    </row>
    <row r="359" spans="1:3" x14ac:dyDescent="0.45">
      <c r="A359" s="2">
        <v>36465</v>
      </c>
      <c r="B359" s="3">
        <v>107.2</v>
      </c>
      <c r="C359" s="4">
        <v>4</v>
      </c>
    </row>
    <row r="360" spans="1:3" x14ac:dyDescent="0.45">
      <c r="A360" s="2">
        <v>36495</v>
      </c>
      <c r="B360" s="3">
        <v>105.4</v>
      </c>
      <c r="C360" s="4">
        <v>-1.7999999999999972</v>
      </c>
    </row>
    <row r="361" spans="1:3" x14ac:dyDescent="0.45">
      <c r="A361" s="2">
        <v>36526</v>
      </c>
      <c r="B361" s="3">
        <v>112</v>
      </c>
      <c r="C361" s="4">
        <v>6.5999999999999943</v>
      </c>
    </row>
    <row r="362" spans="1:3" x14ac:dyDescent="0.45">
      <c r="A362" s="2">
        <v>36557</v>
      </c>
      <c r="B362" s="3">
        <v>111.3</v>
      </c>
      <c r="C362" s="4">
        <v>-0.70000000000000284</v>
      </c>
    </row>
    <row r="363" spans="1:3" x14ac:dyDescent="0.45">
      <c r="A363" s="2">
        <v>36586</v>
      </c>
      <c r="B363" s="3">
        <v>107.1</v>
      </c>
      <c r="C363" s="4">
        <v>-4.2000000000000028</v>
      </c>
    </row>
    <row r="364" spans="1:3" x14ac:dyDescent="0.45">
      <c r="A364" s="2">
        <v>36617</v>
      </c>
      <c r="B364" s="3">
        <v>109.2</v>
      </c>
      <c r="C364" s="4">
        <v>2.1000000000000085</v>
      </c>
    </row>
    <row r="365" spans="1:3" x14ac:dyDescent="0.45">
      <c r="A365" s="2">
        <v>36647</v>
      </c>
      <c r="B365" s="3">
        <v>110.7</v>
      </c>
      <c r="C365" s="4">
        <v>1.5</v>
      </c>
    </row>
    <row r="366" spans="1:3" x14ac:dyDescent="0.45">
      <c r="A366" s="2">
        <v>36678</v>
      </c>
      <c r="B366" s="3">
        <v>106.4</v>
      </c>
      <c r="C366" s="4">
        <v>-4.2999999999999972</v>
      </c>
    </row>
    <row r="367" spans="1:3" x14ac:dyDescent="0.45">
      <c r="A367" s="2">
        <v>36708</v>
      </c>
      <c r="B367" s="3">
        <v>108.3</v>
      </c>
      <c r="C367" s="4">
        <v>1.8999999999999915</v>
      </c>
    </row>
    <row r="368" spans="1:3" x14ac:dyDescent="0.45">
      <c r="A368" s="2">
        <v>36739</v>
      </c>
      <c r="B368" s="3">
        <v>107.3</v>
      </c>
      <c r="C368" s="4">
        <v>-1</v>
      </c>
    </row>
    <row r="369" spans="1:3" x14ac:dyDescent="0.45">
      <c r="A369" s="2">
        <v>36770</v>
      </c>
      <c r="B369" s="3">
        <v>106.8</v>
      </c>
      <c r="C369" s="4">
        <v>-0.5</v>
      </c>
    </row>
    <row r="370" spans="1:3" x14ac:dyDescent="0.45">
      <c r="A370" s="2">
        <v>36800</v>
      </c>
      <c r="B370" s="3">
        <v>105.8</v>
      </c>
      <c r="C370" s="4">
        <v>-1</v>
      </c>
    </row>
    <row r="371" spans="1:3" x14ac:dyDescent="0.45">
      <c r="A371" s="2">
        <v>36831</v>
      </c>
      <c r="B371" s="3">
        <v>107.6</v>
      </c>
      <c r="C371" s="4">
        <v>1.7999999999999972</v>
      </c>
    </row>
    <row r="372" spans="1:3" x14ac:dyDescent="0.45">
      <c r="A372" s="2">
        <v>36861</v>
      </c>
      <c r="B372" s="3">
        <v>98.4</v>
      </c>
      <c r="C372" s="4">
        <v>-9.1999999999999886</v>
      </c>
    </row>
    <row r="373" spans="1:3" x14ac:dyDescent="0.45">
      <c r="A373" s="2">
        <v>36892</v>
      </c>
      <c r="B373" s="3">
        <v>94.7</v>
      </c>
      <c r="C373" s="4">
        <v>-3.7000000000000028</v>
      </c>
    </row>
    <row r="374" spans="1:3" x14ac:dyDescent="0.45">
      <c r="A374" s="2">
        <v>36923</v>
      </c>
      <c r="B374" s="3">
        <v>90.6</v>
      </c>
      <c r="C374" s="4">
        <v>-4.1000000000000085</v>
      </c>
    </row>
    <row r="375" spans="1:3" x14ac:dyDescent="0.45">
      <c r="A375" s="2">
        <v>36951</v>
      </c>
      <c r="B375" s="3">
        <v>91.5</v>
      </c>
      <c r="C375" s="4">
        <v>0.90000000000000568</v>
      </c>
    </row>
    <row r="376" spans="1:3" x14ac:dyDescent="0.45">
      <c r="A376" s="2">
        <v>36982</v>
      </c>
      <c r="B376" s="3">
        <v>88.4</v>
      </c>
      <c r="C376" s="4">
        <v>-3.0999999999999943</v>
      </c>
    </row>
    <row r="377" spans="1:3" x14ac:dyDescent="0.45">
      <c r="A377" s="2">
        <v>37012</v>
      </c>
      <c r="B377" s="3">
        <v>92</v>
      </c>
      <c r="C377" s="4">
        <v>3.5999999999999943</v>
      </c>
    </row>
    <row r="378" spans="1:3" x14ac:dyDescent="0.45">
      <c r="A378" s="2">
        <v>37043</v>
      </c>
      <c r="B378" s="3">
        <v>92.6</v>
      </c>
      <c r="C378" s="4">
        <v>0.59999999999999432</v>
      </c>
    </row>
    <row r="379" spans="1:3" x14ac:dyDescent="0.45">
      <c r="A379" s="2">
        <v>37073</v>
      </c>
      <c r="B379" s="3">
        <v>92.4</v>
      </c>
      <c r="C379" s="4">
        <v>-0.19999999999998863</v>
      </c>
    </row>
    <row r="380" spans="1:3" x14ac:dyDescent="0.45">
      <c r="A380" s="2">
        <v>37104</v>
      </c>
      <c r="B380" s="3">
        <v>91.5</v>
      </c>
      <c r="C380" s="4">
        <v>-0.90000000000000568</v>
      </c>
    </row>
    <row r="381" spans="1:3" x14ac:dyDescent="0.45">
      <c r="A381" s="2">
        <v>37135</v>
      </c>
      <c r="B381" s="3">
        <v>81.8</v>
      </c>
      <c r="C381" s="4">
        <v>-9.7000000000000028</v>
      </c>
    </row>
    <row r="382" spans="1:3" x14ac:dyDescent="0.45">
      <c r="A382" s="2">
        <v>37165</v>
      </c>
      <c r="B382" s="3">
        <v>82.7</v>
      </c>
      <c r="C382" s="4">
        <v>0.90000000000000568</v>
      </c>
    </row>
    <row r="383" spans="1:3" x14ac:dyDescent="0.45">
      <c r="A383" s="2">
        <v>37196</v>
      </c>
      <c r="B383" s="3">
        <v>83.9</v>
      </c>
      <c r="C383" s="4">
        <v>1.2000000000000028</v>
      </c>
    </row>
    <row r="384" spans="1:3" x14ac:dyDescent="0.45">
      <c r="A384" s="2">
        <v>37226</v>
      </c>
      <c r="B384" s="3">
        <v>88.8</v>
      </c>
      <c r="C384" s="4">
        <v>4.8999999999999915</v>
      </c>
    </row>
    <row r="385" spans="1:3" x14ac:dyDescent="0.45">
      <c r="A385" s="2">
        <v>37257</v>
      </c>
      <c r="B385" s="3">
        <v>93</v>
      </c>
      <c r="C385" s="4">
        <v>4.2000000000000028</v>
      </c>
    </row>
    <row r="386" spans="1:3" x14ac:dyDescent="0.45">
      <c r="A386" s="2">
        <v>37288</v>
      </c>
      <c r="B386" s="3">
        <v>90.7</v>
      </c>
      <c r="C386" s="4">
        <v>-2.2999999999999972</v>
      </c>
    </row>
    <row r="387" spans="1:3" x14ac:dyDescent="0.45">
      <c r="A387" s="2">
        <v>37316</v>
      </c>
      <c r="B387" s="3">
        <v>95.7</v>
      </c>
      <c r="C387" s="4">
        <v>5</v>
      </c>
    </row>
    <row r="388" spans="1:3" x14ac:dyDescent="0.45">
      <c r="A388" s="2">
        <v>37347</v>
      </c>
      <c r="B388" s="3">
        <v>93</v>
      </c>
      <c r="C388" s="4">
        <v>-2.7000000000000028</v>
      </c>
    </row>
    <row r="389" spans="1:3" x14ac:dyDescent="0.45">
      <c r="A389" s="2">
        <v>37377</v>
      </c>
      <c r="B389" s="3">
        <v>96.9</v>
      </c>
      <c r="C389" s="4">
        <v>3.9000000000000057</v>
      </c>
    </row>
    <row r="390" spans="1:3" x14ac:dyDescent="0.45">
      <c r="A390" s="2">
        <v>37408</v>
      </c>
      <c r="B390" s="3">
        <v>92.4</v>
      </c>
      <c r="C390" s="4">
        <v>-4.5</v>
      </c>
    </row>
    <row r="391" spans="1:3" x14ac:dyDescent="0.45">
      <c r="A391" s="2">
        <v>37438</v>
      </c>
      <c r="B391" s="3">
        <v>88.1</v>
      </c>
      <c r="C391" s="4">
        <v>-4.3000000000000114</v>
      </c>
    </row>
    <row r="392" spans="1:3" x14ac:dyDescent="0.45">
      <c r="A392" s="2">
        <v>37469</v>
      </c>
      <c r="B392" s="3">
        <v>87.6</v>
      </c>
      <c r="C392" s="4">
        <v>-0.5</v>
      </c>
    </row>
    <row r="393" spans="1:3" x14ac:dyDescent="0.45">
      <c r="A393" s="2">
        <v>37500</v>
      </c>
      <c r="B393" s="3">
        <v>86.1</v>
      </c>
      <c r="C393" s="4">
        <v>-1.5</v>
      </c>
    </row>
    <row r="394" spans="1:3" x14ac:dyDescent="0.45">
      <c r="A394" s="2">
        <v>37530</v>
      </c>
      <c r="B394" s="3">
        <v>80.599999999999994</v>
      </c>
      <c r="C394" s="4">
        <v>-5.5</v>
      </c>
    </row>
    <row r="395" spans="1:3" x14ac:dyDescent="0.45">
      <c r="A395" s="2">
        <v>37561</v>
      </c>
      <c r="B395" s="3">
        <v>84.2</v>
      </c>
      <c r="C395" s="4">
        <v>3.6000000000000085</v>
      </c>
    </row>
    <row r="396" spans="1:3" x14ac:dyDescent="0.45">
      <c r="A396" s="2">
        <v>37591</v>
      </c>
      <c r="B396" s="3">
        <v>86.7</v>
      </c>
      <c r="C396" s="4">
        <v>2.5</v>
      </c>
    </row>
    <row r="397" spans="1:3" x14ac:dyDescent="0.45">
      <c r="A397" s="2">
        <v>37622</v>
      </c>
      <c r="B397" s="3">
        <v>82.4</v>
      </c>
      <c r="C397" s="4">
        <v>-4.2999999999999972</v>
      </c>
    </row>
    <row r="398" spans="1:3" x14ac:dyDescent="0.45">
      <c r="A398" s="2">
        <v>37653</v>
      </c>
      <c r="B398" s="3">
        <v>79.900000000000006</v>
      </c>
      <c r="C398" s="4">
        <v>-2.5</v>
      </c>
    </row>
    <row r="399" spans="1:3" x14ac:dyDescent="0.45">
      <c r="A399" s="2">
        <v>37681</v>
      </c>
      <c r="B399" s="3">
        <v>77.599999999999994</v>
      </c>
      <c r="C399" s="4">
        <v>-2.3000000000000114</v>
      </c>
    </row>
    <row r="400" spans="1:3" x14ac:dyDescent="0.45">
      <c r="A400" s="2">
        <v>37712</v>
      </c>
      <c r="B400" s="3">
        <v>86</v>
      </c>
      <c r="C400" s="4">
        <v>8.4000000000000057</v>
      </c>
    </row>
    <row r="401" spans="1:3" x14ac:dyDescent="0.45">
      <c r="A401" s="2">
        <v>37742</v>
      </c>
      <c r="B401" s="3">
        <v>92.1</v>
      </c>
      <c r="C401" s="4">
        <v>6.0999999999999943</v>
      </c>
    </row>
    <row r="402" spans="1:3" x14ac:dyDescent="0.45">
      <c r="A402" s="2">
        <v>37773</v>
      </c>
      <c r="B402" s="3">
        <v>89.7</v>
      </c>
      <c r="C402" s="4">
        <v>-2.3999999999999915</v>
      </c>
    </row>
    <row r="403" spans="1:3" x14ac:dyDescent="0.45">
      <c r="A403" s="2">
        <v>37803</v>
      </c>
      <c r="B403" s="3">
        <v>90.9</v>
      </c>
      <c r="C403" s="4">
        <v>1.2000000000000028</v>
      </c>
    </row>
    <row r="404" spans="1:3" x14ac:dyDescent="0.45">
      <c r="A404" s="2">
        <v>37834</v>
      </c>
      <c r="B404" s="3">
        <v>89.3</v>
      </c>
      <c r="C404" s="4">
        <v>-1.6000000000000085</v>
      </c>
    </row>
    <row r="405" spans="1:3" x14ac:dyDescent="0.45">
      <c r="A405" s="2">
        <v>37865</v>
      </c>
      <c r="B405" s="3">
        <v>87.7</v>
      </c>
      <c r="C405" s="4">
        <v>-1.5999999999999943</v>
      </c>
    </row>
    <row r="406" spans="1:3" x14ac:dyDescent="0.45">
      <c r="A406" s="2">
        <v>37895</v>
      </c>
      <c r="B406" s="3">
        <v>89.6</v>
      </c>
      <c r="C406" s="4">
        <v>1.8999999999999915</v>
      </c>
    </row>
    <row r="407" spans="1:3" x14ac:dyDescent="0.45">
      <c r="A407" s="2">
        <v>37926</v>
      </c>
      <c r="B407" s="3">
        <v>93.7</v>
      </c>
      <c r="C407" s="4">
        <v>4.1000000000000085</v>
      </c>
    </row>
    <row r="408" spans="1:3" x14ac:dyDescent="0.45">
      <c r="A408" s="2">
        <v>37956</v>
      </c>
      <c r="B408" s="3">
        <v>92.6</v>
      </c>
      <c r="C408" s="4">
        <v>-1.1000000000000085</v>
      </c>
    </row>
    <row r="409" spans="1:3" x14ac:dyDescent="0.45">
      <c r="A409" s="2">
        <v>37987</v>
      </c>
      <c r="B409" s="3">
        <v>103.8</v>
      </c>
      <c r="C409" s="4">
        <v>11.200000000000003</v>
      </c>
    </row>
    <row r="410" spans="1:3" x14ac:dyDescent="0.45">
      <c r="A410" s="2">
        <v>38018</v>
      </c>
      <c r="B410" s="3">
        <v>94.4</v>
      </c>
      <c r="C410" s="4">
        <v>-9.3999999999999915</v>
      </c>
    </row>
    <row r="411" spans="1:3" x14ac:dyDescent="0.45">
      <c r="A411" s="2">
        <v>38047</v>
      </c>
      <c r="B411" s="3">
        <v>95.8</v>
      </c>
      <c r="C411" s="4">
        <v>1.3999999999999915</v>
      </c>
    </row>
    <row r="412" spans="1:3" x14ac:dyDescent="0.45">
      <c r="A412" s="2">
        <v>38078</v>
      </c>
      <c r="B412" s="3">
        <v>94.2</v>
      </c>
      <c r="C412" s="4">
        <v>-1.5999999999999943</v>
      </c>
    </row>
    <row r="413" spans="1:3" x14ac:dyDescent="0.45">
      <c r="A413" s="2">
        <v>38108</v>
      </c>
      <c r="B413" s="3">
        <v>90.2</v>
      </c>
      <c r="C413" s="4">
        <v>-4</v>
      </c>
    </row>
    <row r="414" spans="1:3" x14ac:dyDescent="0.45">
      <c r="A414" s="2">
        <v>38139</v>
      </c>
      <c r="B414" s="3">
        <v>95.6</v>
      </c>
      <c r="C414" s="4">
        <v>5.3999999999999915</v>
      </c>
    </row>
    <row r="415" spans="1:3" x14ac:dyDescent="0.45">
      <c r="A415" s="2">
        <v>38169</v>
      </c>
      <c r="B415" s="3">
        <v>96.7</v>
      </c>
      <c r="C415" s="4">
        <v>1.1000000000000085</v>
      </c>
    </row>
    <row r="416" spans="1:3" x14ac:dyDescent="0.45">
      <c r="A416" s="2">
        <v>38200</v>
      </c>
      <c r="B416" s="3">
        <v>95.9</v>
      </c>
      <c r="C416" s="4">
        <v>-0.79999999999999716</v>
      </c>
    </row>
    <row r="417" spans="1:3" x14ac:dyDescent="0.45">
      <c r="A417" s="2">
        <v>38231</v>
      </c>
      <c r="B417" s="3">
        <v>94.2</v>
      </c>
      <c r="C417" s="4">
        <v>-1.7000000000000028</v>
      </c>
    </row>
    <row r="418" spans="1:3" x14ac:dyDescent="0.45">
      <c r="A418" s="2">
        <v>38261</v>
      </c>
      <c r="B418" s="3">
        <v>91.7</v>
      </c>
      <c r="C418" s="4">
        <v>-2.5</v>
      </c>
    </row>
    <row r="419" spans="1:3" x14ac:dyDescent="0.45">
      <c r="A419" s="2">
        <v>38292</v>
      </c>
      <c r="B419" s="3">
        <v>92.8</v>
      </c>
      <c r="C419" s="4">
        <v>1.0999999999999943</v>
      </c>
    </row>
    <row r="420" spans="1:3" x14ac:dyDescent="0.45">
      <c r="A420" s="2">
        <v>38322</v>
      </c>
      <c r="B420" s="3">
        <v>97.1</v>
      </c>
      <c r="C420" s="4">
        <v>4.2999999999999972</v>
      </c>
    </row>
    <row r="421" spans="1:3" x14ac:dyDescent="0.45">
      <c r="A421" s="2">
        <v>38353</v>
      </c>
      <c r="B421" s="3">
        <v>95.5</v>
      </c>
      <c r="C421" s="4">
        <v>-1.5999999999999943</v>
      </c>
    </row>
    <row r="422" spans="1:3" x14ac:dyDescent="0.45">
      <c r="A422" s="2">
        <v>38384</v>
      </c>
      <c r="B422" s="3">
        <v>94.1</v>
      </c>
      <c r="C422" s="4">
        <v>-1.4000000000000057</v>
      </c>
    </row>
    <row r="423" spans="1:3" x14ac:dyDescent="0.45">
      <c r="A423" s="2">
        <v>38412</v>
      </c>
      <c r="B423" s="3">
        <v>92.6</v>
      </c>
      <c r="C423" s="4">
        <v>-1.5</v>
      </c>
    </row>
    <row r="424" spans="1:3" x14ac:dyDescent="0.45">
      <c r="A424" s="2">
        <v>38443</v>
      </c>
      <c r="B424" s="3">
        <v>87.7</v>
      </c>
      <c r="C424" s="4">
        <v>-4.8999999999999915</v>
      </c>
    </row>
    <row r="425" spans="1:3" x14ac:dyDescent="0.45">
      <c r="A425" s="2">
        <v>38473</v>
      </c>
      <c r="B425" s="3">
        <v>86.9</v>
      </c>
      <c r="C425" s="4">
        <v>-0.79999999999999716</v>
      </c>
    </row>
    <row r="426" spans="1:3" x14ac:dyDescent="0.45">
      <c r="A426" s="2">
        <v>38504</v>
      </c>
      <c r="B426" s="3">
        <v>96</v>
      </c>
      <c r="C426" s="4">
        <v>9.0999999999999943</v>
      </c>
    </row>
    <row r="427" spans="1:3" x14ac:dyDescent="0.45">
      <c r="A427" s="2">
        <v>38534</v>
      </c>
      <c r="B427" s="3">
        <v>96.5</v>
      </c>
      <c r="C427" s="4">
        <v>0.5</v>
      </c>
    </row>
    <row r="428" spans="1:3" x14ac:dyDescent="0.45">
      <c r="A428" s="2">
        <v>38565</v>
      </c>
      <c r="B428" s="3">
        <v>89.1</v>
      </c>
      <c r="C428" s="4">
        <v>-7.4000000000000057</v>
      </c>
    </row>
    <row r="429" spans="1:3" x14ac:dyDescent="0.45">
      <c r="A429" s="2">
        <v>38596</v>
      </c>
      <c r="B429" s="3">
        <v>76.900000000000006</v>
      </c>
      <c r="C429" s="4">
        <v>-12.199999999999989</v>
      </c>
    </row>
    <row r="430" spans="1:3" x14ac:dyDescent="0.45">
      <c r="A430" s="2">
        <v>38626</v>
      </c>
      <c r="B430" s="3">
        <v>74.2</v>
      </c>
      <c r="C430" s="4">
        <v>-2.7000000000000028</v>
      </c>
    </row>
    <row r="431" spans="1:3" x14ac:dyDescent="0.45">
      <c r="A431" s="2">
        <v>38657</v>
      </c>
      <c r="B431" s="3">
        <v>81.599999999999994</v>
      </c>
      <c r="C431" s="4">
        <v>7.3999999999999915</v>
      </c>
    </row>
    <row r="432" spans="1:3" x14ac:dyDescent="0.45">
      <c r="A432" s="2">
        <v>38687</v>
      </c>
      <c r="B432" s="3">
        <v>91.5</v>
      </c>
      <c r="C432" s="4">
        <v>9.9000000000000057</v>
      </c>
    </row>
    <row r="433" spans="1:3" x14ac:dyDescent="0.45">
      <c r="A433" s="2">
        <v>38718</v>
      </c>
      <c r="B433" s="3">
        <v>91.2</v>
      </c>
      <c r="C433" s="4">
        <v>-0.29999999999999716</v>
      </c>
    </row>
    <row r="434" spans="1:3" x14ac:dyDescent="0.45">
      <c r="A434" s="2">
        <v>38749</v>
      </c>
      <c r="B434" s="3">
        <v>86.7</v>
      </c>
      <c r="C434" s="4">
        <v>-4.5</v>
      </c>
    </row>
    <row r="435" spans="1:3" x14ac:dyDescent="0.45">
      <c r="A435" s="2">
        <v>38777</v>
      </c>
      <c r="B435" s="3">
        <v>88.9</v>
      </c>
      <c r="C435" s="4">
        <v>2.2000000000000028</v>
      </c>
    </row>
    <row r="436" spans="1:3" x14ac:dyDescent="0.45">
      <c r="A436" s="2">
        <v>38808</v>
      </c>
      <c r="B436" s="3">
        <v>87.4</v>
      </c>
      <c r="C436" s="4">
        <v>-1.5</v>
      </c>
    </row>
    <row r="437" spans="1:3" x14ac:dyDescent="0.45">
      <c r="A437" s="2">
        <v>38838</v>
      </c>
      <c r="B437" s="3">
        <v>79.099999999999994</v>
      </c>
      <c r="C437" s="4">
        <v>-8.3000000000000114</v>
      </c>
    </row>
    <row r="438" spans="1:3" x14ac:dyDescent="0.45">
      <c r="A438" s="2">
        <v>38869</v>
      </c>
      <c r="B438" s="3">
        <v>84.9</v>
      </c>
      <c r="C438" s="4">
        <v>5.8000000000000114</v>
      </c>
    </row>
    <row r="439" spans="1:3" x14ac:dyDescent="0.45">
      <c r="A439" s="2">
        <v>38899</v>
      </c>
      <c r="B439" s="3">
        <v>84.7</v>
      </c>
      <c r="C439" s="4">
        <v>-0.20000000000000284</v>
      </c>
    </row>
    <row r="440" spans="1:3" x14ac:dyDescent="0.45">
      <c r="A440" s="2">
        <v>38930</v>
      </c>
      <c r="B440" s="3">
        <v>82</v>
      </c>
      <c r="C440" s="4">
        <v>-2.7000000000000028</v>
      </c>
    </row>
    <row r="441" spans="1:3" x14ac:dyDescent="0.45">
      <c r="A441" s="2">
        <v>38961</v>
      </c>
      <c r="B441" s="3">
        <v>85.4</v>
      </c>
      <c r="C441" s="4">
        <v>3.4000000000000057</v>
      </c>
    </row>
    <row r="442" spans="1:3" x14ac:dyDescent="0.45">
      <c r="A442" s="2">
        <v>38991</v>
      </c>
      <c r="B442" s="3">
        <v>93.6</v>
      </c>
      <c r="C442" s="4">
        <v>8.1999999999999886</v>
      </c>
    </row>
    <row r="443" spans="1:3" x14ac:dyDescent="0.45">
      <c r="A443" s="2">
        <v>39022</v>
      </c>
      <c r="B443" s="3">
        <v>92.1</v>
      </c>
      <c r="C443" s="4">
        <v>-1.5</v>
      </c>
    </row>
    <row r="444" spans="1:3" x14ac:dyDescent="0.45">
      <c r="A444" s="2">
        <v>39052</v>
      </c>
      <c r="B444" s="3">
        <v>91.7</v>
      </c>
      <c r="C444" s="4">
        <v>-0.39999999999999147</v>
      </c>
    </row>
    <row r="445" spans="1:3" x14ac:dyDescent="0.45">
      <c r="A445" s="2">
        <v>39083</v>
      </c>
      <c r="B445" s="3">
        <v>96.9</v>
      </c>
      <c r="C445" s="4">
        <v>5.2000000000000028</v>
      </c>
    </row>
    <row r="446" spans="1:3" x14ac:dyDescent="0.45">
      <c r="A446" s="2">
        <v>39114</v>
      </c>
      <c r="B446" s="3">
        <v>91.3</v>
      </c>
      <c r="C446" s="4">
        <v>-5.6000000000000085</v>
      </c>
    </row>
    <row r="447" spans="1:3" x14ac:dyDescent="0.45">
      <c r="A447" s="2">
        <v>39142</v>
      </c>
      <c r="B447" s="3">
        <v>88.4</v>
      </c>
      <c r="C447" s="4">
        <v>-2.8999999999999915</v>
      </c>
    </row>
    <row r="448" spans="1:3" x14ac:dyDescent="0.45">
      <c r="A448" s="2">
        <v>39173</v>
      </c>
      <c r="B448" s="3">
        <v>87.1</v>
      </c>
      <c r="C448" s="4">
        <v>-1.3000000000000114</v>
      </c>
    </row>
    <row r="449" spans="1:3" x14ac:dyDescent="0.45">
      <c r="A449" s="2">
        <v>39203</v>
      </c>
      <c r="B449" s="3">
        <v>88.3</v>
      </c>
      <c r="C449" s="4">
        <v>1.2000000000000028</v>
      </c>
    </row>
    <row r="450" spans="1:3" x14ac:dyDescent="0.45">
      <c r="A450" s="2">
        <v>39234</v>
      </c>
      <c r="B450" s="3">
        <v>85.3</v>
      </c>
      <c r="C450" s="4">
        <v>-3</v>
      </c>
    </row>
    <row r="451" spans="1:3" x14ac:dyDescent="0.45">
      <c r="A451" s="2">
        <v>39264</v>
      </c>
      <c r="B451" s="3">
        <v>90.4</v>
      </c>
      <c r="C451" s="4">
        <v>5.1000000000000085</v>
      </c>
    </row>
    <row r="452" spans="1:3" x14ac:dyDescent="0.45">
      <c r="A452" s="2">
        <v>39295</v>
      </c>
      <c r="B452" s="3">
        <v>83.4</v>
      </c>
      <c r="C452" s="4">
        <v>-7</v>
      </c>
    </row>
    <row r="453" spans="1:3" x14ac:dyDescent="0.45">
      <c r="A453" s="2">
        <v>39326</v>
      </c>
      <c r="B453" s="3">
        <v>83.4</v>
      </c>
      <c r="C453" s="4">
        <v>0</v>
      </c>
    </row>
    <row r="454" spans="1:3" x14ac:dyDescent="0.45">
      <c r="A454" s="2">
        <v>39356</v>
      </c>
      <c r="B454" s="3">
        <v>80.900000000000006</v>
      </c>
      <c r="C454" s="4">
        <v>-2.5</v>
      </c>
    </row>
    <row r="455" spans="1:3" x14ac:dyDescent="0.45">
      <c r="A455" s="2">
        <v>39387</v>
      </c>
      <c r="B455" s="3">
        <v>76.099999999999994</v>
      </c>
      <c r="C455" s="4">
        <v>-4.8000000000000114</v>
      </c>
    </row>
    <row r="456" spans="1:3" x14ac:dyDescent="0.45">
      <c r="A456" s="2">
        <v>39417</v>
      </c>
      <c r="B456" s="3">
        <v>75.5</v>
      </c>
      <c r="C456" s="4">
        <v>-0.59999999999999432</v>
      </c>
    </row>
    <row r="457" spans="1:3" x14ac:dyDescent="0.45">
      <c r="A457" s="2">
        <v>39448</v>
      </c>
      <c r="B457" s="3">
        <v>78.400000000000006</v>
      </c>
      <c r="C457" s="4">
        <v>2.9000000000000057</v>
      </c>
    </row>
    <row r="458" spans="1:3" x14ac:dyDescent="0.45">
      <c r="A458" s="2">
        <v>39479</v>
      </c>
      <c r="B458" s="3">
        <v>70.8</v>
      </c>
      <c r="C458" s="4">
        <v>-7.6000000000000085</v>
      </c>
    </row>
    <row r="459" spans="1:3" x14ac:dyDescent="0.45">
      <c r="A459" s="2">
        <v>39508</v>
      </c>
      <c r="B459" s="3">
        <v>69.5</v>
      </c>
      <c r="C459" s="4">
        <v>-1.2999999999999972</v>
      </c>
    </row>
    <row r="460" spans="1:3" x14ac:dyDescent="0.45">
      <c r="A460" s="2">
        <v>39539</v>
      </c>
      <c r="B460" s="3">
        <v>62.6</v>
      </c>
      <c r="C460" s="4">
        <v>-6.8999999999999986</v>
      </c>
    </row>
    <row r="461" spans="1:3" x14ac:dyDescent="0.45">
      <c r="A461" s="2">
        <v>39569</v>
      </c>
      <c r="B461" s="3">
        <v>59.8</v>
      </c>
      <c r="C461" s="4">
        <v>-2.8000000000000043</v>
      </c>
    </row>
    <row r="462" spans="1:3" x14ac:dyDescent="0.45">
      <c r="A462" s="2">
        <v>39600</v>
      </c>
      <c r="B462" s="3">
        <v>56.4</v>
      </c>
      <c r="C462" s="4">
        <v>-3.3999999999999986</v>
      </c>
    </row>
    <row r="463" spans="1:3" x14ac:dyDescent="0.45">
      <c r="A463" s="2">
        <v>39630</v>
      </c>
      <c r="B463" s="3">
        <v>61.2</v>
      </c>
      <c r="C463" s="4">
        <v>4.8000000000000043</v>
      </c>
    </row>
    <row r="464" spans="1:3" x14ac:dyDescent="0.45">
      <c r="A464" s="2">
        <v>39661</v>
      </c>
      <c r="B464" s="3">
        <v>63</v>
      </c>
      <c r="C464" s="4">
        <v>1.7999999999999972</v>
      </c>
    </row>
    <row r="465" spans="1:3" x14ac:dyDescent="0.45">
      <c r="A465" s="2">
        <v>39692</v>
      </c>
      <c r="B465" s="3">
        <v>70.3</v>
      </c>
      <c r="C465" s="4">
        <v>7.2999999999999972</v>
      </c>
    </row>
    <row r="466" spans="1:3" x14ac:dyDescent="0.45">
      <c r="A466" s="2">
        <v>39722</v>
      </c>
      <c r="B466" s="3">
        <v>57.6</v>
      </c>
      <c r="C466" s="4">
        <v>-12.699999999999996</v>
      </c>
    </row>
    <row r="467" spans="1:3" x14ac:dyDescent="0.45">
      <c r="A467" s="2">
        <v>39753</v>
      </c>
      <c r="B467" s="3">
        <v>55.3</v>
      </c>
      <c r="C467" s="4">
        <v>-2.3000000000000043</v>
      </c>
    </row>
    <row r="468" spans="1:3" x14ac:dyDescent="0.45">
      <c r="A468" s="2">
        <v>39783</v>
      </c>
      <c r="B468" s="3">
        <v>60.1</v>
      </c>
      <c r="C468" s="4">
        <v>4.8000000000000043</v>
      </c>
    </row>
    <row r="469" spans="1:3" x14ac:dyDescent="0.45">
      <c r="A469" s="2">
        <v>39814</v>
      </c>
      <c r="B469" s="3">
        <v>61.2</v>
      </c>
      <c r="C469" s="4">
        <v>1.1000000000000014</v>
      </c>
    </row>
    <row r="470" spans="1:3" x14ac:dyDescent="0.45">
      <c r="A470" s="2">
        <v>39845</v>
      </c>
      <c r="B470" s="3">
        <v>56.3</v>
      </c>
      <c r="C470" s="4">
        <v>-4.9000000000000057</v>
      </c>
    </row>
    <row r="471" spans="1:3" x14ac:dyDescent="0.45">
      <c r="A471" s="2">
        <v>39873</v>
      </c>
      <c r="B471" s="3">
        <v>57.3</v>
      </c>
      <c r="C471" s="4">
        <v>1</v>
      </c>
    </row>
    <row r="472" spans="1:3" x14ac:dyDescent="0.45">
      <c r="A472" s="2">
        <v>39904</v>
      </c>
      <c r="B472" s="3">
        <v>65.099999999999994</v>
      </c>
      <c r="C472" s="4">
        <v>7.7999999999999972</v>
      </c>
    </row>
    <row r="473" spans="1:3" x14ac:dyDescent="0.45">
      <c r="A473" s="2">
        <v>39934</v>
      </c>
      <c r="B473" s="3">
        <v>68.7</v>
      </c>
      <c r="C473" s="4">
        <v>3.6000000000000085</v>
      </c>
    </row>
    <row r="474" spans="1:3" x14ac:dyDescent="0.45">
      <c r="A474" s="2">
        <v>39965</v>
      </c>
      <c r="B474" s="3">
        <v>70.8</v>
      </c>
      <c r="C474" s="4">
        <v>2.0999999999999943</v>
      </c>
    </row>
    <row r="475" spans="1:3" x14ac:dyDescent="0.45">
      <c r="A475" s="2">
        <v>39995</v>
      </c>
      <c r="B475" s="3">
        <v>66</v>
      </c>
      <c r="C475" s="4">
        <v>-4.7999999999999972</v>
      </c>
    </row>
    <row r="476" spans="1:3" x14ac:dyDescent="0.45">
      <c r="A476" s="2">
        <v>40026</v>
      </c>
      <c r="B476" s="3">
        <v>65.7</v>
      </c>
      <c r="C476" s="4">
        <v>-0.29999999999999716</v>
      </c>
    </row>
    <row r="477" spans="1:3" x14ac:dyDescent="0.45">
      <c r="A477" s="2">
        <v>40057</v>
      </c>
      <c r="B477" s="3">
        <v>73.5</v>
      </c>
      <c r="C477" s="4">
        <v>7.7999999999999972</v>
      </c>
    </row>
    <row r="478" spans="1:3" x14ac:dyDescent="0.45">
      <c r="A478" s="2">
        <v>40087</v>
      </c>
      <c r="B478" s="3">
        <v>70.599999999999994</v>
      </c>
      <c r="C478" s="4">
        <v>-2.9000000000000057</v>
      </c>
    </row>
    <row r="479" spans="1:3" x14ac:dyDescent="0.45">
      <c r="A479" s="2">
        <v>40118</v>
      </c>
      <c r="B479" s="3">
        <v>67.400000000000006</v>
      </c>
      <c r="C479" s="4">
        <v>-3.1999999999999886</v>
      </c>
    </row>
    <row r="480" spans="1:3" x14ac:dyDescent="0.45">
      <c r="A480" s="2">
        <v>40148</v>
      </c>
      <c r="B480" s="3">
        <v>72.5</v>
      </c>
      <c r="C480" s="4">
        <v>5.0999999999999943</v>
      </c>
    </row>
    <row r="481" spans="1:3" x14ac:dyDescent="0.45">
      <c r="A481" s="2">
        <v>40179</v>
      </c>
      <c r="B481" s="3">
        <v>74.400000000000006</v>
      </c>
      <c r="C481" s="4">
        <v>1.9000000000000057</v>
      </c>
    </row>
    <row r="482" spans="1:3" x14ac:dyDescent="0.45">
      <c r="A482" s="2">
        <v>40210</v>
      </c>
      <c r="B482" s="3">
        <v>73.599999999999994</v>
      </c>
      <c r="C482" s="4">
        <v>-0.80000000000001137</v>
      </c>
    </row>
    <row r="483" spans="1:3" x14ac:dyDescent="0.45">
      <c r="A483" s="2">
        <v>40238</v>
      </c>
      <c r="B483" s="3">
        <v>73.599999999999994</v>
      </c>
      <c r="C483" s="4">
        <v>0</v>
      </c>
    </row>
    <row r="484" spans="1:3" x14ac:dyDescent="0.45">
      <c r="A484" s="2">
        <v>40269</v>
      </c>
      <c r="B484" s="3">
        <v>72.2</v>
      </c>
      <c r="C484" s="4">
        <v>-1.3999999999999915</v>
      </c>
    </row>
    <row r="485" spans="1:3" x14ac:dyDescent="0.45">
      <c r="A485" s="2">
        <v>40299</v>
      </c>
      <c r="B485" s="3">
        <v>73.599999999999994</v>
      </c>
      <c r="C485" s="4">
        <v>1.3999999999999915</v>
      </c>
    </row>
    <row r="486" spans="1:3" x14ac:dyDescent="0.45">
      <c r="A486" s="2">
        <v>40330</v>
      </c>
      <c r="B486" s="3">
        <v>76</v>
      </c>
      <c r="C486" s="4">
        <v>2.4000000000000057</v>
      </c>
    </row>
    <row r="487" spans="1:3" x14ac:dyDescent="0.45">
      <c r="A487" s="2">
        <v>40360</v>
      </c>
      <c r="B487" s="3">
        <v>67.8</v>
      </c>
      <c r="C487" s="4">
        <v>-8.2000000000000028</v>
      </c>
    </row>
    <row r="488" spans="1:3" x14ac:dyDescent="0.45">
      <c r="A488" s="2">
        <v>40391</v>
      </c>
      <c r="B488" s="3">
        <v>68.900000000000006</v>
      </c>
      <c r="C488" s="4">
        <v>1.1000000000000085</v>
      </c>
    </row>
    <row r="489" spans="1:3" x14ac:dyDescent="0.45">
      <c r="A489" s="2">
        <v>40422</v>
      </c>
      <c r="B489" s="3">
        <v>68.2</v>
      </c>
      <c r="C489" s="4">
        <v>-0.70000000000000284</v>
      </c>
    </row>
    <row r="490" spans="1:3" x14ac:dyDescent="0.45">
      <c r="A490" s="2">
        <v>40452</v>
      </c>
      <c r="B490" s="3">
        <v>67.7</v>
      </c>
      <c r="C490" s="4">
        <v>-0.5</v>
      </c>
    </row>
    <row r="491" spans="1:3" x14ac:dyDescent="0.45">
      <c r="A491" s="2">
        <v>40483</v>
      </c>
      <c r="B491" s="3">
        <v>71.599999999999994</v>
      </c>
      <c r="C491" s="4">
        <v>3.8999999999999915</v>
      </c>
    </row>
    <row r="492" spans="1:3" x14ac:dyDescent="0.45">
      <c r="A492" s="2">
        <v>40513</v>
      </c>
      <c r="B492" s="3">
        <v>74.5</v>
      </c>
      <c r="C492" s="4">
        <v>2.9000000000000057</v>
      </c>
    </row>
    <row r="493" spans="1:3" x14ac:dyDescent="0.45">
      <c r="A493" s="2">
        <v>40544</v>
      </c>
      <c r="B493" s="3">
        <v>74.2</v>
      </c>
      <c r="C493" s="4">
        <v>-0.29999999999999716</v>
      </c>
    </row>
    <row r="494" spans="1:3" x14ac:dyDescent="0.45">
      <c r="A494" s="2">
        <v>40575</v>
      </c>
      <c r="B494" s="3">
        <v>77.5</v>
      </c>
      <c r="C494" s="4">
        <v>3.2999999999999972</v>
      </c>
    </row>
    <row r="495" spans="1:3" x14ac:dyDescent="0.45">
      <c r="A495" s="2">
        <v>40603</v>
      </c>
      <c r="B495" s="3">
        <v>67.5</v>
      </c>
      <c r="C495" s="4">
        <v>-10</v>
      </c>
    </row>
    <row r="496" spans="1:3" x14ac:dyDescent="0.45">
      <c r="A496" s="2">
        <v>40634</v>
      </c>
      <c r="B496" s="3">
        <v>69.8</v>
      </c>
      <c r="C496" s="4">
        <v>2.2999999999999972</v>
      </c>
    </row>
    <row r="497" spans="1:3" x14ac:dyDescent="0.45">
      <c r="A497" s="2">
        <v>40664</v>
      </c>
      <c r="B497" s="3">
        <v>74.3</v>
      </c>
      <c r="C497" s="4">
        <v>4.5</v>
      </c>
    </row>
    <row r="498" spans="1:3" x14ac:dyDescent="0.45">
      <c r="A498" s="2">
        <v>40695</v>
      </c>
      <c r="B498" s="3">
        <v>71.5</v>
      </c>
      <c r="C498" s="4">
        <v>-2.7999999999999972</v>
      </c>
    </row>
    <row r="499" spans="1:3" x14ac:dyDescent="0.45">
      <c r="A499" s="2">
        <v>40725</v>
      </c>
      <c r="B499" s="3">
        <v>63.7</v>
      </c>
      <c r="C499" s="4">
        <v>-7.7999999999999972</v>
      </c>
    </row>
    <row r="500" spans="1:3" x14ac:dyDescent="0.45">
      <c r="A500" s="2">
        <v>40756</v>
      </c>
      <c r="B500" s="3">
        <v>55.8</v>
      </c>
      <c r="C500" s="4">
        <v>-7.9000000000000057</v>
      </c>
    </row>
    <row r="501" spans="1:3" x14ac:dyDescent="0.45">
      <c r="A501" s="2">
        <v>40787</v>
      </c>
      <c r="B501" s="3">
        <v>59.5</v>
      </c>
      <c r="C501" s="4">
        <v>3.7000000000000028</v>
      </c>
    </row>
    <row r="502" spans="1:3" x14ac:dyDescent="0.45">
      <c r="A502" s="2">
        <v>40817</v>
      </c>
      <c r="B502" s="3">
        <v>60.8</v>
      </c>
      <c r="C502" s="4">
        <v>1.2999999999999972</v>
      </c>
    </row>
    <row r="503" spans="1:3" x14ac:dyDescent="0.45">
      <c r="A503" s="2">
        <v>40848</v>
      </c>
      <c r="B503" s="3">
        <v>63.7</v>
      </c>
      <c r="C503" s="4">
        <v>2.9000000000000057</v>
      </c>
    </row>
    <row r="504" spans="1:3" x14ac:dyDescent="0.45">
      <c r="A504" s="2">
        <v>40878</v>
      </c>
      <c r="B504" s="3">
        <v>69.900000000000006</v>
      </c>
      <c r="C504" s="4">
        <v>6.2000000000000028</v>
      </c>
    </row>
    <row r="505" spans="1:3" x14ac:dyDescent="0.45">
      <c r="A505" s="2">
        <v>40909</v>
      </c>
      <c r="B505" s="3">
        <v>75</v>
      </c>
      <c r="C505" s="4">
        <v>5.0999999999999943</v>
      </c>
    </row>
    <row r="506" spans="1:3" x14ac:dyDescent="0.45">
      <c r="A506" s="2">
        <v>40940</v>
      </c>
      <c r="B506" s="3">
        <v>75.3</v>
      </c>
      <c r="C506" s="4">
        <v>0.29999999999999716</v>
      </c>
    </row>
    <row r="507" spans="1:3" x14ac:dyDescent="0.45">
      <c r="A507" s="2">
        <v>40969</v>
      </c>
      <c r="B507" s="3">
        <v>76.2</v>
      </c>
      <c r="C507" s="4">
        <v>0.90000000000000568</v>
      </c>
    </row>
    <row r="508" spans="1:3" x14ac:dyDescent="0.45">
      <c r="A508" s="2">
        <v>41000</v>
      </c>
      <c r="B508" s="3">
        <v>76.400000000000006</v>
      </c>
      <c r="C508" s="4">
        <v>0.20000000000000284</v>
      </c>
    </row>
    <row r="509" spans="1:3" x14ac:dyDescent="0.45">
      <c r="A509" s="2">
        <v>41030</v>
      </c>
      <c r="B509" s="3">
        <v>79.3</v>
      </c>
      <c r="C509" s="4">
        <v>2.8999999999999915</v>
      </c>
    </row>
    <row r="510" spans="1:3" x14ac:dyDescent="0.45">
      <c r="A510" s="2">
        <v>41061</v>
      </c>
      <c r="B510" s="3">
        <v>73.2</v>
      </c>
      <c r="C510" s="4">
        <v>-6.0999999999999943</v>
      </c>
    </row>
    <row r="511" spans="1:3" x14ac:dyDescent="0.45">
      <c r="A511" s="2">
        <v>41091</v>
      </c>
      <c r="B511" s="3">
        <v>72.3</v>
      </c>
      <c r="C511" s="4">
        <v>-0.90000000000000568</v>
      </c>
    </row>
    <row r="512" spans="1:3" x14ac:dyDescent="0.45">
      <c r="A512" s="2">
        <v>41122</v>
      </c>
      <c r="B512" s="3">
        <v>74.3</v>
      </c>
      <c r="C512" s="4">
        <v>2</v>
      </c>
    </row>
    <row r="513" spans="1:3" x14ac:dyDescent="0.45">
      <c r="A513" s="2">
        <v>41153</v>
      </c>
      <c r="B513" s="3">
        <v>78.3</v>
      </c>
      <c r="C513" s="4">
        <v>4</v>
      </c>
    </row>
    <row r="514" spans="1:3" x14ac:dyDescent="0.45">
      <c r="A514" s="2">
        <v>41183</v>
      </c>
      <c r="B514" s="3">
        <v>82.6</v>
      </c>
      <c r="C514" s="4">
        <v>4.2999999999999972</v>
      </c>
    </row>
    <row r="515" spans="1:3" x14ac:dyDescent="0.45">
      <c r="A515" s="2">
        <v>41214</v>
      </c>
      <c r="B515" s="3">
        <v>82.7</v>
      </c>
      <c r="C515" s="4">
        <v>0.10000000000000853</v>
      </c>
    </row>
    <row r="516" spans="1:3" x14ac:dyDescent="0.45">
      <c r="A516" s="2">
        <v>41244</v>
      </c>
      <c r="B516" s="3">
        <v>72.900000000000006</v>
      </c>
      <c r="C516" s="4">
        <v>-9.7999999999999972</v>
      </c>
    </row>
    <row r="517" spans="1:3" x14ac:dyDescent="0.45">
      <c r="A517" s="2">
        <v>41275</v>
      </c>
      <c r="B517" s="3">
        <v>73.8</v>
      </c>
      <c r="C517" s="4">
        <v>0.89999999999999147</v>
      </c>
    </row>
    <row r="518" spans="1:3" x14ac:dyDescent="0.45">
      <c r="A518" s="2">
        <v>41306</v>
      </c>
      <c r="B518" s="3">
        <v>77.599999999999994</v>
      </c>
      <c r="C518" s="4">
        <v>3.7999999999999972</v>
      </c>
    </row>
    <row r="519" spans="1:3" x14ac:dyDescent="0.45">
      <c r="A519" s="2">
        <v>41334</v>
      </c>
      <c r="B519" s="3">
        <v>78.599999999999994</v>
      </c>
      <c r="C519" s="4">
        <v>1</v>
      </c>
    </row>
    <row r="520" spans="1:3" x14ac:dyDescent="0.45">
      <c r="A520" s="2">
        <v>41365</v>
      </c>
      <c r="B520" s="3">
        <v>76.400000000000006</v>
      </c>
      <c r="C520" s="4">
        <v>-2.1999999999999886</v>
      </c>
    </row>
    <row r="521" spans="1:3" x14ac:dyDescent="0.45">
      <c r="A521" s="2">
        <v>41395</v>
      </c>
      <c r="B521" s="3">
        <v>84.5</v>
      </c>
      <c r="C521" s="4">
        <v>8.0999999999999943</v>
      </c>
    </row>
    <row r="522" spans="1:3" x14ac:dyDescent="0.45">
      <c r="A522" s="2">
        <v>41426</v>
      </c>
      <c r="B522" s="3">
        <v>84.1</v>
      </c>
      <c r="C522" s="4">
        <v>-0.40000000000000568</v>
      </c>
    </row>
    <row r="523" spans="1:3" x14ac:dyDescent="0.45">
      <c r="A523" s="2">
        <v>41456</v>
      </c>
      <c r="B523" s="3">
        <v>85.1</v>
      </c>
      <c r="C523" s="4">
        <v>1</v>
      </c>
    </row>
    <row r="524" spans="1:3" x14ac:dyDescent="0.45">
      <c r="A524" s="2">
        <v>41487</v>
      </c>
      <c r="B524" s="3">
        <v>82.1</v>
      </c>
      <c r="C524" s="4">
        <v>-3</v>
      </c>
    </row>
    <row r="525" spans="1:3" x14ac:dyDescent="0.45">
      <c r="A525" s="2">
        <v>41518</v>
      </c>
      <c r="B525" s="3">
        <v>77.5</v>
      </c>
      <c r="C525" s="4">
        <v>-4.5999999999999943</v>
      </c>
    </row>
    <row r="526" spans="1:3" x14ac:dyDescent="0.45">
      <c r="A526" s="2">
        <v>41548</v>
      </c>
      <c r="B526" s="3">
        <v>73.2</v>
      </c>
      <c r="C526" s="4">
        <v>-4.2999999999999972</v>
      </c>
    </row>
    <row r="527" spans="1:3" x14ac:dyDescent="0.45">
      <c r="A527" s="2">
        <v>41579</v>
      </c>
      <c r="B527" s="3">
        <v>75.099999999999994</v>
      </c>
      <c r="C527" s="4">
        <v>1.8999999999999915</v>
      </c>
    </row>
    <row r="528" spans="1:3" x14ac:dyDescent="0.45">
      <c r="A528" s="2">
        <v>41609</v>
      </c>
      <c r="B528" s="3">
        <v>82.5</v>
      </c>
      <c r="C528" s="4">
        <v>7.4000000000000057</v>
      </c>
    </row>
    <row r="529" spans="1:3" x14ac:dyDescent="0.45">
      <c r="A529" s="2">
        <v>41640</v>
      </c>
      <c r="B529" s="3">
        <v>81.2</v>
      </c>
      <c r="C529" s="4">
        <v>-1.2999999999999972</v>
      </c>
    </row>
    <row r="530" spans="1:3" x14ac:dyDescent="0.45">
      <c r="A530" s="2">
        <v>41671</v>
      </c>
      <c r="B530" s="3">
        <v>81.599999999999994</v>
      </c>
      <c r="C530" s="4">
        <v>0.39999999999999147</v>
      </c>
    </row>
    <row r="531" spans="1:3" x14ac:dyDescent="0.45">
      <c r="A531" s="2">
        <v>41699</v>
      </c>
      <c r="B531" s="3">
        <v>80</v>
      </c>
      <c r="C531" s="4">
        <v>-1.5999999999999943</v>
      </c>
    </row>
    <row r="532" spans="1:3" x14ac:dyDescent="0.45">
      <c r="A532" s="2">
        <v>41730</v>
      </c>
      <c r="B532" s="3">
        <v>84.1</v>
      </c>
      <c r="C532" s="4">
        <v>4.0999999999999943</v>
      </c>
    </row>
    <row r="533" spans="1:3" x14ac:dyDescent="0.45">
      <c r="A533" s="2">
        <v>41760</v>
      </c>
      <c r="B533" s="3">
        <v>81.900000000000006</v>
      </c>
      <c r="C533" s="4">
        <v>-2.1999999999999886</v>
      </c>
    </row>
    <row r="534" spans="1:3" x14ac:dyDescent="0.45">
      <c r="A534" s="2">
        <v>41791</v>
      </c>
      <c r="B534" s="3">
        <v>82.5</v>
      </c>
      <c r="C534" s="4">
        <v>0.59999999999999432</v>
      </c>
    </row>
    <row r="535" spans="1:3" x14ac:dyDescent="0.45">
      <c r="A535" s="2">
        <v>41821</v>
      </c>
      <c r="B535" s="3">
        <v>81.8</v>
      </c>
      <c r="C535" s="4">
        <v>-0.70000000000000284</v>
      </c>
    </row>
    <row r="536" spans="1:3" x14ac:dyDescent="0.45">
      <c r="A536" s="2">
        <v>41852</v>
      </c>
      <c r="B536" s="3">
        <v>82.5</v>
      </c>
      <c r="C536" s="4">
        <v>0.70000000000000284</v>
      </c>
    </row>
    <row r="537" spans="1:3" x14ac:dyDescent="0.45">
      <c r="A537" s="2">
        <v>41883</v>
      </c>
      <c r="B537" s="3">
        <v>84.6</v>
      </c>
      <c r="C537" s="4">
        <v>2.0999999999999943</v>
      </c>
    </row>
    <row r="538" spans="1:3" x14ac:dyDescent="0.45">
      <c r="A538" s="2">
        <v>41913</v>
      </c>
      <c r="B538" s="3">
        <v>86.9</v>
      </c>
      <c r="C538" s="4">
        <v>2.3000000000000114</v>
      </c>
    </row>
    <row r="539" spans="1:3" x14ac:dyDescent="0.45">
      <c r="A539" s="2">
        <v>41944</v>
      </c>
      <c r="B539" s="3">
        <v>88.8</v>
      </c>
      <c r="C539" s="4">
        <v>1.8999999999999915</v>
      </c>
    </row>
    <row r="540" spans="1:3" x14ac:dyDescent="0.45">
      <c r="A540" s="2">
        <v>41974</v>
      </c>
      <c r="B540" s="3">
        <v>93.6</v>
      </c>
      <c r="C540" s="4">
        <v>4.7999999999999972</v>
      </c>
    </row>
    <row r="541" spans="1:3" x14ac:dyDescent="0.45">
      <c r="A541" s="2">
        <v>42005</v>
      </c>
      <c r="B541" s="3">
        <v>98.1</v>
      </c>
      <c r="C541" s="4">
        <v>4.5</v>
      </c>
    </row>
    <row r="542" spans="1:3" x14ac:dyDescent="0.45">
      <c r="A542" s="2">
        <v>42036</v>
      </c>
      <c r="B542" s="3">
        <v>95.4</v>
      </c>
      <c r="C542" s="4">
        <v>-2.6999999999999886</v>
      </c>
    </row>
    <row r="543" spans="1:3" x14ac:dyDescent="0.45">
      <c r="A543" s="2">
        <v>42064</v>
      </c>
      <c r="B543" s="3">
        <v>93</v>
      </c>
      <c r="C543" s="4">
        <v>-2.4000000000000057</v>
      </c>
    </row>
    <row r="544" spans="1:3" x14ac:dyDescent="0.45">
      <c r="A544" s="2">
        <v>42095</v>
      </c>
      <c r="B544" s="3">
        <v>95.9</v>
      </c>
      <c r="C544" s="4">
        <v>2.9000000000000057</v>
      </c>
    </row>
    <row r="545" spans="1:3" x14ac:dyDescent="0.45">
      <c r="A545" s="2">
        <v>42125</v>
      </c>
      <c r="B545" s="3">
        <v>90.7</v>
      </c>
      <c r="C545" s="4">
        <v>-5.2000000000000028</v>
      </c>
    </row>
    <row r="546" spans="1:3" x14ac:dyDescent="0.45">
      <c r="A546" s="2">
        <v>42156</v>
      </c>
      <c r="B546" s="3">
        <v>96.1</v>
      </c>
      <c r="C546" s="4">
        <v>5.3999999999999915</v>
      </c>
    </row>
    <row r="547" spans="1:3" x14ac:dyDescent="0.45">
      <c r="A547" s="2">
        <v>42186</v>
      </c>
      <c r="B547" s="3">
        <v>93.1</v>
      </c>
      <c r="C547" s="4">
        <v>-3</v>
      </c>
    </row>
    <row r="548" spans="1:3" x14ac:dyDescent="0.45">
      <c r="A548" s="2">
        <v>42217</v>
      </c>
      <c r="B548" s="3">
        <v>91.9</v>
      </c>
      <c r="C548" s="4">
        <v>-1.1999999999999886</v>
      </c>
    </row>
    <row r="549" spans="1:3" x14ac:dyDescent="0.45">
      <c r="A549" s="2">
        <v>42248</v>
      </c>
      <c r="B549" s="3">
        <v>87.2</v>
      </c>
      <c r="C549" s="4">
        <v>-4.7000000000000028</v>
      </c>
    </row>
    <row r="550" spans="1:3" x14ac:dyDescent="0.45">
      <c r="A550" s="2">
        <v>42278</v>
      </c>
      <c r="B550" s="3">
        <v>90</v>
      </c>
      <c r="C550" s="4">
        <v>2.7999999999999972</v>
      </c>
    </row>
    <row r="551" spans="1:3" x14ac:dyDescent="0.45">
      <c r="A551" s="2">
        <v>42309</v>
      </c>
      <c r="B551" s="3">
        <v>91.3</v>
      </c>
      <c r="C551" s="4">
        <v>1.2999999999999972</v>
      </c>
    </row>
    <row r="552" spans="1:3" x14ac:dyDescent="0.45">
      <c r="A552" s="2">
        <v>42339</v>
      </c>
      <c r="B552" s="3">
        <v>92.6</v>
      </c>
      <c r="C552" s="4">
        <v>1.2999999999999972</v>
      </c>
    </row>
    <row r="553" spans="1:3" x14ac:dyDescent="0.45">
      <c r="A553" s="2">
        <v>42370</v>
      </c>
      <c r="B553" s="3">
        <v>92</v>
      </c>
      <c r="C553" s="4">
        <v>-0.59999999999999432</v>
      </c>
    </row>
    <row r="554" spans="1:3" x14ac:dyDescent="0.45">
      <c r="A554" s="2">
        <v>42401</v>
      </c>
      <c r="B554" s="3">
        <v>91.7</v>
      </c>
      <c r="C554" s="4">
        <v>-0.29999999999999716</v>
      </c>
    </row>
    <row r="555" spans="1:3" x14ac:dyDescent="0.45">
      <c r="A555" s="2">
        <v>42430</v>
      </c>
      <c r="B555" s="3">
        <v>91</v>
      </c>
      <c r="C555" s="4">
        <v>-0.70000000000000284</v>
      </c>
    </row>
    <row r="556" spans="1:3" x14ac:dyDescent="0.45">
      <c r="A556" s="2">
        <v>42461</v>
      </c>
      <c r="B556" s="3">
        <v>89</v>
      </c>
      <c r="C556" s="4">
        <v>-2</v>
      </c>
    </row>
    <row r="557" spans="1:3" x14ac:dyDescent="0.45">
      <c r="A557" s="2">
        <v>42491</v>
      </c>
      <c r="B557" s="3">
        <v>94.7</v>
      </c>
      <c r="C557" s="4">
        <v>5.7000000000000028</v>
      </c>
    </row>
    <row r="558" spans="1:3" x14ac:dyDescent="0.45">
      <c r="A558" s="2">
        <v>42522</v>
      </c>
      <c r="B558" s="3">
        <v>93.5</v>
      </c>
      <c r="C558" s="4">
        <v>-1.2000000000000028</v>
      </c>
    </row>
    <row r="559" spans="1:3" x14ac:dyDescent="0.45">
      <c r="A559" s="2">
        <v>42552</v>
      </c>
      <c r="B559" s="3">
        <v>90</v>
      </c>
      <c r="C559" s="4">
        <v>-3.5</v>
      </c>
    </row>
    <row r="560" spans="1:3" x14ac:dyDescent="0.45">
      <c r="A560" s="2">
        <v>42583</v>
      </c>
      <c r="B560" s="3">
        <v>89.8</v>
      </c>
      <c r="C560" s="4">
        <v>-0.20000000000000284</v>
      </c>
    </row>
    <row r="561" spans="1:3" x14ac:dyDescent="0.45">
      <c r="A561" s="2">
        <v>42614</v>
      </c>
      <c r="B561" s="3">
        <v>91.2</v>
      </c>
      <c r="C561" s="4">
        <v>1.4000000000000057</v>
      </c>
    </row>
    <row r="562" spans="1:3" x14ac:dyDescent="0.45">
      <c r="A562" s="2">
        <v>42644</v>
      </c>
      <c r="B562" s="3">
        <v>87.2</v>
      </c>
      <c r="C562" s="4">
        <v>-4</v>
      </c>
    </row>
    <row r="563" spans="1:3" x14ac:dyDescent="0.45">
      <c r="A563" s="2">
        <v>42675</v>
      </c>
      <c r="B563" s="3">
        <v>93.8</v>
      </c>
      <c r="C563" s="4">
        <v>6.5999999999999943</v>
      </c>
    </row>
    <row r="564" spans="1:3" x14ac:dyDescent="0.45">
      <c r="A564" s="2">
        <v>42705</v>
      </c>
      <c r="B564" s="3">
        <v>98.2</v>
      </c>
      <c r="C564" s="4">
        <v>4.4000000000000057</v>
      </c>
    </row>
    <row r="565" spans="1:3" x14ac:dyDescent="0.45">
      <c r="A565" s="2">
        <v>42736</v>
      </c>
      <c r="B565" s="3">
        <v>98.5</v>
      </c>
      <c r="C565" s="4">
        <v>0.29999999999999716</v>
      </c>
    </row>
    <row r="566" spans="1:3" x14ac:dyDescent="0.45">
      <c r="A566" s="2">
        <v>42767</v>
      </c>
      <c r="B566" s="3">
        <v>96.3</v>
      </c>
      <c r="C566" s="4">
        <v>-2.2000000000000028</v>
      </c>
    </row>
    <row r="567" spans="1:3" x14ac:dyDescent="0.45">
      <c r="A567" s="2">
        <v>42795</v>
      </c>
      <c r="B567" s="3">
        <v>96.9</v>
      </c>
      <c r="C567" s="4">
        <v>0.60000000000000853</v>
      </c>
    </row>
    <row r="568" spans="1:3" x14ac:dyDescent="0.45">
      <c r="A568" s="2">
        <v>42826</v>
      </c>
      <c r="B568" s="3">
        <v>97</v>
      </c>
      <c r="C568" s="4">
        <v>9.9999999999994316E-2</v>
      </c>
    </row>
    <row r="569" spans="1:3" x14ac:dyDescent="0.45">
      <c r="A569" s="2">
        <v>42856</v>
      </c>
      <c r="B569" s="3">
        <v>97.1</v>
      </c>
      <c r="C569" s="4">
        <v>9.9999999999994316E-2</v>
      </c>
    </row>
    <row r="570" spans="1:3" x14ac:dyDescent="0.45">
      <c r="A570" s="2">
        <v>42887</v>
      </c>
      <c r="B570" s="3">
        <v>95</v>
      </c>
      <c r="C570" s="4">
        <v>-2.0999999999999943</v>
      </c>
    </row>
    <row r="571" spans="1:3" x14ac:dyDescent="0.45">
      <c r="A571" s="2">
        <v>42917</v>
      </c>
      <c r="B571" s="3">
        <v>93.4</v>
      </c>
      <c r="C571" s="4">
        <v>-1.5999999999999943</v>
      </c>
    </row>
    <row r="572" spans="1:3" x14ac:dyDescent="0.45">
      <c r="A572" s="2">
        <v>42948</v>
      </c>
      <c r="B572" s="3">
        <v>96.8</v>
      </c>
      <c r="C572" s="4">
        <v>3.3999999999999915</v>
      </c>
    </row>
    <row r="573" spans="1:3" x14ac:dyDescent="0.45">
      <c r="A573" s="2">
        <v>42979</v>
      </c>
      <c r="B573" s="3">
        <v>95.1</v>
      </c>
      <c r="C573" s="4">
        <v>-1.7000000000000028</v>
      </c>
    </row>
    <row r="574" spans="1:3" x14ac:dyDescent="0.45">
      <c r="A574" s="2">
        <v>43009</v>
      </c>
      <c r="B574" s="3">
        <v>100.7</v>
      </c>
      <c r="C574" s="4">
        <v>5.6000000000000085</v>
      </c>
    </row>
    <row r="575" spans="1:3" x14ac:dyDescent="0.45">
      <c r="A575" s="2">
        <v>43040</v>
      </c>
      <c r="B575" s="3">
        <v>98.5</v>
      </c>
      <c r="C575" s="4">
        <v>-2.2000000000000028</v>
      </c>
    </row>
    <row r="576" spans="1:3" x14ac:dyDescent="0.45">
      <c r="A576" s="2">
        <v>43070</v>
      </c>
      <c r="B576" s="3">
        <v>95.9</v>
      </c>
      <c r="C576" s="4">
        <v>-2.5999999999999943</v>
      </c>
    </row>
    <row r="577" spans="1:3" x14ac:dyDescent="0.45">
      <c r="A577" s="2">
        <v>43101</v>
      </c>
      <c r="B577" s="3">
        <v>95.7</v>
      </c>
      <c r="C577" s="4">
        <v>-0.20000000000000284</v>
      </c>
    </row>
    <row r="578" spans="1:3" x14ac:dyDescent="0.45">
      <c r="A578" s="2">
        <v>43132</v>
      </c>
      <c r="B578" s="3">
        <v>99.7</v>
      </c>
      <c r="C578" s="4">
        <v>4</v>
      </c>
    </row>
    <row r="579" spans="1:3" x14ac:dyDescent="0.45">
      <c r="A579" s="2">
        <v>43160</v>
      </c>
      <c r="B579" s="3">
        <v>101.4</v>
      </c>
      <c r="C579" s="4">
        <v>1.7000000000000028</v>
      </c>
    </row>
    <row r="580" spans="1:3" x14ac:dyDescent="0.45">
      <c r="A580" s="2">
        <v>43191</v>
      </c>
      <c r="B580" s="3">
        <v>98.8</v>
      </c>
      <c r="C580" s="4">
        <v>-2.6000000000000085</v>
      </c>
    </row>
    <row r="581" spans="1:3" x14ac:dyDescent="0.45">
      <c r="A581" s="2">
        <v>43221</v>
      </c>
      <c r="B581" s="3">
        <v>98</v>
      </c>
      <c r="C581" s="4">
        <v>-0.79999999999999716</v>
      </c>
    </row>
    <row r="582" spans="1:3" x14ac:dyDescent="0.45">
      <c r="A582" s="2">
        <v>43252</v>
      </c>
      <c r="B582" s="3">
        <v>98.2</v>
      </c>
      <c r="C582" s="4">
        <v>0.20000000000000284</v>
      </c>
    </row>
    <row r="583" spans="1:3" x14ac:dyDescent="0.45">
      <c r="A583" s="2">
        <v>43282</v>
      </c>
      <c r="B583" s="3">
        <v>97.9</v>
      </c>
      <c r="C583" s="4">
        <v>-0.29999999999999716</v>
      </c>
    </row>
    <row r="584" spans="1:3" x14ac:dyDescent="0.45">
      <c r="A584" s="2">
        <v>43313</v>
      </c>
      <c r="B584" s="3">
        <v>96.2</v>
      </c>
      <c r="C584" s="4">
        <v>-1.7000000000000028</v>
      </c>
    </row>
    <row r="585" spans="1:3" x14ac:dyDescent="0.45">
      <c r="A585" s="2">
        <v>43344</v>
      </c>
      <c r="B585" s="3">
        <v>100.1</v>
      </c>
      <c r="C585" s="4">
        <v>3.8999999999999915</v>
      </c>
    </row>
    <row r="586" spans="1:3" x14ac:dyDescent="0.45">
      <c r="A586" s="2">
        <v>43374</v>
      </c>
      <c r="B586" s="3">
        <v>98.6</v>
      </c>
      <c r="C586" s="4">
        <v>-1.5</v>
      </c>
    </row>
    <row r="587" spans="1:3" x14ac:dyDescent="0.45">
      <c r="A587" s="2">
        <v>43405</v>
      </c>
      <c r="B587" s="3">
        <v>97.5</v>
      </c>
      <c r="C587" s="4">
        <v>-1.0999999999999943</v>
      </c>
    </row>
    <row r="588" spans="1:3" x14ac:dyDescent="0.45">
      <c r="A588" s="2">
        <v>43435</v>
      </c>
      <c r="B588" s="3">
        <v>98.3</v>
      </c>
      <c r="C588" s="4">
        <v>0.79999999999999716</v>
      </c>
    </row>
    <row r="589" spans="1:3" x14ac:dyDescent="0.45">
      <c r="A589" s="2">
        <v>43466</v>
      </c>
      <c r="B589" s="3">
        <v>91.2</v>
      </c>
      <c r="C589" s="4">
        <v>-7.0999999999999943</v>
      </c>
    </row>
    <row r="590" spans="1:3" x14ac:dyDescent="0.45">
      <c r="A590" s="2">
        <v>43497</v>
      </c>
      <c r="B590" s="3">
        <v>93.8</v>
      </c>
      <c r="C590" s="4">
        <v>2.5999999999999943</v>
      </c>
    </row>
    <row r="591" spans="1:3" x14ac:dyDescent="0.45">
      <c r="A591" s="2">
        <v>43525</v>
      </c>
      <c r="B591" s="3">
        <v>98.4</v>
      </c>
      <c r="C591" s="4">
        <v>4.6000000000000085</v>
      </c>
    </row>
    <row r="592" spans="1:3" x14ac:dyDescent="0.45">
      <c r="A592" s="2">
        <v>43556</v>
      </c>
      <c r="B592" s="3">
        <v>97.2</v>
      </c>
      <c r="C592" s="4">
        <v>-1.2000000000000028</v>
      </c>
    </row>
    <row r="593" spans="1:3" x14ac:dyDescent="0.45">
      <c r="A593" s="2">
        <v>43586</v>
      </c>
      <c r="B593" s="3">
        <v>100</v>
      </c>
      <c r="C593" s="4">
        <v>2.7999999999999972</v>
      </c>
    </row>
    <row r="594" spans="1:3" x14ac:dyDescent="0.45">
      <c r="A594" s="2">
        <v>43617</v>
      </c>
      <c r="B594" s="3">
        <v>98.2</v>
      </c>
      <c r="C594" s="4">
        <v>-1.7999999999999972</v>
      </c>
    </row>
    <row r="595" spans="1:3" x14ac:dyDescent="0.45">
      <c r="A595" s="2">
        <v>43647</v>
      </c>
      <c r="B595" s="3">
        <v>98.4</v>
      </c>
      <c r="C595" s="4">
        <v>0.20000000000000284</v>
      </c>
    </row>
    <row r="596" spans="1:3" x14ac:dyDescent="0.45">
      <c r="A596" s="2">
        <v>43678</v>
      </c>
      <c r="B596" s="3">
        <v>89.8</v>
      </c>
      <c r="C596" s="4">
        <v>-8.6000000000000085</v>
      </c>
    </row>
    <row r="597" spans="1:3" x14ac:dyDescent="0.45">
      <c r="A597" s="2">
        <v>43709</v>
      </c>
      <c r="B597" s="3">
        <v>93.2</v>
      </c>
      <c r="C597" s="4">
        <v>3.4000000000000057</v>
      </c>
    </row>
    <row r="598" spans="1:3" x14ac:dyDescent="0.45">
      <c r="A598" s="2">
        <v>43739</v>
      </c>
      <c r="B598" s="3">
        <v>95.5</v>
      </c>
      <c r="C598" s="4">
        <v>2.2999999999999972</v>
      </c>
    </row>
    <row r="599" spans="1:3" x14ac:dyDescent="0.45">
      <c r="A599" s="2">
        <v>43770</v>
      </c>
      <c r="B599" s="3">
        <v>96.8</v>
      </c>
      <c r="C599" s="4">
        <v>1.2999999999999972</v>
      </c>
    </row>
    <row r="600" spans="1:3" x14ac:dyDescent="0.45">
      <c r="A600" s="2">
        <v>43800</v>
      </c>
      <c r="B600" s="3">
        <v>99.3</v>
      </c>
      <c r="C600" s="4">
        <v>2.5</v>
      </c>
    </row>
    <row r="601" spans="1:3" x14ac:dyDescent="0.45">
      <c r="A601" s="2">
        <v>43831</v>
      </c>
      <c r="B601" s="3">
        <v>99.8</v>
      </c>
      <c r="C601" s="4">
        <v>0.5</v>
      </c>
    </row>
    <row r="602" spans="1:3" x14ac:dyDescent="0.45">
      <c r="A602" s="2">
        <v>43862</v>
      </c>
      <c r="B602" s="3">
        <v>101</v>
      </c>
      <c r="C602" s="4">
        <v>1.2000000000000028</v>
      </c>
    </row>
    <row r="603" spans="1:3" x14ac:dyDescent="0.45">
      <c r="A603" s="2">
        <v>43891</v>
      </c>
      <c r="B603" s="3">
        <v>89.1</v>
      </c>
      <c r="C603" s="4">
        <v>-11.900000000000006</v>
      </c>
    </row>
    <row r="604" spans="1:3" x14ac:dyDescent="0.45">
      <c r="A604" s="2">
        <v>43922</v>
      </c>
      <c r="B604" s="3">
        <v>71.8</v>
      </c>
      <c r="C604" s="4">
        <v>-17.299999999999997</v>
      </c>
    </row>
    <row r="605" spans="1:3" x14ac:dyDescent="0.45">
      <c r="A605" s="2">
        <v>43952</v>
      </c>
      <c r="B605" s="3">
        <v>72.3</v>
      </c>
      <c r="C605" s="4">
        <v>0.5</v>
      </c>
    </row>
    <row r="606" spans="1:3" x14ac:dyDescent="0.45">
      <c r="A606" s="2">
        <v>43983</v>
      </c>
      <c r="B606" s="3">
        <v>78.099999999999994</v>
      </c>
      <c r="C606" s="4">
        <v>5.7999999999999972</v>
      </c>
    </row>
    <row r="607" spans="1:3" x14ac:dyDescent="0.45">
      <c r="A607" s="2">
        <v>44013</v>
      </c>
      <c r="B607" s="3">
        <v>72.5</v>
      </c>
      <c r="C607" s="4">
        <v>-5.5999999999999943</v>
      </c>
    </row>
    <row r="608" spans="1:3" x14ac:dyDescent="0.45">
      <c r="A608" s="2">
        <v>44044</v>
      </c>
      <c r="B608" s="3">
        <v>74.099999999999994</v>
      </c>
      <c r="C608" s="4">
        <v>1.5999999999999943</v>
      </c>
    </row>
    <row r="609" spans="1:3" x14ac:dyDescent="0.45">
      <c r="A609" s="2">
        <v>44075</v>
      </c>
      <c r="B609" s="3">
        <v>80.400000000000006</v>
      </c>
      <c r="C609" s="4">
        <v>6.3000000000000114</v>
      </c>
    </row>
    <row r="610" spans="1:3" x14ac:dyDescent="0.45">
      <c r="A610" s="2">
        <v>44105</v>
      </c>
      <c r="B610" s="3">
        <v>81.8</v>
      </c>
      <c r="C610" s="4">
        <v>1.3999999999999915</v>
      </c>
    </row>
    <row r="611" spans="1:3" x14ac:dyDescent="0.45">
      <c r="A611" s="2">
        <v>44136</v>
      </c>
      <c r="B611" s="3">
        <v>76.900000000000006</v>
      </c>
      <c r="C611" s="4">
        <v>-4.8999999999999915</v>
      </c>
    </row>
    <row r="612" spans="1:3" x14ac:dyDescent="0.45">
      <c r="A612" s="2">
        <v>44166</v>
      </c>
      <c r="B612" s="3">
        <v>80.7</v>
      </c>
      <c r="C612" s="4">
        <v>3.7999999999999972</v>
      </c>
    </row>
    <row r="613" spans="1:3" x14ac:dyDescent="0.45">
      <c r="A613" s="2">
        <v>44197</v>
      </c>
      <c r="B613" s="3">
        <v>79</v>
      </c>
      <c r="C613" s="4">
        <v>-1.7000000000000028</v>
      </c>
    </row>
    <row r="614" spans="1:3" x14ac:dyDescent="0.45">
      <c r="A614" s="2">
        <v>44228</v>
      </c>
      <c r="B614" s="3">
        <v>76.8</v>
      </c>
      <c r="C614" s="4">
        <v>-2.2000000000000028</v>
      </c>
    </row>
    <row r="615" spans="1:3" x14ac:dyDescent="0.45">
      <c r="A615" s="2">
        <v>44256</v>
      </c>
      <c r="B615" s="3">
        <v>84.9</v>
      </c>
      <c r="C615" s="4">
        <v>8.1000000000000085</v>
      </c>
    </row>
    <row r="616" spans="1:3" x14ac:dyDescent="0.45">
      <c r="A616" s="2">
        <v>44287</v>
      </c>
      <c r="B616" s="3">
        <v>88.3</v>
      </c>
      <c r="C616" s="4">
        <v>3.3999999999999915</v>
      </c>
    </row>
    <row r="617" spans="1:3" x14ac:dyDescent="0.45">
      <c r="A617" s="2">
        <v>44317</v>
      </c>
      <c r="B617" s="3">
        <v>82.9</v>
      </c>
      <c r="C617" s="4">
        <v>-5.3999999999999915</v>
      </c>
    </row>
    <row r="618" spans="1:3" x14ac:dyDescent="0.45">
      <c r="A618" s="2">
        <v>44348</v>
      </c>
      <c r="B618" s="3">
        <v>85.5</v>
      </c>
      <c r="C618" s="4">
        <v>2.5999999999999943</v>
      </c>
    </row>
    <row r="619" spans="1:3" x14ac:dyDescent="0.45">
      <c r="A619" s="2">
        <v>44378</v>
      </c>
      <c r="B619" s="3">
        <v>81.2</v>
      </c>
      <c r="C619" s="4">
        <v>-4.2999999999999972</v>
      </c>
    </row>
    <row r="620" spans="1:3" x14ac:dyDescent="0.45">
      <c r="A620" s="2">
        <v>44409</v>
      </c>
      <c r="B620" s="3">
        <v>70.3</v>
      </c>
      <c r="C620" s="4">
        <v>-10.900000000000006</v>
      </c>
    </row>
    <row r="621" spans="1:3" x14ac:dyDescent="0.45">
      <c r="A621" s="2">
        <v>44440</v>
      </c>
      <c r="B621" s="3">
        <v>72.8</v>
      </c>
      <c r="C621" s="4">
        <v>2.5</v>
      </c>
    </row>
    <row r="622" spans="1:3" x14ac:dyDescent="0.45">
      <c r="A622" s="2">
        <v>44470</v>
      </c>
      <c r="B622" s="3">
        <v>71.7</v>
      </c>
      <c r="C622" s="4">
        <v>-1.0999999999999943</v>
      </c>
    </row>
    <row r="623" spans="1:3" x14ac:dyDescent="0.45">
      <c r="A623" s="2">
        <v>44501</v>
      </c>
      <c r="B623" s="3">
        <v>67.400000000000006</v>
      </c>
      <c r="C623" s="4">
        <v>-4.2999999999999972</v>
      </c>
    </row>
    <row r="624" spans="1:3" x14ac:dyDescent="0.45">
      <c r="A624" s="2">
        <v>44531</v>
      </c>
      <c r="B624" s="3">
        <v>70.599999999999994</v>
      </c>
      <c r="C624" s="4">
        <v>3.1999999999999886</v>
      </c>
    </row>
    <row r="625" spans="1:3" x14ac:dyDescent="0.45">
      <c r="A625" s="2">
        <v>44562</v>
      </c>
      <c r="B625" s="3">
        <v>67.2</v>
      </c>
      <c r="C625" s="4">
        <v>-3.3999999999999915</v>
      </c>
    </row>
    <row r="626" spans="1:3" x14ac:dyDescent="0.45">
      <c r="A626" s="2">
        <v>44593</v>
      </c>
      <c r="B626" s="3">
        <v>62.8</v>
      </c>
      <c r="C626" s="4">
        <v>-4.4000000000000057</v>
      </c>
    </row>
    <row r="627" spans="1:3" x14ac:dyDescent="0.45">
      <c r="A627" s="2">
        <v>44621</v>
      </c>
      <c r="B627" s="3">
        <v>59.4</v>
      </c>
      <c r="C627" s="4">
        <v>-3.3999999999999986</v>
      </c>
    </row>
    <row r="628" spans="1:3" x14ac:dyDescent="0.45">
      <c r="A628" s="2">
        <v>44652</v>
      </c>
      <c r="B628" s="3">
        <v>65.2</v>
      </c>
      <c r="C628" s="4">
        <v>5.8000000000000043</v>
      </c>
    </row>
    <row r="629" spans="1:3" x14ac:dyDescent="0.45">
      <c r="A629" s="2">
        <v>44682</v>
      </c>
      <c r="B629" s="3">
        <v>58.4</v>
      </c>
      <c r="C629" s="4">
        <v>-6.8000000000000043</v>
      </c>
    </row>
    <row r="630" spans="1:3" x14ac:dyDescent="0.45">
      <c r="A630" s="2">
        <v>44713</v>
      </c>
      <c r="B630" s="3">
        <v>50</v>
      </c>
      <c r="C630" s="4">
        <v>-8.3999999999999986</v>
      </c>
    </row>
    <row r="631" spans="1:3" x14ac:dyDescent="0.45">
      <c r="A631" s="2">
        <v>44743</v>
      </c>
      <c r="B631" s="3">
        <v>51.5</v>
      </c>
      <c r="C631" s="4">
        <v>1.5</v>
      </c>
    </row>
    <row r="632" spans="1:3" x14ac:dyDescent="0.45">
      <c r="A632" s="2">
        <v>44774</v>
      </c>
      <c r="B632" s="3">
        <v>58.2</v>
      </c>
      <c r="C632" s="4">
        <v>6.7000000000000028</v>
      </c>
    </row>
    <row r="633" spans="1:3" x14ac:dyDescent="0.45">
      <c r="A633" s="2">
        <v>44805</v>
      </c>
      <c r="B633" s="3">
        <v>58.6</v>
      </c>
      <c r="C633" s="4">
        <v>0.39999999999999858</v>
      </c>
    </row>
    <row r="634" spans="1:3" x14ac:dyDescent="0.45">
      <c r="A634" s="2">
        <v>44835</v>
      </c>
      <c r="B634" s="3">
        <v>59.9</v>
      </c>
      <c r="C634" s="4">
        <v>1.2999999999999972</v>
      </c>
    </row>
    <row r="635" spans="1:3" x14ac:dyDescent="0.45">
      <c r="A635" s="2">
        <v>44866</v>
      </c>
      <c r="B635" s="3">
        <v>56.7</v>
      </c>
      <c r="C635" s="4">
        <v>-3.1999999999999957</v>
      </c>
    </row>
    <row r="636" spans="1:3" x14ac:dyDescent="0.45">
      <c r="A636" s="2">
        <v>44896</v>
      </c>
      <c r="B636" s="3">
        <v>59.8</v>
      </c>
      <c r="C636" s="4">
        <v>3.0999999999999943</v>
      </c>
    </row>
    <row r="637" spans="1:3" x14ac:dyDescent="0.45">
      <c r="A637" s="2">
        <v>44927</v>
      </c>
      <c r="B637" s="3">
        <v>64.900000000000006</v>
      </c>
      <c r="C637" s="4">
        <v>5.1000000000000085</v>
      </c>
    </row>
    <row r="638" spans="1:3" x14ac:dyDescent="0.45">
      <c r="A638" s="2">
        <v>44958</v>
      </c>
      <c r="B638" s="3">
        <v>66.900000000000006</v>
      </c>
      <c r="C638" s="4">
        <v>2</v>
      </c>
    </row>
    <row r="639" spans="1:3" x14ac:dyDescent="0.45">
      <c r="A639" s="2">
        <v>44986</v>
      </c>
      <c r="B639" s="3">
        <v>62</v>
      </c>
      <c r="C639" s="4">
        <v>-4.9000000000000057</v>
      </c>
    </row>
    <row r="640" spans="1:3" x14ac:dyDescent="0.45">
      <c r="A640" s="2">
        <v>45017</v>
      </c>
      <c r="B640" s="3">
        <v>63.7</v>
      </c>
      <c r="C640" s="4">
        <v>1.7000000000000028</v>
      </c>
    </row>
    <row r="641" spans="1:3" x14ac:dyDescent="0.45">
      <c r="A641" s="2">
        <v>45047</v>
      </c>
      <c r="B641" s="3">
        <v>59</v>
      </c>
      <c r="C641" s="4">
        <v>-4.7000000000000028</v>
      </c>
    </row>
    <row r="642" spans="1:3" x14ac:dyDescent="0.45">
      <c r="A642" s="2">
        <v>45078</v>
      </c>
      <c r="B642" s="3">
        <v>64.2</v>
      </c>
      <c r="C642" s="4">
        <v>5.2000000000000028</v>
      </c>
    </row>
    <row r="643" spans="1:3" x14ac:dyDescent="0.45">
      <c r="A643" s="2">
        <v>45108</v>
      </c>
      <c r="B643" s="3">
        <v>71.5</v>
      </c>
      <c r="C643" s="4">
        <v>7.2999999999999972</v>
      </c>
    </row>
    <row r="644" spans="1:3" x14ac:dyDescent="0.45">
      <c r="A644" s="2">
        <v>45139</v>
      </c>
      <c r="B644" s="3">
        <v>69.400000000000006</v>
      </c>
      <c r="C644" s="4">
        <v>-2.0999999999999943</v>
      </c>
    </row>
    <row r="645" spans="1:3" x14ac:dyDescent="0.45">
      <c r="A645" s="2">
        <v>45170</v>
      </c>
      <c r="B645" s="3">
        <v>67.8</v>
      </c>
      <c r="C645" s="4">
        <v>-1.6000000000000085</v>
      </c>
    </row>
    <row r="646" spans="1:3" x14ac:dyDescent="0.45">
      <c r="A646" s="2">
        <v>45200</v>
      </c>
      <c r="B646" s="3">
        <v>63.8</v>
      </c>
      <c r="C646" s="4">
        <v>-4</v>
      </c>
    </row>
    <row r="647" spans="1:3" x14ac:dyDescent="0.45">
      <c r="A647" s="2">
        <v>45231</v>
      </c>
      <c r="B647" s="3">
        <v>61.3</v>
      </c>
      <c r="C647" s="4">
        <v>-2.5</v>
      </c>
    </row>
    <row r="648" spans="1:3" x14ac:dyDescent="0.45">
      <c r="A648" s="2">
        <v>45261</v>
      </c>
      <c r="B648" s="3">
        <v>69.7</v>
      </c>
      <c r="C648" s="4">
        <v>8.4000000000000057</v>
      </c>
    </row>
    <row r="649" spans="1:3" x14ac:dyDescent="0.45">
      <c r="A649" s="2">
        <v>45292</v>
      </c>
      <c r="B649" s="3">
        <v>79</v>
      </c>
      <c r="C649" s="4">
        <v>9.2999999999999972</v>
      </c>
    </row>
    <row r="650" spans="1:3" x14ac:dyDescent="0.45">
      <c r="A650" s="2">
        <v>45323</v>
      </c>
      <c r="B650" s="3">
        <v>76.900000000000006</v>
      </c>
      <c r="C650" s="4">
        <v>-2.0999999999999943</v>
      </c>
    </row>
    <row r="651" spans="1:3" x14ac:dyDescent="0.45">
      <c r="A651" s="2">
        <v>45352</v>
      </c>
      <c r="B651" s="3">
        <v>79.400000000000006</v>
      </c>
      <c r="C651" s="4">
        <v>2.5</v>
      </c>
    </row>
    <row r="652" spans="1:3" x14ac:dyDescent="0.45">
      <c r="A652" s="2">
        <v>45383</v>
      </c>
      <c r="B652" s="3">
        <v>77.2</v>
      </c>
      <c r="C652" s="4">
        <v>-2.2000000000000028</v>
      </c>
    </row>
    <row r="653" spans="1:3" x14ac:dyDescent="0.45">
      <c r="A653" s="2">
        <v>45413</v>
      </c>
      <c r="B653" s="3">
        <v>69.099999999999994</v>
      </c>
      <c r="C653" s="4">
        <v>-8.1000000000000085</v>
      </c>
    </row>
    <row r="654" spans="1:3" x14ac:dyDescent="0.45">
      <c r="A654" s="2">
        <v>45444</v>
      </c>
      <c r="B654" s="3">
        <v>68.2</v>
      </c>
      <c r="C654" s="4">
        <v>-0.89999999999999147</v>
      </c>
    </row>
    <row r="655" spans="1:3" x14ac:dyDescent="0.45">
      <c r="A655" s="2">
        <v>45474</v>
      </c>
      <c r="B655" s="3">
        <v>66.400000000000006</v>
      </c>
      <c r="C655" s="4">
        <v>-1.7999999999999972</v>
      </c>
    </row>
    <row r="656" spans="1:3" x14ac:dyDescent="0.45">
      <c r="A656" s="2">
        <v>45505</v>
      </c>
      <c r="B656" s="3">
        <v>67.900000000000006</v>
      </c>
      <c r="C656" s="4">
        <v>1.5</v>
      </c>
    </row>
    <row r="657" spans="1:3" x14ac:dyDescent="0.45">
      <c r="A657" s="2">
        <v>45536</v>
      </c>
      <c r="B657" s="3">
        <v>70.099999999999994</v>
      </c>
      <c r="C657" s="4">
        <v>2.1999999999999886</v>
      </c>
    </row>
    <row r="658" spans="1:3" x14ac:dyDescent="0.45">
      <c r="A658" s="2">
        <v>45566</v>
      </c>
      <c r="B658" s="3">
        <v>70.5</v>
      </c>
      <c r="C658" s="4">
        <v>0.40000000000000568</v>
      </c>
    </row>
    <row r="659" spans="1:3" x14ac:dyDescent="0.45">
      <c r="A659" s="2">
        <v>45597</v>
      </c>
      <c r="B659" s="3">
        <v>71.8</v>
      </c>
      <c r="C659" s="4">
        <v>1.2999999999999972</v>
      </c>
    </row>
    <row r="660" spans="1:3" x14ac:dyDescent="0.45">
      <c r="A660" s="2">
        <v>45627</v>
      </c>
      <c r="B660" s="3">
        <v>74</v>
      </c>
      <c r="C660" s="4">
        <v>2.2000000000000028</v>
      </c>
    </row>
    <row r="661" spans="1:3" x14ac:dyDescent="0.45">
      <c r="A661" s="2">
        <v>45658</v>
      </c>
      <c r="B661" s="3">
        <v>71.7</v>
      </c>
      <c r="C661" s="4">
        <v>-2.2999999999999972</v>
      </c>
    </row>
    <row r="662" spans="1:3" x14ac:dyDescent="0.45">
      <c r="A662" s="2">
        <v>45689</v>
      </c>
      <c r="B662" s="3">
        <v>64.7</v>
      </c>
      <c r="C662" s="4">
        <v>-7</v>
      </c>
    </row>
    <row r="663" spans="1:3" x14ac:dyDescent="0.45">
      <c r="A663" s="2">
        <v>45717</v>
      </c>
      <c r="B663" s="3">
        <v>57</v>
      </c>
      <c r="C663" s="4">
        <v>-7.7000000000000028</v>
      </c>
    </row>
    <row r="664" spans="1:3" x14ac:dyDescent="0.45">
      <c r="A664" s="2">
        <v>45748</v>
      </c>
      <c r="B664" s="3">
        <v>52.2</v>
      </c>
      <c r="C664" s="4">
        <v>-4.7999999999999972</v>
      </c>
    </row>
    <row r="665" spans="1:3" x14ac:dyDescent="0.45">
      <c r="A665" s="2">
        <v>45778</v>
      </c>
      <c r="B665" s="3">
        <v>52.2</v>
      </c>
      <c r="C665" s="4">
        <v>0</v>
      </c>
    </row>
    <row r="666" spans="1:3" x14ac:dyDescent="0.45">
      <c r="A666" s="2">
        <v>45809</v>
      </c>
      <c r="B666" s="3">
        <v>60.7</v>
      </c>
      <c r="C666" s="4">
        <v>8.5</v>
      </c>
    </row>
    <row r="667" spans="1:3" x14ac:dyDescent="0.45">
      <c r="A667" s="2">
        <v>45839</v>
      </c>
      <c r="B667" s="3">
        <v>61.7</v>
      </c>
      <c r="C667" s="4">
        <v>1</v>
      </c>
    </row>
    <row r="668" spans="1:3" x14ac:dyDescent="0.45">
      <c r="A668" s="2">
        <v>45870</v>
      </c>
      <c r="B668" s="3">
        <v>58.2</v>
      </c>
      <c r="C668" s="4">
        <v>-3.5</v>
      </c>
    </row>
    <row r="669" spans="1:3" x14ac:dyDescent="0.45">
      <c r="A669" s="2">
        <v>45901</v>
      </c>
      <c r="B669" s="3">
        <v>55.1</v>
      </c>
      <c r="C669" s="4">
        <v>-3.1000000000000014</v>
      </c>
    </row>
    <row r="670" spans="1:3" x14ac:dyDescent="0.45">
      <c r="A670" s="2">
        <v>45931</v>
      </c>
      <c r="B670" s="3">
        <v>53.6</v>
      </c>
      <c r="C670" s="4">
        <v>-1.5</v>
      </c>
    </row>
    <row r="671" spans="1:3" x14ac:dyDescent="0.45">
      <c r="A671" s="2">
        <v>45962</v>
      </c>
      <c r="B671" s="3">
        <v>51</v>
      </c>
      <c r="C671" s="4">
        <v>-2.6000000000000014</v>
      </c>
    </row>
    <row r="672" spans="1:3" x14ac:dyDescent="0.45">
      <c r="A672" s="2">
        <v>45992</v>
      </c>
      <c r="B672" s="3">
        <v>52.9</v>
      </c>
      <c r="C672" s="4">
        <v>1.8999999999999986</v>
      </c>
    </row>
    <row r="673" spans="1:3" x14ac:dyDescent="0.45">
      <c r="A673" s="2">
        <v>46023</v>
      </c>
      <c r="B673" s="3">
        <v>56.4</v>
      </c>
      <c r="C673" s="4">
        <v>3.5</v>
      </c>
    </row>
    <row r="674" spans="1:3" x14ac:dyDescent="0.45">
      <c r="A674" s="2">
        <v>46054</v>
      </c>
      <c r="B674" s="3">
        <v>56.6</v>
      </c>
      <c r="C674" s="4">
        <v>0.20000000000000284</v>
      </c>
    </row>
    <row r="675" spans="1:3" x14ac:dyDescent="0.45">
      <c r="A675" s="2">
        <v>46082</v>
      </c>
      <c r="B675" s="3">
        <v>53.3</v>
      </c>
      <c r="C675" s="4">
        <v>-3.3000000000000043</v>
      </c>
    </row>
    <row r="676" spans="1:3" x14ac:dyDescent="0.45">
      <c r="A676" s="2">
        <v>46113</v>
      </c>
      <c r="B676" s="3">
        <v>49.8</v>
      </c>
      <c r="C676" s="4">
        <v>-3.5</v>
      </c>
    </row>
    <row r="677" spans="1:3" x14ac:dyDescent="0.45">
      <c r="A677" s="2">
        <v>46143</v>
      </c>
      <c r="B677" s="3">
        <v>44.8</v>
      </c>
      <c r="C677" s="4">
        <v>-5</v>
      </c>
    </row>
    <row r="678" spans="1:3" x14ac:dyDescent="0.45">
      <c r="A678" s="2">
        <v>46174</v>
      </c>
      <c r="B678" s="3">
        <v>49.5</v>
      </c>
      <c r="C678" s="3">
        <v>4.7000000000000028</v>
      </c>
    </row>
    <row r="679" spans="1:3" x14ac:dyDescent="0.45">
      <c r="A679" s="2">
        <v>46204</v>
      </c>
      <c r="B679" s="3">
        <v>55.2</v>
      </c>
      <c r="C679" s="3">
        <f>B679-B678</f>
        <v>5.7000000000000028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BDB89-1730-41D9-952F-1AAE614D0E74}">
  <dimension ref="A1:X716"/>
  <sheetViews>
    <sheetView workbookViewId="0"/>
  </sheetViews>
  <sheetFormatPr defaultRowHeight="14.25" x14ac:dyDescent="0.45"/>
  <cols>
    <col min="1" max="1" width="12.33203125" customWidth="1"/>
    <col min="2" max="2" width="5.86328125" bestFit="1" customWidth="1"/>
    <col min="3" max="3" width="8.59765625" bestFit="1" customWidth="1"/>
  </cols>
  <sheetData>
    <row r="1" spans="1:24" x14ac:dyDescent="0.45">
      <c r="A1" s="1" t="s">
        <v>48</v>
      </c>
    </row>
    <row r="2" spans="1:24" x14ac:dyDescent="0.45">
      <c r="A2" t="s">
        <v>117</v>
      </c>
      <c r="F2" s="1" t="s">
        <v>4</v>
      </c>
      <c r="Q2" s="1" t="s">
        <v>51</v>
      </c>
      <c r="U2" s="1" t="s">
        <v>32</v>
      </c>
    </row>
    <row r="3" spans="1:24" x14ac:dyDescent="0.45">
      <c r="F3" t="s">
        <v>5</v>
      </c>
      <c r="G3" s="4">
        <f>B$716</f>
        <v>-0.02</v>
      </c>
      <c r="Q3" t="s">
        <v>19</v>
      </c>
      <c r="R3" s="4">
        <f>AVERAGE($C$6:$C$716)</f>
        <v>4.6413502109704622E-4</v>
      </c>
      <c r="U3" t="s">
        <v>33</v>
      </c>
      <c r="V3">
        <v>1</v>
      </c>
      <c r="W3">
        <v>2</v>
      </c>
      <c r="X3">
        <v>3</v>
      </c>
    </row>
    <row r="4" spans="1:24" x14ac:dyDescent="0.45">
      <c r="A4" s="1" t="s">
        <v>1</v>
      </c>
      <c r="B4" s="1" t="s">
        <v>2</v>
      </c>
      <c r="C4" s="1" t="s">
        <v>49</v>
      </c>
      <c r="F4" t="s">
        <v>6</v>
      </c>
      <c r="G4" s="4">
        <f>AVERAGE($B$5:$B$716)</f>
        <v>-3.5112359550559921E-4</v>
      </c>
      <c r="Q4" t="s">
        <v>20</v>
      </c>
      <c r="R4">
        <f>_xlfn.STDEV.S($C$6:$C$716)/SQRT(COUNT($C$6:$C$716))</f>
        <v>4.535836292910158E-2</v>
      </c>
      <c r="U4" t="s">
        <v>34</v>
      </c>
      <c r="V4">
        <f>$R$3+V$3*$R$7</f>
        <v>1.2099259795161421</v>
      </c>
      <c r="W4">
        <f>$R$3+W$3*$R$7</f>
        <v>2.4193878240111872</v>
      </c>
      <c r="X4">
        <f>$R$3+X$3*$R$7</f>
        <v>3.6288496685062324</v>
      </c>
    </row>
    <row r="5" spans="1:24" x14ac:dyDescent="0.45">
      <c r="A5" s="2">
        <v>24532</v>
      </c>
      <c r="B5" s="4">
        <v>-0.35</v>
      </c>
      <c r="C5" s="4"/>
      <c r="F5" t="s">
        <v>7</v>
      </c>
      <c r="G5">
        <f>_xlfn.STDEV.S($B$5:$B$716)</f>
        <v>0.99946385924356407</v>
      </c>
      <c r="Q5" t="s">
        <v>21</v>
      </c>
      <c r="R5" s="4">
        <f>MEDIAN($C$6:$C$716)</f>
        <v>-2.0000000000000018E-2</v>
      </c>
      <c r="U5" t="s">
        <v>35</v>
      </c>
      <c r="V5">
        <f>$R$3-V$3*$R$7</f>
        <v>-1.2089977094739481</v>
      </c>
      <c r="W5">
        <f>$R$3-W$3*$R$7</f>
        <v>-2.4184595539689933</v>
      </c>
      <c r="X5">
        <f>$R$3-X$3*$R$7</f>
        <v>-3.6279213984640384</v>
      </c>
    </row>
    <row r="6" spans="1:24" x14ac:dyDescent="0.45">
      <c r="A6" s="2">
        <v>24563</v>
      </c>
      <c r="B6" s="4">
        <v>0</v>
      </c>
      <c r="C6" s="4">
        <v>0.35</v>
      </c>
      <c r="F6" t="s">
        <v>8</v>
      </c>
      <c r="G6">
        <f>(G3-G4)/G5</f>
        <v>-1.9659416618991597E-2</v>
      </c>
      <c r="Q6" t="s">
        <v>22</v>
      </c>
      <c r="R6">
        <f>_xlfn.MODE.SNGL($C$6:$C$716)</f>
        <v>0.29000000000000004</v>
      </c>
    </row>
    <row r="7" spans="1:24" x14ac:dyDescent="0.45">
      <c r="A7" s="2">
        <v>24593</v>
      </c>
      <c r="B7" s="4">
        <v>-0.56000000000000005</v>
      </c>
      <c r="C7" s="4">
        <v>-0.56000000000000005</v>
      </c>
      <c r="F7" t="s">
        <v>9</v>
      </c>
      <c r="G7" s="5">
        <f>_xlfn.PERCENTRANK.INC($B$5:$B$716,G3)</f>
        <v>0.42599999999999999</v>
      </c>
      <c r="Q7" t="s">
        <v>23</v>
      </c>
      <c r="R7">
        <f>_xlfn.STDEV.S($C$6:$C$716)</f>
        <v>1.2094618444950451</v>
      </c>
      <c r="U7" s="1" t="s">
        <v>36</v>
      </c>
    </row>
    <row r="8" spans="1:24" x14ac:dyDescent="0.45">
      <c r="A8" s="2">
        <v>24624</v>
      </c>
      <c r="B8" s="4">
        <v>0.04</v>
      </c>
      <c r="C8" s="4">
        <v>0.60000000000000009</v>
      </c>
      <c r="F8" t="s">
        <v>10</v>
      </c>
      <c r="G8" t="str">
        <f>IF(G6&gt;=2,"EXTREME HIGH",IF(G6&gt;=1,"HIGH (+1 to +2σ)",IF(G6&lt;=-2,"EXTREME LOW",IF(G6&lt;=-1,"LOW (-1 to -2σ)","NORMAL (±1σ)"))))</f>
        <v>NORMAL (±1σ)</v>
      </c>
      <c r="Q8" t="s">
        <v>24</v>
      </c>
      <c r="R8">
        <f>_xlfn.VAR.S($C$6:$C$716)</f>
        <v>1.4627979532893567</v>
      </c>
      <c r="U8" t="s">
        <v>37</v>
      </c>
      <c r="V8" t="s">
        <v>38</v>
      </c>
      <c r="W8" t="s">
        <v>39</v>
      </c>
      <c r="X8" t="s">
        <v>40</v>
      </c>
    </row>
    <row r="9" spans="1:24" x14ac:dyDescent="0.45">
      <c r="A9" s="2">
        <v>24654</v>
      </c>
      <c r="B9" s="4">
        <v>-0.32</v>
      </c>
      <c r="C9" s="4">
        <v>-0.36</v>
      </c>
      <c r="F9" t="s">
        <v>11</v>
      </c>
      <c r="G9" t="str">
        <f>IF(G6&gt;=1,"STRONG vs history",IF(G6&lt;=-1,"WEAK vs history","NEUTRAL vs history"))</f>
        <v>NEUTRAL vs history</v>
      </c>
      <c r="Q9" t="s">
        <v>25</v>
      </c>
      <c r="R9">
        <f>KURT($C$6:$C$716)</f>
        <v>210.99046830056844</v>
      </c>
      <c r="S9" t="str">
        <f>IF(R9&gt;0,"More peaked than normal — fat tails (excess kurtosis &gt; 0)",IF(R9&lt;0,"Flatter than normal — thin tails (excess kurtosis &lt; 0)","Approximately normal kurtosis"))</f>
        <v>More peaked than normal — fat tails (excess kurtosis &gt; 0)</v>
      </c>
      <c r="U9">
        <v>1</v>
      </c>
      <c r="V9" s="5">
        <f>COUNTIFS($C$6:$C$716,"&gt;="&amp;($R$3-$R$7*$U9),$C$6:$C$716,"&lt;="&amp;($R$3+$R$7*$U9))/$R$15</f>
        <v>0.93530239099859358</v>
      </c>
      <c r="W9" s="5">
        <v>0.68200000000000005</v>
      </c>
      <c r="X9" t="str">
        <f>IF(V9&gt;W9+0.02,"fat tails",IF(V9&lt;W9-0.02,"thin tails","≈ normal"))</f>
        <v>fat tails</v>
      </c>
    </row>
    <row r="10" spans="1:24" x14ac:dyDescent="0.45">
      <c r="A10" s="2">
        <v>24685</v>
      </c>
      <c r="B10" s="4">
        <v>1.04</v>
      </c>
      <c r="C10" s="4">
        <v>1.36</v>
      </c>
      <c r="Q10" t="s">
        <v>26</v>
      </c>
      <c r="R10">
        <f>SKEW($C$6:$C$716)</f>
        <v>7.6246865620624789</v>
      </c>
      <c r="S10" t="str">
        <f>IF(R10&gt;0,"Positive skew — bigger fat tail on the upside",IF(R10&lt;0,"Negative skew — bigger fat tail on the downside","Approximately symmetric"))</f>
        <v>Positive skew — bigger fat tail on the upside</v>
      </c>
      <c r="U10">
        <v>2</v>
      </c>
      <c r="V10" s="5">
        <f>COUNTIFS($C$6:$C$716,"&gt;="&amp;($R$3-$R$7*$U10),$C$6:$C$716,"&lt;="&amp;($R$3+$R$7*$U10))/$R$15</f>
        <v>0.98452883263009849</v>
      </c>
      <c r="W10" s="5">
        <v>0.95399999999999996</v>
      </c>
      <c r="X10" t="str">
        <f>IF(V10&gt;W10+0.02,"fat tails",IF(V10&lt;W10-0.02,"thin tails","≈ normal"))</f>
        <v>fat tails</v>
      </c>
    </row>
    <row r="11" spans="1:24" x14ac:dyDescent="0.45">
      <c r="A11" s="2">
        <v>24716</v>
      </c>
      <c r="B11" s="4">
        <v>-0.05</v>
      </c>
      <c r="C11" s="4">
        <v>-1.0900000000000001</v>
      </c>
      <c r="H11" s="1" t="s">
        <v>50</v>
      </c>
      <c r="Q11" t="s">
        <v>15</v>
      </c>
      <c r="R11" s="4">
        <f>MAX($C$6:$C$716)-MIN($C$6:$C$716)</f>
        <v>37</v>
      </c>
      <c r="U11">
        <v>3</v>
      </c>
      <c r="V11" s="5">
        <f>COUNTIFS($C$6:$C$716,"&gt;="&amp;($R$3-$R$7*$U11),$C$6:$C$716,"&lt;="&amp;($R$3+$R$7*$U11))/$R$15</f>
        <v>0.99296765119549935</v>
      </c>
      <c r="W11" s="5">
        <v>0.997</v>
      </c>
      <c r="X11" t="str">
        <f>IF(V11&gt;W11+0.02,"fat tails",IF(V11&lt;W11-0.02,"thin tails","≈ normal"))</f>
        <v>≈ normal</v>
      </c>
    </row>
    <row r="12" spans="1:24" x14ac:dyDescent="0.45">
      <c r="A12" s="2">
        <v>24746</v>
      </c>
      <c r="B12" s="4">
        <v>0.03</v>
      </c>
      <c r="C12" s="4">
        <v>0.08</v>
      </c>
      <c r="H12" t="s">
        <v>13</v>
      </c>
      <c r="I12" t="s">
        <v>14</v>
      </c>
      <c r="J12" t="s">
        <v>15</v>
      </c>
      <c r="K12" t="s">
        <v>16</v>
      </c>
      <c r="L12" t="s">
        <v>17</v>
      </c>
      <c r="Q12" t="s">
        <v>27</v>
      </c>
      <c r="R12" s="4">
        <f>MIN($C$6:$C$716)</f>
        <v>-13.93</v>
      </c>
    </row>
    <row r="13" spans="1:24" x14ac:dyDescent="0.45">
      <c r="A13" s="2">
        <v>24777</v>
      </c>
      <c r="B13" s="4">
        <v>1.36</v>
      </c>
      <c r="C13" s="4">
        <v>1.33</v>
      </c>
      <c r="H13" s="6">
        <f>$R$12+($R$11/12)*(ROW()-12)</f>
        <v>-10.846666666666666</v>
      </c>
      <c r="I13">
        <f>COUNTIFS($C$6:$C$716,"&gt;="&amp;$R$12,$C$6:$C$716,"&lt;="&amp;H13)</f>
        <v>1</v>
      </c>
      <c r="J13" t="str">
        <f>TEXT($R$12,"0.00")&amp;" to "&amp;TEXT(H13,"0.00")</f>
        <v>-13.93 to -10.85</v>
      </c>
      <c r="K13" s="5">
        <f>I13/$R$15</f>
        <v>1.4064697609001407E-3</v>
      </c>
      <c r="L13" s="5">
        <f>SUM($K$13:K13)</f>
        <v>1.4064697609001407E-3</v>
      </c>
      <c r="Q13" t="s">
        <v>28</v>
      </c>
      <c r="R13" s="4">
        <f>MAX($C$6:$C$716)</f>
        <v>23.07</v>
      </c>
    </row>
    <row r="14" spans="1:24" x14ac:dyDescent="0.45">
      <c r="A14" s="2">
        <v>24807</v>
      </c>
      <c r="B14" s="4">
        <v>1.01</v>
      </c>
      <c r="C14" s="4">
        <v>-0.35000000000000009</v>
      </c>
      <c r="H14" s="6">
        <f>$R$12+($R$11/12)*(ROW()-12)</f>
        <v>-7.7633333333333328</v>
      </c>
      <c r="I14">
        <f>COUNTIFS($C$6:$C$716,"&gt;"&amp;H13,$C$6:$C$716,"&lt;="&amp;H14)</f>
        <v>0</v>
      </c>
      <c r="J14" t="str">
        <f>TEXT(H13,"0.00")&amp;" to "&amp;TEXT(H14,"0.00")</f>
        <v>-10.85 to -7.76</v>
      </c>
      <c r="K14" s="5">
        <f>I14/$R$15</f>
        <v>0</v>
      </c>
      <c r="L14" s="5">
        <f>SUM($K$13:K14)</f>
        <v>1.4064697609001407E-3</v>
      </c>
      <c r="Q14" t="s">
        <v>29</v>
      </c>
      <c r="R14" s="4">
        <f>SUM($C$6:$C$716)</f>
        <v>0.32999999999999985</v>
      </c>
    </row>
    <row r="15" spans="1:24" x14ac:dyDescent="0.45">
      <c r="A15" s="2">
        <v>24838</v>
      </c>
      <c r="B15" s="4">
        <v>-0.46</v>
      </c>
      <c r="C15" s="4">
        <v>-1.47</v>
      </c>
      <c r="H15" s="6">
        <f>$R$12+($R$11/12)*(ROW()-12)</f>
        <v>-4.68</v>
      </c>
      <c r="I15">
        <f>COUNTIFS($C$6:$C$716,"&gt;"&amp;H14,$C$6:$C$716,"&lt;="&amp;H15)</f>
        <v>0</v>
      </c>
      <c r="J15" t="str">
        <f>TEXT(H14,"0.00")&amp;" to "&amp;TEXT(H15,"0.00")</f>
        <v>-7.76 to -4.68</v>
      </c>
      <c r="K15" s="5">
        <f>I15/$R$15</f>
        <v>0</v>
      </c>
      <c r="L15" s="5">
        <f>SUM($K$13:K15)</f>
        <v>1.4064697609001407E-3</v>
      </c>
      <c r="Q15" t="s">
        <v>30</v>
      </c>
      <c r="R15">
        <f>COUNT($C$6:$C$716)</f>
        <v>711</v>
      </c>
      <c r="S15" t="s">
        <v>52</v>
      </c>
    </row>
    <row r="16" spans="1:24" x14ac:dyDescent="0.45">
      <c r="A16" s="2">
        <v>24869</v>
      </c>
      <c r="B16" s="4">
        <v>0.43</v>
      </c>
      <c r="C16" s="4">
        <v>0.89</v>
      </c>
      <c r="H16" s="6">
        <f>$R$12+($R$11/12)*(ROW()-12)</f>
        <v>-1.5966666666666658</v>
      </c>
      <c r="I16">
        <f>COUNTIFS($C$6:$C$716,"&gt;"&amp;H15,$C$6:$C$716,"&lt;="&amp;H16)</f>
        <v>8</v>
      </c>
      <c r="J16" t="str">
        <f>TEXT(H15,"0.00")&amp;" to "&amp;TEXT(H16,"0.00")</f>
        <v>-4.68 to -1.60</v>
      </c>
      <c r="K16" s="5">
        <f>I16/$R$15</f>
        <v>1.1251758087201125E-2</v>
      </c>
      <c r="L16" s="5">
        <f>SUM($K$13:K16)</f>
        <v>1.2658227848101266E-2</v>
      </c>
    </row>
    <row r="17" spans="1:12" x14ac:dyDescent="0.45">
      <c r="A17" s="2">
        <v>24898</v>
      </c>
      <c r="B17" s="4">
        <v>0.39</v>
      </c>
      <c r="C17" s="4">
        <v>-3.999999999999998E-2</v>
      </c>
      <c r="H17" s="6">
        <f>$R$12+($R$11/12)*(ROW()-12)</f>
        <v>1.4866666666666681</v>
      </c>
      <c r="I17">
        <f>COUNTIFS($C$6:$C$716,"&gt;"&amp;H16,$C$6:$C$716,"&lt;="&amp;H17)</f>
        <v>686</v>
      </c>
      <c r="J17" t="str">
        <f>TEXT(H16,"0.00")&amp;" to "&amp;TEXT(H17,"0.00")</f>
        <v>-1.60 to 1.49</v>
      </c>
      <c r="K17" s="5">
        <f>I17/$R$15</f>
        <v>0.96483825597749651</v>
      </c>
      <c r="L17" s="5">
        <f>SUM($K$13:K17)</f>
        <v>0.97749648382559773</v>
      </c>
    </row>
    <row r="18" spans="1:12" x14ac:dyDescent="0.45">
      <c r="A18" s="2">
        <v>24929</v>
      </c>
      <c r="B18" s="4">
        <v>0.13</v>
      </c>
      <c r="C18" s="4">
        <v>-0.26</v>
      </c>
      <c r="H18" s="6">
        <f>$R$12+($R$11/12)*(ROW()-12)</f>
        <v>4.57</v>
      </c>
      <c r="I18">
        <f>COUNTIFS($C$6:$C$716,"&gt;"&amp;H17,$C$6:$C$716,"&lt;="&amp;H18)</f>
        <v>15</v>
      </c>
      <c r="J18" t="str">
        <f>TEXT(H17,"0.00")&amp;" to "&amp;TEXT(H18,"0.00")</f>
        <v>1.49 to 4.57</v>
      </c>
      <c r="K18" s="5">
        <f>I18/$R$15</f>
        <v>2.1097046413502109E-2</v>
      </c>
      <c r="L18" s="5">
        <f>SUM($K$13:K18)</f>
        <v>0.9985935302390998</v>
      </c>
    </row>
    <row r="19" spans="1:12" x14ac:dyDescent="0.45">
      <c r="A19" s="2">
        <v>24959</v>
      </c>
      <c r="B19" s="4">
        <v>0.67</v>
      </c>
      <c r="C19" s="4">
        <v>0.54</v>
      </c>
      <c r="H19" s="6">
        <f>$R$12+($R$11/12)*(ROW()-12)</f>
        <v>7.653333333333336</v>
      </c>
      <c r="I19">
        <f>COUNTIFS($C$6:$C$716,"&gt;"&amp;H18,$C$6:$C$716,"&lt;="&amp;H19)</f>
        <v>0</v>
      </c>
      <c r="J19" t="str">
        <f>TEXT(H18,"0.00")&amp;" to "&amp;TEXT(H19,"0.00")</f>
        <v>4.57 to 7.65</v>
      </c>
      <c r="K19" s="5">
        <f>I19/$R$15</f>
        <v>0</v>
      </c>
      <c r="L19" s="5">
        <f>SUM($K$13:K19)</f>
        <v>0.9985935302390998</v>
      </c>
    </row>
    <row r="20" spans="1:12" x14ac:dyDescent="0.45">
      <c r="A20" s="2">
        <v>24990</v>
      </c>
      <c r="B20" s="4">
        <v>0.27</v>
      </c>
      <c r="C20" s="4">
        <v>-0.4</v>
      </c>
      <c r="H20" s="6">
        <f>$R$12+($R$11/12)*(ROW()-12)</f>
        <v>10.736666666666668</v>
      </c>
      <c r="I20">
        <f>COUNTIFS($C$6:$C$716,"&gt;"&amp;H19,$C$6:$C$716,"&lt;="&amp;H20)</f>
        <v>0</v>
      </c>
      <c r="J20" t="str">
        <f>TEXT(H19,"0.00")&amp;" to "&amp;TEXT(H20,"0.00")</f>
        <v>7.65 to 10.74</v>
      </c>
      <c r="K20" s="5">
        <f>I20/$R$15</f>
        <v>0</v>
      </c>
      <c r="L20" s="5">
        <f>SUM($K$13:K20)</f>
        <v>0.9985935302390998</v>
      </c>
    </row>
    <row r="21" spans="1:12" x14ac:dyDescent="0.45">
      <c r="A21" s="2">
        <v>25020</v>
      </c>
      <c r="B21" s="4">
        <v>0.23</v>
      </c>
      <c r="C21" s="4">
        <v>-4.0000000000000008E-2</v>
      </c>
      <c r="H21" s="6">
        <f>$R$12+($R$11/12)*(ROW()-12)</f>
        <v>13.82</v>
      </c>
      <c r="I21">
        <f>COUNTIFS($C$6:$C$716,"&gt;"&amp;H20,$C$6:$C$716,"&lt;="&amp;H21)</f>
        <v>0</v>
      </c>
      <c r="J21" t="str">
        <f>TEXT(H20,"0.00")&amp;" to "&amp;TEXT(H21,"0.00")</f>
        <v>10.74 to 13.82</v>
      </c>
      <c r="K21" s="5">
        <f>I21/$R$15</f>
        <v>0</v>
      </c>
      <c r="L21" s="5">
        <f>SUM($K$13:K21)</f>
        <v>0.9985935302390998</v>
      </c>
    </row>
    <row r="22" spans="1:12" x14ac:dyDescent="0.45">
      <c r="A22" s="2">
        <v>25051</v>
      </c>
      <c r="B22" s="4">
        <v>0.02</v>
      </c>
      <c r="C22" s="4">
        <v>-0.21000000000000002</v>
      </c>
      <c r="H22" s="6">
        <f>$R$12+($R$11/12)*(ROW()-12)</f>
        <v>16.903333333333336</v>
      </c>
      <c r="I22">
        <f>COUNTIFS($C$6:$C$716,"&gt;"&amp;H21,$C$6:$C$716,"&lt;="&amp;H22)</f>
        <v>0</v>
      </c>
      <c r="J22" t="str">
        <f>TEXT(H21,"0.00")&amp;" to "&amp;TEXT(H22,"0.00")</f>
        <v>13.82 to 16.90</v>
      </c>
      <c r="K22" s="5">
        <f>I22/$R$15</f>
        <v>0</v>
      </c>
      <c r="L22" s="5">
        <f>SUM($K$13:K22)</f>
        <v>0.9985935302390998</v>
      </c>
    </row>
    <row r="23" spans="1:12" x14ac:dyDescent="0.45">
      <c r="A23" s="2">
        <v>25082</v>
      </c>
      <c r="B23" s="4">
        <v>0.49</v>
      </c>
      <c r="C23" s="4">
        <v>0.47</v>
      </c>
      <c r="H23" s="6">
        <f>$R$12+($R$11/12)*(ROW()-12)</f>
        <v>19.986666666666672</v>
      </c>
      <c r="I23">
        <f>COUNTIFS($C$6:$C$716,"&gt;"&amp;H22,$C$6:$C$716,"&lt;="&amp;H23)</f>
        <v>0</v>
      </c>
      <c r="J23" t="str">
        <f>TEXT(H22,"0.00")&amp;" to "&amp;TEXT(H23,"0.00")</f>
        <v>16.90 to 19.99</v>
      </c>
      <c r="K23" s="5">
        <f>I23/$R$15</f>
        <v>0</v>
      </c>
      <c r="L23" s="5">
        <f>SUM($K$13:K23)</f>
        <v>0.9985935302390998</v>
      </c>
    </row>
    <row r="24" spans="1:12" x14ac:dyDescent="0.45">
      <c r="A24" s="2">
        <v>25112</v>
      </c>
      <c r="B24" s="4">
        <v>0.56000000000000005</v>
      </c>
      <c r="C24" s="4">
        <v>7.0000000000000062E-2</v>
      </c>
      <c r="H24" s="6">
        <f>$R$12+($R$11/12)*(ROW()-12)</f>
        <v>23.07</v>
      </c>
      <c r="I24">
        <f>COUNTIFS($C$6:$C$716,"&gt;"&amp;H23,$C$6:$C$716,"&lt;="&amp;H24)</f>
        <v>1</v>
      </c>
      <c r="J24" t="str">
        <f>TEXT(H23,"0.00")&amp;" to "&amp;TEXT(H24,"0.00")</f>
        <v>19.99 to 23.07</v>
      </c>
      <c r="K24" s="5">
        <f>I24/$R$15</f>
        <v>1.4064697609001407E-3</v>
      </c>
      <c r="L24" s="5">
        <f>SUM($K$13:K24)</f>
        <v>0.99999999999999989</v>
      </c>
    </row>
    <row r="25" spans="1:12" x14ac:dyDescent="0.45">
      <c r="A25" s="2">
        <v>25143</v>
      </c>
      <c r="B25" s="4">
        <v>0.82</v>
      </c>
      <c r="C25" s="4">
        <v>0.2599999999999999</v>
      </c>
    </row>
    <row r="26" spans="1:12" x14ac:dyDescent="0.45">
      <c r="A26" s="2">
        <v>25173</v>
      </c>
      <c r="B26" s="4">
        <v>0.01</v>
      </c>
      <c r="C26" s="4">
        <v>-0.80999999999999994</v>
      </c>
    </row>
    <row r="27" spans="1:12" x14ac:dyDescent="0.45">
      <c r="A27" s="2">
        <v>25204</v>
      </c>
      <c r="B27" s="4">
        <v>0.34</v>
      </c>
      <c r="C27" s="4">
        <v>0.33</v>
      </c>
    </row>
    <row r="28" spans="1:12" x14ac:dyDescent="0.45">
      <c r="A28" s="2">
        <v>25235</v>
      </c>
      <c r="B28" s="4">
        <v>0.51</v>
      </c>
      <c r="C28" s="4">
        <v>0.16999999999999998</v>
      </c>
    </row>
    <row r="29" spans="1:12" x14ac:dyDescent="0.45">
      <c r="A29" s="2">
        <v>25263</v>
      </c>
      <c r="B29" s="4">
        <v>0.5</v>
      </c>
      <c r="C29" s="4">
        <v>-1.0000000000000009E-2</v>
      </c>
    </row>
    <row r="30" spans="1:12" x14ac:dyDescent="0.45">
      <c r="A30" s="2">
        <v>25294</v>
      </c>
      <c r="B30" s="4">
        <v>0.05</v>
      </c>
      <c r="C30" s="4">
        <v>-0.45</v>
      </c>
    </row>
    <row r="31" spans="1:12" x14ac:dyDescent="0.45">
      <c r="A31" s="2">
        <v>25324</v>
      </c>
      <c r="B31" s="4">
        <v>-0.02</v>
      </c>
      <c r="C31" s="4">
        <v>-7.0000000000000007E-2</v>
      </c>
    </row>
    <row r="32" spans="1:12" x14ac:dyDescent="0.45">
      <c r="A32" s="2">
        <v>25355</v>
      </c>
      <c r="B32" s="4">
        <v>0.38</v>
      </c>
      <c r="C32" s="4">
        <v>0.4</v>
      </c>
    </row>
    <row r="33" spans="1:3" x14ac:dyDescent="0.45">
      <c r="A33" s="2">
        <v>25385</v>
      </c>
      <c r="B33" s="4">
        <v>0.17</v>
      </c>
      <c r="C33" s="4">
        <v>-0.21</v>
      </c>
    </row>
    <row r="34" spans="1:3" x14ac:dyDescent="0.45">
      <c r="A34" s="2">
        <v>25416</v>
      </c>
      <c r="B34" s="4">
        <v>0.45</v>
      </c>
      <c r="C34" s="4">
        <v>0.28000000000000003</v>
      </c>
    </row>
    <row r="35" spans="1:3" x14ac:dyDescent="0.45">
      <c r="A35" s="2">
        <v>25447</v>
      </c>
      <c r="B35" s="4">
        <v>-0.09</v>
      </c>
      <c r="C35" s="4">
        <v>-0.54</v>
      </c>
    </row>
    <row r="36" spans="1:3" x14ac:dyDescent="0.45">
      <c r="A36" s="2">
        <v>25477</v>
      </c>
      <c r="B36" s="4">
        <v>0.2</v>
      </c>
      <c r="C36" s="4">
        <v>0.29000000000000004</v>
      </c>
    </row>
    <row r="37" spans="1:3" x14ac:dyDescent="0.45">
      <c r="A37" s="2">
        <v>25508</v>
      </c>
      <c r="B37" s="4">
        <v>-0.81</v>
      </c>
      <c r="C37" s="4">
        <v>-1.01</v>
      </c>
    </row>
    <row r="38" spans="1:3" x14ac:dyDescent="0.45">
      <c r="A38" s="2">
        <v>25538</v>
      </c>
      <c r="B38" s="4">
        <v>-0.23</v>
      </c>
      <c r="C38" s="4">
        <v>0.58000000000000007</v>
      </c>
    </row>
    <row r="39" spans="1:3" x14ac:dyDescent="0.45">
      <c r="A39" s="2">
        <v>25569</v>
      </c>
      <c r="B39" s="4">
        <v>-1.36</v>
      </c>
      <c r="C39" s="4">
        <v>-1.1300000000000001</v>
      </c>
    </row>
    <row r="40" spans="1:3" x14ac:dyDescent="0.45">
      <c r="A40" s="2">
        <v>25600</v>
      </c>
      <c r="B40" s="4">
        <v>-0.15</v>
      </c>
      <c r="C40" s="4">
        <v>1.2100000000000002</v>
      </c>
    </row>
    <row r="41" spans="1:3" x14ac:dyDescent="0.45">
      <c r="A41" s="2">
        <v>25628</v>
      </c>
      <c r="B41" s="4">
        <v>-0.56999999999999995</v>
      </c>
      <c r="C41" s="4">
        <v>-0.41999999999999993</v>
      </c>
    </row>
    <row r="42" spans="1:3" x14ac:dyDescent="0.45">
      <c r="A42" s="2">
        <v>25659</v>
      </c>
      <c r="B42" s="4">
        <v>-0.7</v>
      </c>
      <c r="C42" s="4">
        <v>-0.13</v>
      </c>
    </row>
    <row r="43" spans="1:3" x14ac:dyDescent="0.45">
      <c r="A43" s="2">
        <v>25689</v>
      </c>
      <c r="B43" s="4">
        <v>-0.32</v>
      </c>
      <c r="C43" s="4">
        <v>0.37999999999999995</v>
      </c>
    </row>
    <row r="44" spans="1:3" x14ac:dyDescent="0.45">
      <c r="A44" s="2">
        <v>25720</v>
      </c>
      <c r="B44" s="4">
        <v>-0.27</v>
      </c>
      <c r="C44" s="4">
        <v>4.9999999999999989E-2</v>
      </c>
    </row>
    <row r="45" spans="1:3" x14ac:dyDescent="0.45">
      <c r="A45" s="2">
        <v>25750</v>
      </c>
      <c r="B45" s="4">
        <v>0</v>
      </c>
      <c r="C45" s="4">
        <v>0.27</v>
      </c>
    </row>
    <row r="46" spans="1:3" x14ac:dyDescent="0.45">
      <c r="A46" s="2">
        <v>25781</v>
      </c>
      <c r="B46" s="4">
        <v>-0.56000000000000005</v>
      </c>
      <c r="C46" s="4">
        <v>-0.56000000000000005</v>
      </c>
    </row>
    <row r="47" spans="1:3" x14ac:dyDescent="0.45">
      <c r="A47" s="2">
        <v>25812</v>
      </c>
      <c r="B47" s="4">
        <v>-0.64</v>
      </c>
      <c r="C47" s="4">
        <v>-7.999999999999996E-2</v>
      </c>
    </row>
    <row r="48" spans="1:3" x14ac:dyDescent="0.45">
      <c r="A48" s="2">
        <v>25842</v>
      </c>
      <c r="B48" s="4">
        <v>-1.81</v>
      </c>
      <c r="C48" s="4">
        <v>-1.17</v>
      </c>
    </row>
    <row r="49" spans="1:3" x14ac:dyDescent="0.45">
      <c r="A49" s="2">
        <v>25873</v>
      </c>
      <c r="B49" s="4">
        <v>-1.03</v>
      </c>
      <c r="C49" s="4">
        <v>0.78</v>
      </c>
    </row>
    <row r="50" spans="1:3" x14ac:dyDescent="0.45">
      <c r="A50" s="2">
        <v>25903</v>
      </c>
      <c r="B50" s="4">
        <v>1.66</v>
      </c>
      <c r="C50" s="4">
        <v>2.69</v>
      </c>
    </row>
    <row r="51" spans="1:3" x14ac:dyDescent="0.45">
      <c r="A51" s="2">
        <v>25934</v>
      </c>
      <c r="B51" s="4">
        <v>0.56999999999999995</v>
      </c>
      <c r="C51" s="4">
        <v>-1.0899999999999999</v>
      </c>
    </row>
    <row r="52" spans="1:3" x14ac:dyDescent="0.45">
      <c r="A52" s="2">
        <v>25965</v>
      </c>
      <c r="B52" s="4">
        <v>0</v>
      </c>
      <c r="C52" s="4">
        <v>-0.56999999999999995</v>
      </c>
    </row>
    <row r="53" spans="1:3" x14ac:dyDescent="0.45">
      <c r="A53" s="2">
        <v>25993</v>
      </c>
      <c r="B53" s="4">
        <v>-0.05</v>
      </c>
      <c r="C53" s="4">
        <v>-0.05</v>
      </c>
    </row>
    <row r="54" spans="1:3" x14ac:dyDescent="0.45">
      <c r="A54" s="2">
        <v>26024</v>
      </c>
      <c r="B54" s="4">
        <v>0.47</v>
      </c>
      <c r="C54" s="4">
        <v>0.52</v>
      </c>
    </row>
    <row r="55" spans="1:3" x14ac:dyDescent="0.45">
      <c r="A55" s="2">
        <v>26054</v>
      </c>
      <c r="B55" s="4">
        <v>0.44</v>
      </c>
      <c r="C55" s="4">
        <v>-2.9999999999999971E-2</v>
      </c>
    </row>
    <row r="56" spans="1:3" x14ac:dyDescent="0.45">
      <c r="A56" s="2">
        <v>26085</v>
      </c>
      <c r="B56" s="4">
        <v>0.41</v>
      </c>
      <c r="C56" s="4">
        <v>-3.0000000000000027E-2</v>
      </c>
    </row>
    <row r="57" spans="1:3" x14ac:dyDescent="0.45">
      <c r="A57" s="2">
        <v>26115</v>
      </c>
      <c r="B57" s="4">
        <v>-0.13</v>
      </c>
      <c r="C57" s="4">
        <v>-0.54</v>
      </c>
    </row>
    <row r="58" spans="1:3" x14ac:dyDescent="0.45">
      <c r="A58" s="2">
        <v>26146</v>
      </c>
      <c r="B58" s="4">
        <v>-0.05</v>
      </c>
      <c r="C58" s="4">
        <v>0.08</v>
      </c>
    </row>
    <row r="59" spans="1:3" x14ac:dyDescent="0.45">
      <c r="A59" s="2">
        <v>26177</v>
      </c>
      <c r="B59" s="4">
        <v>1.02</v>
      </c>
      <c r="C59" s="4">
        <v>1.07</v>
      </c>
    </row>
    <row r="60" spans="1:3" x14ac:dyDescent="0.45">
      <c r="A60" s="2">
        <v>26207</v>
      </c>
      <c r="B60" s="4">
        <v>0.44</v>
      </c>
      <c r="C60" s="4">
        <v>-0.58000000000000007</v>
      </c>
    </row>
    <row r="61" spans="1:3" x14ac:dyDescent="0.45">
      <c r="A61" s="2">
        <v>26238</v>
      </c>
      <c r="B61" s="4">
        <v>0.66</v>
      </c>
      <c r="C61" s="4">
        <v>0.22000000000000003</v>
      </c>
    </row>
    <row r="62" spans="1:3" x14ac:dyDescent="0.45">
      <c r="A62" s="2">
        <v>26268</v>
      </c>
      <c r="B62" s="4">
        <v>0.86</v>
      </c>
      <c r="C62" s="4">
        <v>0.19999999999999996</v>
      </c>
    </row>
    <row r="63" spans="1:3" x14ac:dyDescent="0.45">
      <c r="A63" s="2">
        <v>26299</v>
      </c>
      <c r="B63" s="4">
        <v>1.44</v>
      </c>
      <c r="C63" s="4">
        <v>0.57999999999999996</v>
      </c>
    </row>
    <row r="64" spans="1:3" x14ac:dyDescent="0.45">
      <c r="A64" s="2">
        <v>26330</v>
      </c>
      <c r="B64" s="4">
        <v>0.4</v>
      </c>
      <c r="C64" s="4">
        <v>-1.04</v>
      </c>
    </row>
    <row r="65" spans="1:3" x14ac:dyDescent="0.45">
      <c r="A65" s="2">
        <v>26359</v>
      </c>
      <c r="B65" s="4">
        <v>1.05</v>
      </c>
      <c r="C65" s="4">
        <v>0.65</v>
      </c>
    </row>
    <row r="66" spans="1:3" x14ac:dyDescent="0.45">
      <c r="A66" s="2">
        <v>26390</v>
      </c>
      <c r="B66" s="4">
        <v>0.76</v>
      </c>
      <c r="C66" s="4">
        <v>-0.29000000000000004</v>
      </c>
    </row>
    <row r="67" spans="1:3" x14ac:dyDescent="0.45">
      <c r="A67" s="2">
        <v>26420</v>
      </c>
      <c r="B67" s="4">
        <v>0.52</v>
      </c>
      <c r="C67" s="4">
        <v>-0.24</v>
      </c>
    </row>
    <row r="68" spans="1:3" x14ac:dyDescent="0.45">
      <c r="A68" s="2">
        <v>26451</v>
      </c>
      <c r="B68" s="4">
        <v>0.52</v>
      </c>
      <c r="C68" s="4">
        <v>0</v>
      </c>
    </row>
    <row r="69" spans="1:3" x14ac:dyDescent="0.45">
      <c r="A69" s="2">
        <v>26481</v>
      </c>
      <c r="B69" s="4">
        <v>-0.05</v>
      </c>
      <c r="C69" s="4">
        <v>-0.57000000000000006</v>
      </c>
    </row>
    <row r="70" spans="1:3" x14ac:dyDescent="0.45">
      <c r="A70" s="2">
        <v>26512</v>
      </c>
      <c r="B70" s="4">
        <v>1.52</v>
      </c>
      <c r="C70" s="4">
        <v>1.57</v>
      </c>
    </row>
    <row r="71" spans="1:3" x14ac:dyDescent="0.45">
      <c r="A71" s="2">
        <v>26543</v>
      </c>
      <c r="B71" s="4">
        <v>0.91</v>
      </c>
      <c r="C71" s="4">
        <v>-0.61</v>
      </c>
    </row>
    <row r="72" spans="1:3" x14ac:dyDescent="0.45">
      <c r="A72" s="2">
        <v>26573</v>
      </c>
      <c r="B72" s="4">
        <v>1.39</v>
      </c>
      <c r="C72" s="4">
        <v>0.47999999999999987</v>
      </c>
    </row>
    <row r="73" spans="1:3" x14ac:dyDescent="0.45">
      <c r="A73" s="2">
        <v>26604</v>
      </c>
      <c r="B73" s="4">
        <v>1.32</v>
      </c>
      <c r="C73" s="4">
        <v>-6.999999999999984E-2</v>
      </c>
    </row>
    <row r="74" spans="1:3" x14ac:dyDescent="0.45">
      <c r="A74" s="2">
        <v>26634</v>
      </c>
      <c r="B74" s="4">
        <v>1.23</v>
      </c>
      <c r="C74" s="4">
        <v>-9.000000000000008E-2</v>
      </c>
    </row>
    <row r="75" spans="1:3" x14ac:dyDescent="0.45">
      <c r="A75" s="2">
        <v>26665</v>
      </c>
      <c r="B75" s="4">
        <v>1.0900000000000001</v>
      </c>
      <c r="C75" s="4">
        <v>-0.1399999999999999</v>
      </c>
    </row>
    <row r="76" spans="1:3" x14ac:dyDescent="0.45">
      <c r="A76" s="2">
        <v>26696</v>
      </c>
      <c r="B76" s="4">
        <v>1.26</v>
      </c>
      <c r="C76" s="4">
        <v>0.16999999999999993</v>
      </c>
    </row>
    <row r="77" spans="1:3" x14ac:dyDescent="0.45">
      <c r="A77" s="2">
        <v>26724</v>
      </c>
      <c r="B77" s="4">
        <v>0.48</v>
      </c>
      <c r="C77" s="4">
        <v>-0.78</v>
      </c>
    </row>
    <row r="78" spans="1:3" x14ac:dyDescent="0.45">
      <c r="A78" s="2">
        <v>26755</v>
      </c>
      <c r="B78" s="4">
        <v>0.09</v>
      </c>
      <c r="C78" s="4">
        <v>-0.39</v>
      </c>
    </row>
    <row r="79" spans="1:3" x14ac:dyDescent="0.45">
      <c r="A79" s="2">
        <v>26785</v>
      </c>
      <c r="B79" s="4">
        <v>0.47</v>
      </c>
      <c r="C79" s="4">
        <v>0.38</v>
      </c>
    </row>
    <row r="80" spans="1:3" x14ac:dyDescent="0.45">
      <c r="A80" s="2">
        <v>26816</v>
      </c>
      <c r="B80" s="4">
        <v>0.24</v>
      </c>
      <c r="C80" s="4">
        <v>-0.22999999999999998</v>
      </c>
    </row>
    <row r="81" spans="1:3" x14ac:dyDescent="0.45">
      <c r="A81" s="2">
        <v>26846</v>
      </c>
      <c r="B81" s="4">
        <v>0.53</v>
      </c>
      <c r="C81" s="4">
        <v>0.29000000000000004</v>
      </c>
    </row>
    <row r="82" spans="1:3" x14ac:dyDescent="0.45">
      <c r="A82" s="2">
        <v>26877</v>
      </c>
      <c r="B82" s="4">
        <v>-0.38</v>
      </c>
      <c r="C82" s="4">
        <v>-0.91</v>
      </c>
    </row>
    <row r="83" spans="1:3" x14ac:dyDescent="0.45">
      <c r="A83" s="2">
        <v>26908</v>
      </c>
      <c r="B83" s="4">
        <v>0.66</v>
      </c>
      <c r="C83" s="4">
        <v>1.04</v>
      </c>
    </row>
    <row r="84" spans="1:3" x14ac:dyDescent="0.45">
      <c r="A84" s="2">
        <v>26938</v>
      </c>
      <c r="B84" s="4">
        <v>1.0900000000000001</v>
      </c>
      <c r="C84" s="4">
        <v>0.43000000000000005</v>
      </c>
    </row>
    <row r="85" spans="1:3" x14ac:dyDescent="0.45">
      <c r="A85" s="2">
        <v>26969</v>
      </c>
      <c r="B85" s="4">
        <v>0.82</v>
      </c>
      <c r="C85" s="4">
        <v>-0.27000000000000013</v>
      </c>
    </row>
    <row r="86" spans="1:3" x14ac:dyDescent="0.45">
      <c r="A86" s="2">
        <v>26999</v>
      </c>
      <c r="B86" s="4">
        <v>-0.4</v>
      </c>
      <c r="C86" s="4">
        <v>-1.22</v>
      </c>
    </row>
    <row r="87" spans="1:3" x14ac:dyDescent="0.45">
      <c r="A87" s="2">
        <v>27030</v>
      </c>
      <c r="B87" s="4">
        <v>-0.22</v>
      </c>
      <c r="C87" s="4">
        <v>0.18000000000000002</v>
      </c>
    </row>
    <row r="88" spans="1:3" x14ac:dyDescent="0.45">
      <c r="A88" s="2">
        <v>27061</v>
      </c>
      <c r="B88" s="4">
        <v>-0.26</v>
      </c>
      <c r="C88" s="4">
        <v>-4.0000000000000008E-2</v>
      </c>
    </row>
    <row r="89" spans="1:3" x14ac:dyDescent="0.45">
      <c r="A89" s="2">
        <v>27089</v>
      </c>
      <c r="B89" s="4">
        <v>0.08</v>
      </c>
      <c r="C89" s="4">
        <v>0.34</v>
      </c>
    </row>
    <row r="90" spans="1:3" x14ac:dyDescent="0.45">
      <c r="A90" s="2">
        <v>27120</v>
      </c>
      <c r="B90" s="4">
        <v>-0.36</v>
      </c>
      <c r="C90" s="4">
        <v>-0.44</v>
      </c>
    </row>
    <row r="91" spans="1:3" x14ac:dyDescent="0.45">
      <c r="A91" s="2">
        <v>27150</v>
      </c>
      <c r="B91" s="4">
        <v>0.49</v>
      </c>
      <c r="C91" s="4">
        <v>0.85</v>
      </c>
    </row>
    <row r="92" spans="1:3" x14ac:dyDescent="0.45">
      <c r="A92" s="2">
        <v>27181</v>
      </c>
      <c r="B92" s="4">
        <v>-0.28999999999999998</v>
      </c>
      <c r="C92" s="4">
        <v>-0.78</v>
      </c>
    </row>
    <row r="93" spans="1:3" x14ac:dyDescent="0.45">
      <c r="A93" s="2">
        <v>27211</v>
      </c>
      <c r="B93" s="4">
        <v>-0.27</v>
      </c>
      <c r="C93" s="4">
        <v>1.9999999999999962E-2</v>
      </c>
    </row>
    <row r="94" spans="1:3" x14ac:dyDescent="0.45">
      <c r="A94" s="2">
        <v>27242</v>
      </c>
      <c r="B94" s="4">
        <v>-0.73</v>
      </c>
      <c r="C94" s="4">
        <v>-0.45999999999999996</v>
      </c>
    </row>
    <row r="95" spans="1:3" x14ac:dyDescent="0.45">
      <c r="A95" s="2">
        <v>27273</v>
      </c>
      <c r="B95" s="4">
        <v>-0.86</v>
      </c>
      <c r="C95" s="4">
        <v>-0.13</v>
      </c>
    </row>
    <row r="96" spans="1:3" x14ac:dyDescent="0.45">
      <c r="A96" s="2">
        <v>27303</v>
      </c>
      <c r="B96" s="4">
        <v>-1.1000000000000001</v>
      </c>
      <c r="C96" s="4">
        <v>-0.2400000000000001</v>
      </c>
    </row>
    <row r="97" spans="1:3" x14ac:dyDescent="0.45">
      <c r="A97" s="2">
        <v>27334</v>
      </c>
      <c r="B97" s="4">
        <v>-2.48</v>
      </c>
      <c r="C97" s="4">
        <v>-1.38</v>
      </c>
    </row>
    <row r="98" spans="1:3" x14ac:dyDescent="0.45">
      <c r="A98" s="2">
        <v>27364</v>
      </c>
      <c r="B98" s="4">
        <v>-3.36</v>
      </c>
      <c r="C98" s="4">
        <v>-0.87999999999999989</v>
      </c>
    </row>
    <row r="99" spans="1:3" x14ac:dyDescent="0.45">
      <c r="A99" s="2">
        <v>27395</v>
      </c>
      <c r="B99" s="4">
        <v>-1.82</v>
      </c>
      <c r="C99" s="4">
        <v>1.5399999999999998</v>
      </c>
    </row>
    <row r="100" spans="1:3" x14ac:dyDescent="0.45">
      <c r="A100" s="2">
        <v>27426</v>
      </c>
      <c r="B100" s="4">
        <v>-2.11</v>
      </c>
      <c r="C100" s="4">
        <v>-0.28999999999999981</v>
      </c>
    </row>
    <row r="101" spans="1:3" x14ac:dyDescent="0.45">
      <c r="A101" s="2">
        <v>27454</v>
      </c>
      <c r="B101" s="4">
        <v>-2.0499999999999998</v>
      </c>
      <c r="C101" s="4">
        <v>6.0000000000000053E-2</v>
      </c>
    </row>
    <row r="102" spans="1:3" x14ac:dyDescent="0.45">
      <c r="A102" s="2">
        <v>27485</v>
      </c>
      <c r="B102" s="4">
        <v>-0.24</v>
      </c>
      <c r="C102" s="4">
        <v>1.8099999999999998</v>
      </c>
    </row>
    <row r="103" spans="1:3" x14ac:dyDescent="0.45">
      <c r="A103" s="2">
        <v>27515</v>
      </c>
      <c r="B103" s="4">
        <v>-0.22</v>
      </c>
      <c r="C103" s="4">
        <v>1.999999999999999E-2</v>
      </c>
    </row>
    <row r="104" spans="1:3" x14ac:dyDescent="0.45">
      <c r="A104" s="2">
        <v>27546</v>
      </c>
      <c r="B104" s="4">
        <v>0.13</v>
      </c>
      <c r="C104" s="4">
        <v>0.35</v>
      </c>
    </row>
    <row r="105" spans="1:3" x14ac:dyDescent="0.45">
      <c r="A105" s="2">
        <v>27576</v>
      </c>
      <c r="B105" s="4">
        <v>0.65</v>
      </c>
      <c r="C105" s="4">
        <v>0.52</v>
      </c>
    </row>
    <row r="106" spans="1:3" x14ac:dyDescent="0.45">
      <c r="A106" s="2">
        <v>27607</v>
      </c>
      <c r="B106" s="4">
        <v>0.71</v>
      </c>
      <c r="C106" s="4">
        <v>5.9999999999999942E-2</v>
      </c>
    </row>
    <row r="107" spans="1:3" x14ac:dyDescent="0.45">
      <c r="A107" s="2">
        <v>27638</v>
      </c>
      <c r="B107" s="4">
        <v>0.63</v>
      </c>
      <c r="C107" s="4">
        <v>-7.999999999999996E-2</v>
      </c>
    </row>
    <row r="108" spans="1:3" x14ac:dyDescent="0.45">
      <c r="A108" s="2">
        <v>27668</v>
      </c>
      <c r="B108" s="4">
        <v>0.28999999999999998</v>
      </c>
      <c r="C108" s="4">
        <v>-0.34</v>
      </c>
    </row>
    <row r="109" spans="1:3" x14ac:dyDescent="0.45">
      <c r="A109" s="2">
        <v>27699</v>
      </c>
      <c r="B109" s="4">
        <v>0.14000000000000001</v>
      </c>
      <c r="C109" s="4">
        <v>-0.14999999999999997</v>
      </c>
    </row>
    <row r="110" spans="1:3" x14ac:dyDescent="0.45">
      <c r="A110" s="2">
        <v>27729</v>
      </c>
      <c r="B110" s="4">
        <v>0.89</v>
      </c>
      <c r="C110" s="4">
        <v>0.75</v>
      </c>
    </row>
    <row r="111" spans="1:3" x14ac:dyDescent="0.45">
      <c r="A111" s="2">
        <v>27760</v>
      </c>
      <c r="B111" s="4">
        <v>1.4</v>
      </c>
      <c r="C111" s="4">
        <v>0.5099999999999999</v>
      </c>
    </row>
    <row r="112" spans="1:3" x14ac:dyDescent="0.45">
      <c r="A112" s="2">
        <v>27791</v>
      </c>
      <c r="B112" s="4">
        <v>0.82</v>
      </c>
      <c r="C112" s="4">
        <v>-0.57999999999999996</v>
      </c>
    </row>
    <row r="113" spans="1:3" x14ac:dyDescent="0.45">
      <c r="A113" s="2">
        <v>27820</v>
      </c>
      <c r="B113" s="4">
        <v>0.42</v>
      </c>
      <c r="C113" s="4">
        <v>-0.39999999999999997</v>
      </c>
    </row>
    <row r="114" spans="1:3" x14ac:dyDescent="0.45">
      <c r="A114" s="2">
        <v>27851</v>
      </c>
      <c r="B114" s="4">
        <v>0.33</v>
      </c>
      <c r="C114" s="4">
        <v>-8.9999999999999969E-2</v>
      </c>
    </row>
    <row r="115" spans="1:3" x14ac:dyDescent="0.45">
      <c r="A115" s="2">
        <v>27881</v>
      </c>
      <c r="B115" s="4">
        <v>0.21</v>
      </c>
      <c r="C115" s="4">
        <v>-0.12000000000000002</v>
      </c>
    </row>
    <row r="116" spans="1:3" x14ac:dyDescent="0.45">
      <c r="A116" s="2">
        <v>27912</v>
      </c>
      <c r="B116" s="4">
        <v>0.22</v>
      </c>
      <c r="C116" s="4">
        <v>1.0000000000000009E-2</v>
      </c>
    </row>
    <row r="117" spans="1:3" x14ac:dyDescent="0.45">
      <c r="A117" s="2">
        <v>27942</v>
      </c>
      <c r="B117" s="4">
        <v>0.31</v>
      </c>
      <c r="C117" s="4">
        <v>0.09</v>
      </c>
    </row>
    <row r="118" spans="1:3" x14ac:dyDescent="0.45">
      <c r="A118" s="2">
        <v>27973</v>
      </c>
      <c r="B118" s="4">
        <v>0.28000000000000003</v>
      </c>
      <c r="C118" s="4">
        <v>-2.9999999999999971E-2</v>
      </c>
    </row>
    <row r="119" spans="1:3" x14ac:dyDescent="0.45">
      <c r="A119" s="2">
        <v>28004</v>
      </c>
      <c r="B119" s="4">
        <v>0.35</v>
      </c>
      <c r="C119" s="4">
        <v>6.9999999999999951E-2</v>
      </c>
    </row>
    <row r="120" spans="1:3" x14ac:dyDescent="0.45">
      <c r="A120" s="2">
        <v>28034</v>
      </c>
      <c r="B120" s="4">
        <v>-0.33</v>
      </c>
      <c r="C120" s="4">
        <v>-0.67999999999999994</v>
      </c>
    </row>
    <row r="121" spans="1:3" x14ac:dyDescent="0.45">
      <c r="A121" s="2">
        <v>28065</v>
      </c>
      <c r="B121" s="4">
        <v>1</v>
      </c>
      <c r="C121" s="4">
        <v>1.33</v>
      </c>
    </row>
    <row r="122" spans="1:3" x14ac:dyDescent="0.45">
      <c r="A122" s="2">
        <v>28095</v>
      </c>
      <c r="B122" s="4">
        <v>1.1200000000000001</v>
      </c>
      <c r="C122" s="4">
        <v>0.12000000000000011</v>
      </c>
    </row>
    <row r="123" spans="1:3" x14ac:dyDescent="0.45">
      <c r="A123" s="2">
        <v>28126</v>
      </c>
      <c r="B123" s="4">
        <v>-0.19</v>
      </c>
      <c r="C123" s="4">
        <v>-1.31</v>
      </c>
    </row>
    <row r="124" spans="1:3" x14ac:dyDescent="0.45">
      <c r="A124" s="2">
        <v>28157</v>
      </c>
      <c r="B124" s="4">
        <v>1.1499999999999999</v>
      </c>
      <c r="C124" s="4">
        <v>1.3399999999999999</v>
      </c>
    </row>
    <row r="125" spans="1:3" x14ac:dyDescent="0.45">
      <c r="A125" s="2">
        <v>28185</v>
      </c>
      <c r="B125" s="4">
        <v>1.1000000000000001</v>
      </c>
      <c r="C125" s="4">
        <v>-4.9999999999999822E-2</v>
      </c>
    </row>
    <row r="126" spans="1:3" x14ac:dyDescent="0.45">
      <c r="A126" s="2">
        <v>28216</v>
      </c>
      <c r="B126" s="4">
        <v>0.66</v>
      </c>
      <c r="C126" s="4">
        <v>-0.44000000000000006</v>
      </c>
    </row>
    <row r="127" spans="1:3" x14ac:dyDescent="0.45">
      <c r="A127" s="2">
        <v>28246</v>
      </c>
      <c r="B127" s="4">
        <v>0.68</v>
      </c>
      <c r="C127" s="4">
        <v>2.0000000000000018E-2</v>
      </c>
    </row>
    <row r="128" spans="1:3" x14ac:dyDescent="0.45">
      <c r="A128" s="2">
        <v>28277</v>
      </c>
      <c r="B128" s="4">
        <v>0.73</v>
      </c>
      <c r="C128" s="4">
        <v>4.9999999999999933E-2</v>
      </c>
    </row>
    <row r="129" spans="1:3" x14ac:dyDescent="0.45">
      <c r="A129" s="2">
        <v>28307</v>
      </c>
      <c r="B129" s="4">
        <v>0.37</v>
      </c>
      <c r="C129" s="4">
        <v>-0.36</v>
      </c>
    </row>
    <row r="130" spans="1:3" x14ac:dyDescent="0.45">
      <c r="A130" s="2">
        <v>28338</v>
      </c>
      <c r="B130" s="4">
        <v>0.28999999999999998</v>
      </c>
      <c r="C130" s="4">
        <v>-8.0000000000000016E-2</v>
      </c>
    </row>
    <row r="131" spans="1:3" x14ac:dyDescent="0.45">
      <c r="A131" s="2">
        <v>28369</v>
      </c>
      <c r="B131" s="4">
        <v>0.43</v>
      </c>
      <c r="C131" s="4">
        <v>0.14000000000000001</v>
      </c>
    </row>
    <row r="132" spans="1:3" x14ac:dyDescent="0.45">
      <c r="A132" s="2">
        <v>28399</v>
      </c>
      <c r="B132" s="4">
        <v>0.44</v>
      </c>
      <c r="C132" s="4">
        <v>1.0000000000000009E-2</v>
      </c>
    </row>
    <row r="133" spans="1:3" x14ac:dyDescent="0.45">
      <c r="A133" s="2">
        <v>28430</v>
      </c>
      <c r="B133" s="4">
        <v>0.53</v>
      </c>
      <c r="C133" s="4">
        <v>9.0000000000000024E-2</v>
      </c>
    </row>
    <row r="134" spans="1:3" x14ac:dyDescent="0.45">
      <c r="A134" s="2">
        <v>28460</v>
      </c>
      <c r="B134" s="4">
        <v>0.8</v>
      </c>
      <c r="C134" s="4">
        <v>0.27</v>
      </c>
    </row>
    <row r="135" spans="1:3" x14ac:dyDescent="0.45">
      <c r="A135" s="2">
        <v>28491</v>
      </c>
      <c r="B135" s="4">
        <v>-1.24</v>
      </c>
      <c r="C135" s="4">
        <v>-2.04</v>
      </c>
    </row>
    <row r="136" spans="1:3" x14ac:dyDescent="0.45">
      <c r="A136" s="2">
        <v>28522</v>
      </c>
      <c r="B136" s="4">
        <v>1.04</v>
      </c>
      <c r="C136" s="4">
        <v>2.2800000000000002</v>
      </c>
    </row>
    <row r="137" spans="1:3" x14ac:dyDescent="0.45">
      <c r="A137" s="2">
        <v>28550</v>
      </c>
      <c r="B137" s="4">
        <v>1.33</v>
      </c>
      <c r="C137" s="4">
        <v>0.29000000000000004</v>
      </c>
    </row>
    <row r="138" spans="1:3" x14ac:dyDescent="0.45">
      <c r="A138" s="2">
        <v>28581</v>
      </c>
      <c r="B138" s="4">
        <v>1.81</v>
      </c>
      <c r="C138" s="4">
        <v>0.48</v>
      </c>
    </row>
    <row r="139" spans="1:3" x14ac:dyDescent="0.45">
      <c r="A139" s="2">
        <v>28611</v>
      </c>
      <c r="B139" s="4">
        <v>0.37</v>
      </c>
      <c r="C139" s="4">
        <v>-1.44</v>
      </c>
    </row>
    <row r="140" spans="1:3" x14ac:dyDescent="0.45">
      <c r="A140" s="2">
        <v>28642</v>
      </c>
      <c r="B140" s="4">
        <v>0.82</v>
      </c>
      <c r="C140" s="4">
        <v>0.44999999999999996</v>
      </c>
    </row>
    <row r="141" spans="1:3" x14ac:dyDescent="0.45">
      <c r="A141" s="2">
        <v>28672</v>
      </c>
      <c r="B141" s="4">
        <v>-0.1</v>
      </c>
      <c r="C141" s="4">
        <v>-0.91999999999999993</v>
      </c>
    </row>
    <row r="142" spans="1:3" x14ac:dyDescent="0.45">
      <c r="A142" s="2">
        <v>28703</v>
      </c>
      <c r="B142" s="4">
        <v>0.71</v>
      </c>
      <c r="C142" s="4">
        <v>0.80999999999999994</v>
      </c>
    </row>
    <row r="143" spans="1:3" x14ac:dyDescent="0.45">
      <c r="A143" s="2">
        <v>28734</v>
      </c>
      <c r="B143" s="4">
        <v>0.28999999999999998</v>
      </c>
      <c r="C143" s="4">
        <v>-0.42</v>
      </c>
    </row>
    <row r="144" spans="1:3" x14ac:dyDescent="0.45">
      <c r="A144" s="2">
        <v>28764</v>
      </c>
      <c r="B144" s="4">
        <v>0.75</v>
      </c>
      <c r="C144" s="4">
        <v>0.46</v>
      </c>
    </row>
    <row r="145" spans="1:3" x14ac:dyDescent="0.45">
      <c r="A145" s="2">
        <v>28795</v>
      </c>
      <c r="B145" s="4">
        <v>0.73</v>
      </c>
      <c r="C145" s="4">
        <v>-2.0000000000000018E-2</v>
      </c>
    </row>
    <row r="146" spans="1:3" x14ac:dyDescent="0.45">
      <c r="A146" s="2">
        <v>28825</v>
      </c>
      <c r="B146" s="4">
        <v>0.53</v>
      </c>
      <c r="C146" s="4">
        <v>-0.19999999999999996</v>
      </c>
    </row>
    <row r="147" spans="1:3" x14ac:dyDescent="0.45">
      <c r="A147" s="2">
        <v>28856</v>
      </c>
      <c r="B147" s="4">
        <v>-0.38</v>
      </c>
      <c r="C147" s="4">
        <v>-0.91</v>
      </c>
    </row>
    <row r="148" spans="1:3" x14ac:dyDescent="0.45">
      <c r="A148" s="2">
        <v>28887</v>
      </c>
      <c r="B148" s="4">
        <v>0.14000000000000001</v>
      </c>
      <c r="C148" s="4">
        <v>0.52</v>
      </c>
    </row>
    <row r="149" spans="1:3" x14ac:dyDescent="0.45">
      <c r="A149" s="2">
        <v>28915</v>
      </c>
      <c r="B149" s="4">
        <v>1.03</v>
      </c>
      <c r="C149" s="4">
        <v>0.89</v>
      </c>
    </row>
    <row r="150" spans="1:3" x14ac:dyDescent="0.45">
      <c r="A150" s="2">
        <v>28946</v>
      </c>
      <c r="B150" s="4">
        <v>-1.42</v>
      </c>
      <c r="C150" s="4">
        <v>-2.4500000000000002</v>
      </c>
    </row>
    <row r="151" spans="1:3" x14ac:dyDescent="0.45">
      <c r="A151" s="2">
        <v>28976</v>
      </c>
      <c r="B151" s="4">
        <v>1.17</v>
      </c>
      <c r="C151" s="4">
        <v>2.59</v>
      </c>
    </row>
    <row r="152" spans="1:3" x14ac:dyDescent="0.45">
      <c r="A152" s="2">
        <v>29007</v>
      </c>
      <c r="B152" s="4">
        <v>-0.04</v>
      </c>
      <c r="C152" s="4">
        <v>-1.21</v>
      </c>
    </row>
    <row r="153" spans="1:3" x14ac:dyDescent="0.45">
      <c r="A153" s="2">
        <v>29037</v>
      </c>
      <c r="B153" s="4">
        <v>-0.14000000000000001</v>
      </c>
      <c r="C153" s="4">
        <v>-0.1</v>
      </c>
    </row>
    <row r="154" spans="1:3" x14ac:dyDescent="0.45">
      <c r="A154" s="2">
        <v>29068</v>
      </c>
      <c r="B154" s="4">
        <v>-0.45</v>
      </c>
      <c r="C154" s="4">
        <v>-0.31</v>
      </c>
    </row>
    <row r="155" spans="1:3" x14ac:dyDescent="0.45">
      <c r="A155" s="2">
        <v>29099</v>
      </c>
      <c r="B155" s="4">
        <v>-0.06</v>
      </c>
      <c r="C155" s="4">
        <v>0.39</v>
      </c>
    </row>
    <row r="156" spans="1:3" x14ac:dyDescent="0.45">
      <c r="A156" s="2">
        <v>29129</v>
      </c>
      <c r="B156" s="4">
        <v>0.01</v>
      </c>
      <c r="C156" s="4">
        <v>6.9999999999999993E-2</v>
      </c>
    </row>
    <row r="157" spans="1:3" x14ac:dyDescent="0.45">
      <c r="A157" s="2">
        <v>29160</v>
      </c>
      <c r="B157" s="4">
        <v>-0.32</v>
      </c>
      <c r="C157" s="4">
        <v>-0.33</v>
      </c>
    </row>
    <row r="158" spans="1:3" x14ac:dyDescent="0.45">
      <c r="A158" s="2">
        <v>29190</v>
      </c>
      <c r="B158" s="4">
        <v>-0.17</v>
      </c>
      <c r="C158" s="4">
        <v>0.15</v>
      </c>
    </row>
    <row r="159" spans="1:3" x14ac:dyDescent="0.45">
      <c r="A159" s="2">
        <v>29221</v>
      </c>
      <c r="B159" s="4">
        <v>0.13</v>
      </c>
      <c r="C159" s="4">
        <v>0.30000000000000004</v>
      </c>
    </row>
    <row r="160" spans="1:3" x14ac:dyDescent="0.45">
      <c r="A160" s="2">
        <v>29252</v>
      </c>
      <c r="B160" s="4">
        <v>-0.54</v>
      </c>
      <c r="C160" s="4">
        <v>-0.67</v>
      </c>
    </row>
    <row r="161" spans="1:3" x14ac:dyDescent="0.45">
      <c r="A161" s="2">
        <v>29281</v>
      </c>
      <c r="B161" s="4">
        <v>-1.17</v>
      </c>
      <c r="C161" s="4">
        <v>-0.62999999999999989</v>
      </c>
    </row>
    <row r="162" spans="1:3" x14ac:dyDescent="0.45">
      <c r="A162" s="2">
        <v>29312</v>
      </c>
      <c r="B162" s="4">
        <v>-2.25</v>
      </c>
      <c r="C162" s="4">
        <v>-1.08</v>
      </c>
    </row>
    <row r="163" spans="1:3" x14ac:dyDescent="0.45">
      <c r="A163" s="2">
        <v>29342</v>
      </c>
      <c r="B163" s="4">
        <v>-2.39</v>
      </c>
      <c r="C163" s="4">
        <v>-0.14000000000000012</v>
      </c>
    </row>
    <row r="164" spans="1:3" x14ac:dyDescent="0.45">
      <c r="A164" s="2">
        <v>29373</v>
      </c>
      <c r="B164" s="4">
        <v>-1.25</v>
      </c>
      <c r="C164" s="4">
        <v>1.1400000000000001</v>
      </c>
    </row>
    <row r="165" spans="1:3" x14ac:dyDescent="0.45">
      <c r="A165" s="2">
        <v>29403</v>
      </c>
      <c r="B165" s="4">
        <v>-0.63</v>
      </c>
      <c r="C165" s="4">
        <v>0.62</v>
      </c>
    </row>
    <row r="166" spans="1:3" x14ac:dyDescent="0.45">
      <c r="A166" s="2">
        <v>29434</v>
      </c>
      <c r="B166" s="4">
        <v>0.31</v>
      </c>
      <c r="C166" s="4">
        <v>0.94</v>
      </c>
    </row>
    <row r="167" spans="1:3" x14ac:dyDescent="0.45">
      <c r="A167" s="2">
        <v>29465</v>
      </c>
      <c r="B167" s="4">
        <v>1</v>
      </c>
      <c r="C167" s="4">
        <v>0.69</v>
      </c>
    </row>
    <row r="168" spans="1:3" x14ac:dyDescent="0.45">
      <c r="A168" s="2">
        <v>29495</v>
      </c>
      <c r="B168" s="4">
        <v>1.1299999999999999</v>
      </c>
      <c r="C168" s="4">
        <v>0.12999999999999989</v>
      </c>
    </row>
    <row r="169" spans="1:3" x14ac:dyDescent="0.45">
      <c r="A169" s="2">
        <v>29526</v>
      </c>
      <c r="B169" s="4">
        <v>0.64</v>
      </c>
      <c r="C169" s="4">
        <v>-0.48999999999999988</v>
      </c>
    </row>
    <row r="170" spans="1:3" x14ac:dyDescent="0.45">
      <c r="A170" s="2">
        <v>29556</v>
      </c>
      <c r="B170" s="4">
        <v>0.35</v>
      </c>
      <c r="C170" s="4">
        <v>-0.29000000000000004</v>
      </c>
    </row>
    <row r="171" spans="1:3" x14ac:dyDescent="0.45">
      <c r="A171" s="2">
        <v>29587</v>
      </c>
      <c r="B171" s="4">
        <v>-0.27</v>
      </c>
      <c r="C171" s="4">
        <v>-0.62</v>
      </c>
    </row>
    <row r="172" spans="1:3" x14ac:dyDescent="0.45">
      <c r="A172" s="2">
        <v>29618</v>
      </c>
      <c r="B172" s="4">
        <v>-0.43</v>
      </c>
      <c r="C172" s="4">
        <v>-0.15999999999999998</v>
      </c>
    </row>
    <row r="173" spans="1:3" x14ac:dyDescent="0.45">
      <c r="A173" s="2">
        <v>29646</v>
      </c>
      <c r="B173" s="4">
        <v>-0.09</v>
      </c>
      <c r="C173" s="4">
        <v>0.33999999999999997</v>
      </c>
    </row>
    <row r="174" spans="1:3" x14ac:dyDescent="0.45">
      <c r="A174" s="2">
        <v>29677</v>
      </c>
      <c r="B174" s="4">
        <v>-0.04</v>
      </c>
      <c r="C174" s="4">
        <v>4.9999999999999996E-2</v>
      </c>
    </row>
    <row r="175" spans="1:3" x14ac:dyDescent="0.45">
      <c r="A175" s="2">
        <v>29707</v>
      </c>
      <c r="B175" s="4">
        <v>-0.05</v>
      </c>
      <c r="C175" s="4">
        <v>-1.0000000000000002E-2</v>
      </c>
    </row>
    <row r="176" spans="1:3" x14ac:dyDescent="0.45">
      <c r="A176" s="2">
        <v>29738</v>
      </c>
      <c r="B176" s="4">
        <v>-0.28000000000000003</v>
      </c>
      <c r="C176" s="4">
        <v>-0.23000000000000004</v>
      </c>
    </row>
    <row r="177" spans="1:3" x14ac:dyDescent="0.45">
      <c r="A177" s="2">
        <v>29768</v>
      </c>
      <c r="B177" s="4">
        <v>0.06</v>
      </c>
      <c r="C177" s="4">
        <v>0.34</v>
      </c>
    </row>
    <row r="178" spans="1:3" x14ac:dyDescent="0.45">
      <c r="A178" s="2">
        <v>29799</v>
      </c>
      <c r="B178" s="4">
        <v>-0.46</v>
      </c>
      <c r="C178" s="4">
        <v>-0.52</v>
      </c>
    </row>
    <row r="179" spans="1:3" x14ac:dyDescent="0.45">
      <c r="A179" s="2">
        <v>29830</v>
      </c>
      <c r="B179" s="4">
        <v>-0.97</v>
      </c>
      <c r="C179" s="4">
        <v>-0.51</v>
      </c>
    </row>
    <row r="180" spans="1:3" x14ac:dyDescent="0.45">
      <c r="A180" s="2">
        <v>29860</v>
      </c>
      <c r="B180" s="4">
        <v>-1.3</v>
      </c>
      <c r="C180" s="4">
        <v>-0.33000000000000007</v>
      </c>
    </row>
    <row r="181" spans="1:3" x14ac:dyDescent="0.45">
      <c r="A181" s="2">
        <v>29891</v>
      </c>
      <c r="B181" s="4">
        <v>-1.35</v>
      </c>
      <c r="C181" s="4">
        <v>-5.0000000000000044E-2</v>
      </c>
    </row>
    <row r="182" spans="1:3" x14ac:dyDescent="0.45">
      <c r="A182" s="2">
        <v>29921</v>
      </c>
      <c r="B182" s="4">
        <v>-1.57</v>
      </c>
      <c r="C182" s="4">
        <v>-0.21999999999999997</v>
      </c>
    </row>
    <row r="183" spans="1:3" x14ac:dyDescent="0.45">
      <c r="A183" s="2">
        <v>29952</v>
      </c>
      <c r="B183" s="4">
        <v>-1.83</v>
      </c>
      <c r="C183" s="4">
        <v>-0.26</v>
      </c>
    </row>
    <row r="184" spans="1:3" x14ac:dyDescent="0.45">
      <c r="A184" s="2">
        <v>29983</v>
      </c>
      <c r="B184" s="4">
        <v>0.91</v>
      </c>
      <c r="C184" s="4">
        <v>2.74</v>
      </c>
    </row>
    <row r="185" spans="1:3" x14ac:dyDescent="0.45">
      <c r="A185" s="2">
        <v>30011</v>
      </c>
      <c r="B185" s="4">
        <v>-0.96</v>
      </c>
      <c r="C185" s="4">
        <v>-1.87</v>
      </c>
    </row>
    <row r="186" spans="1:3" x14ac:dyDescent="0.45">
      <c r="A186" s="2">
        <v>30042</v>
      </c>
      <c r="B186" s="4">
        <v>-1.08</v>
      </c>
      <c r="C186" s="4">
        <v>-0.12000000000000011</v>
      </c>
    </row>
    <row r="187" spans="1:3" x14ac:dyDescent="0.45">
      <c r="A187" s="2">
        <v>30072</v>
      </c>
      <c r="B187" s="4">
        <v>-0.62</v>
      </c>
      <c r="C187" s="4">
        <v>0.46000000000000008</v>
      </c>
    </row>
    <row r="188" spans="1:3" x14ac:dyDescent="0.45">
      <c r="A188" s="2">
        <v>30103</v>
      </c>
      <c r="B188" s="4">
        <v>-1.17</v>
      </c>
      <c r="C188" s="4">
        <v>-0.54999999999999993</v>
      </c>
    </row>
    <row r="189" spans="1:3" x14ac:dyDescent="0.45">
      <c r="A189" s="2">
        <v>30133</v>
      </c>
      <c r="B189" s="4">
        <v>-0.78</v>
      </c>
      <c r="C189" s="4">
        <v>0.3899999999999999</v>
      </c>
    </row>
    <row r="190" spans="1:3" x14ac:dyDescent="0.45">
      <c r="A190" s="2">
        <v>30164</v>
      </c>
      <c r="B190" s="4">
        <v>-1.08</v>
      </c>
      <c r="C190" s="4">
        <v>-0.30000000000000004</v>
      </c>
    </row>
    <row r="191" spans="1:3" x14ac:dyDescent="0.45">
      <c r="A191" s="2">
        <v>30195</v>
      </c>
      <c r="B191" s="4">
        <v>-0.57999999999999996</v>
      </c>
      <c r="C191" s="4">
        <v>0.50000000000000011</v>
      </c>
    </row>
    <row r="192" spans="1:3" x14ac:dyDescent="0.45">
      <c r="A192" s="2">
        <v>30225</v>
      </c>
      <c r="B192" s="4">
        <v>-1.27</v>
      </c>
      <c r="C192" s="4">
        <v>-0.69000000000000006</v>
      </c>
    </row>
    <row r="193" spans="1:3" x14ac:dyDescent="0.45">
      <c r="A193" s="2">
        <v>30256</v>
      </c>
      <c r="B193" s="4">
        <v>-0.54</v>
      </c>
      <c r="C193" s="4">
        <v>0.73</v>
      </c>
    </row>
    <row r="194" spans="1:3" x14ac:dyDescent="0.45">
      <c r="A194" s="2">
        <v>30286</v>
      </c>
      <c r="B194" s="4">
        <v>-0.53</v>
      </c>
      <c r="C194" s="4">
        <v>1.0000000000000009E-2</v>
      </c>
    </row>
    <row r="195" spans="1:3" x14ac:dyDescent="0.45">
      <c r="A195" s="2">
        <v>30317</v>
      </c>
      <c r="B195" s="4">
        <v>1.1299999999999999</v>
      </c>
      <c r="C195" s="4">
        <v>1.66</v>
      </c>
    </row>
    <row r="196" spans="1:3" x14ac:dyDescent="0.45">
      <c r="A196" s="2">
        <v>30348</v>
      </c>
      <c r="B196" s="4">
        <v>-0.46</v>
      </c>
      <c r="C196" s="4">
        <v>-1.5899999999999999</v>
      </c>
    </row>
    <row r="197" spans="1:3" x14ac:dyDescent="0.45">
      <c r="A197" s="2">
        <v>30376</v>
      </c>
      <c r="B197" s="4">
        <v>0.72</v>
      </c>
      <c r="C197" s="4">
        <v>1.18</v>
      </c>
    </row>
    <row r="198" spans="1:3" x14ac:dyDescent="0.45">
      <c r="A198" s="2">
        <v>30407</v>
      </c>
      <c r="B198" s="4">
        <v>0.68</v>
      </c>
      <c r="C198" s="4">
        <v>-3.9999999999999925E-2</v>
      </c>
    </row>
    <row r="199" spans="1:3" x14ac:dyDescent="0.45">
      <c r="A199" s="2">
        <v>30437</v>
      </c>
      <c r="B199" s="4">
        <v>0.93</v>
      </c>
      <c r="C199" s="4">
        <v>0.25</v>
      </c>
    </row>
    <row r="200" spans="1:3" x14ac:dyDescent="0.45">
      <c r="A200" s="2">
        <v>30468</v>
      </c>
      <c r="B200" s="4">
        <v>1.1499999999999999</v>
      </c>
      <c r="C200" s="4">
        <v>0.21999999999999986</v>
      </c>
    </row>
    <row r="201" spans="1:3" x14ac:dyDescent="0.45">
      <c r="A201" s="2">
        <v>30498</v>
      </c>
      <c r="B201" s="4">
        <v>1.07</v>
      </c>
      <c r="C201" s="4">
        <v>-7.9999999999999849E-2</v>
      </c>
    </row>
    <row r="202" spans="1:3" x14ac:dyDescent="0.45">
      <c r="A202" s="2">
        <v>30529</v>
      </c>
      <c r="B202" s="4">
        <v>0.45</v>
      </c>
      <c r="C202" s="4">
        <v>-0.62000000000000011</v>
      </c>
    </row>
    <row r="203" spans="1:3" x14ac:dyDescent="0.45">
      <c r="A203" s="2">
        <v>30560</v>
      </c>
      <c r="B203" s="4">
        <v>1.59</v>
      </c>
      <c r="C203" s="4">
        <v>1.1400000000000001</v>
      </c>
    </row>
    <row r="204" spans="1:3" x14ac:dyDescent="0.45">
      <c r="A204" s="2">
        <v>30590</v>
      </c>
      <c r="B204" s="4">
        <v>0.98</v>
      </c>
      <c r="C204" s="4">
        <v>-0.6100000000000001</v>
      </c>
    </row>
    <row r="205" spans="1:3" x14ac:dyDescent="0.45">
      <c r="A205" s="2">
        <v>30621</v>
      </c>
      <c r="B205" s="4">
        <v>0.77</v>
      </c>
      <c r="C205" s="4">
        <v>-0.20999999999999996</v>
      </c>
    </row>
    <row r="206" spans="1:3" x14ac:dyDescent="0.45">
      <c r="A206" s="2">
        <v>30651</v>
      </c>
      <c r="B206" s="4">
        <v>0.98</v>
      </c>
      <c r="C206" s="4">
        <v>0.20999999999999996</v>
      </c>
    </row>
    <row r="207" spans="1:3" x14ac:dyDescent="0.45">
      <c r="A207" s="2">
        <v>30682</v>
      </c>
      <c r="B207" s="4">
        <v>1.28</v>
      </c>
      <c r="C207" s="4">
        <v>0.30000000000000004</v>
      </c>
    </row>
    <row r="208" spans="1:3" x14ac:dyDescent="0.45">
      <c r="A208" s="2">
        <v>30713</v>
      </c>
      <c r="B208" s="4">
        <v>0.68</v>
      </c>
      <c r="C208" s="4">
        <v>-0.6</v>
      </c>
    </row>
    <row r="209" spans="1:3" x14ac:dyDescent="0.45">
      <c r="A209" s="2">
        <v>30742</v>
      </c>
      <c r="B209" s="4">
        <v>0.44</v>
      </c>
      <c r="C209" s="4">
        <v>-0.24000000000000005</v>
      </c>
    </row>
    <row r="210" spans="1:3" x14ac:dyDescent="0.45">
      <c r="A210" s="2">
        <v>30773</v>
      </c>
      <c r="B210" s="4">
        <v>0.59</v>
      </c>
      <c r="C210" s="4">
        <v>0.14999999999999997</v>
      </c>
    </row>
    <row r="211" spans="1:3" x14ac:dyDescent="0.45">
      <c r="A211" s="2">
        <v>30803</v>
      </c>
      <c r="B211" s="4">
        <v>0.6</v>
      </c>
      <c r="C211" s="4">
        <v>1.0000000000000009E-2</v>
      </c>
    </row>
    <row r="212" spans="1:3" x14ac:dyDescent="0.45">
      <c r="A212" s="2">
        <v>30834</v>
      </c>
      <c r="B212" s="4">
        <v>0.61</v>
      </c>
      <c r="C212" s="4">
        <v>1.0000000000000009E-2</v>
      </c>
    </row>
    <row r="213" spans="1:3" x14ac:dyDescent="0.45">
      <c r="A213" s="2">
        <v>30864</v>
      </c>
      <c r="B213" s="4">
        <v>0.1</v>
      </c>
      <c r="C213" s="4">
        <v>-0.51</v>
      </c>
    </row>
    <row r="214" spans="1:3" x14ac:dyDescent="0.45">
      <c r="A214" s="2">
        <v>30895</v>
      </c>
      <c r="B214" s="4">
        <v>-0.01</v>
      </c>
      <c r="C214" s="4">
        <v>-0.11</v>
      </c>
    </row>
    <row r="215" spans="1:3" x14ac:dyDescent="0.45">
      <c r="A215" s="2">
        <v>30926</v>
      </c>
      <c r="B215" s="4">
        <v>-0.06</v>
      </c>
      <c r="C215" s="4">
        <v>-4.9999999999999996E-2</v>
      </c>
    </row>
    <row r="216" spans="1:3" x14ac:dyDescent="0.45">
      <c r="A216" s="2">
        <v>30956</v>
      </c>
      <c r="B216" s="4">
        <v>0.17</v>
      </c>
      <c r="C216" s="4">
        <v>0.23</v>
      </c>
    </row>
    <row r="217" spans="1:3" x14ac:dyDescent="0.45">
      <c r="A217" s="2">
        <v>30987</v>
      </c>
      <c r="B217" s="4">
        <v>0.42</v>
      </c>
      <c r="C217" s="4">
        <v>0.24999999999999997</v>
      </c>
    </row>
    <row r="218" spans="1:3" x14ac:dyDescent="0.45">
      <c r="A218" s="2">
        <v>31017</v>
      </c>
      <c r="B218" s="4">
        <v>0.06</v>
      </c>
      <c r="C218" s="4">
        <v>-0.36</v>
      </c>
    </row>
    <row r="219" spans="1:3" x14ac:dyDescent="0.45">
      <c r="A219" s="2">
        <v>31048</v>
      </c>
      <c r="B219" s="4">
        <v>-0.09</v>
      </c>
      <c r="C219" s="4">
        <v>-0.15</v>
      </c>
    </row>
    <row r="220" spans="1:3" x14ac:dyDescent="0.45">
      <c r="A220" s="2">
        <v>31079</v>
      </c>
      <c r="B220" s="4">
        <v>-0.04</v>
      </c>
      <c r="C220" s="4">
        <v>4.9999999999999996E-2</v>
      </c>
    </row>
    <row r="221" spans="1:3" x14ac:dyDescent="0.45">
      <c r="A221" s="2">
        <v>31107</v>
      </c>
      <c r="B221" s="4">
        <v>0.36</v>
      </c>
      <c r="C221" s="4">
        <v>0.39999999999999997</v>
      </c>
    </row>
    <row r="222" spans="1:3" x14ac:dyDescent="0.45">
      <c r="A222" s="2">
        <v>31138</v>
      </c>
      <c r="B222" s="4">
        <v>-0.28000000000000003</v>
      </c>
      <c r="C222" s="4">
        <v>-0.64</v>
      </c>
    </row>
    <row r="223" spans="1:3" x14ac:dyDescent="0.45">
      <c r="A223" s="2">
        <v>31168</v>
      </c>
      <c r="B223" s="4">
        <v>0.38</v>
      </c>
      <c r="C223" s="4">
        <v>0.66</v>
      </c>
    </row>
    <row r="224" spans="1:3" x14ac:dyDescent="0.45">
      <c r="A224" s="2">
        <v>31199</v>
      </c>
      <c r="B224" s="4">
        <v>-0.53</v>
      </c>
      <c r="C224" s="4">
        <v>-0.91</v>
      </c>
    </row>
    <row r="225" spans="1:3" x14ac:dyDescent="0.45">
      <c r="A225" s="2">
        <v>31229</v>
      </c>
      <c r="B225" s="4">
        <v>-0.2</v>
      </c>
      <c r="C225" s="4">
        <v>0.33</v>
      </c>
    </row>
    <row r="226" spans="1:3" x14ac:dyDescent="0.45">
      <c r="A226" s="2">
        <v>31260</v>
      </c>
      <c r="B226" s="4">
        <v>0.54</v>
      </c>
      <c r="C226" s="4">
        <v>0.74</v>
      </c>
    </row>
    <row r="227" spans="1:3" x14ac:dyDescent="0.45">
      <c r="A227" s="2">
        <v>31291</v>
      </c>
      <c r="B227" s="4">
        <v>0.24</v>
      </c>
      <c r="C227" s="4">
        <v>-0.30000000000000004</v>
      </c>
    </row>
    <row r="228" spans="1:3" x14ac:dyDescent="0.45">
      <c r="A228" s="2">
        <v>31321</v>
      </c>
      <c r="B228" s="4">
        <v>-0.38</v>
      </c>
      <c r="C228" s="4">
        <v>-0.62</v>
      </c>
    </row>
    <row r="229" spans="1:3" x14ac:dyDescent="0.45">
      <c r="A229" s="2">
        <v>31352</v>
      </c>
      <c r="B229" s="4">
        <v>0.33</v>
      </c>
      <c r="C229" s="4">
        <v>0.71</v>
      </c>
    </row>
    <row r="230" spans="1:3" x14ac:dyDescent="0.45">
      <c r="A230" s="2">
        <v>31382</v>
      </c>
      <c r="B230" s="4">
        <v>0.28000000000000003</v>
      </c>
      <c r="C230" s="4">
        <v>-4.9999999999999989E-2</v>
      </c>
    </row>
    <row r="231" spans="1:3" x14ac:dyDescent="0.45">
      <c r="A231" s="2">
        <v>31413</v>
      </c>
      <c r="B231" s="4">
        <v>0.61</v>
      </c>
      <c r="C231" s="4">
        <v>0.32999999999999996</v>
      </c>
    </row>
    <row r="232" spans="1:3" x14ac:dyDescent="0.45">
      <c r="A232" s="2">
        <v>31444</v>
      </c>
      <c r="B232" s="4">
        <v>-0.53</v>
      </c>
      <c r="C232" s="4">
        <v>-1.1400000000000001</v>
      </c>
    </row>
    <row r="233" spans="1:3" x14ac:dyDescent="0.45">
      <c r="A233" s="2">
        <v>31472</v>
      </c>
      <c r="B233" s="4">
        <v>-0.2</v>
      </c>
      <c r="C233" s="4">
        <v>0.33</v>
      </c>
    </row>
    <row r="234" spans="1:3" x14ac:dyDescent="0.45">
      <c r="A234" s="2">
        <v>31503</v>
      </c>
      <c r="B234" s="4">
        <v>0.52</v>
      </c>
      <c r="C234" s="4">
        <v>0.72</v>
      </c>
    </row>
    <row r="235" spans="1:3" x14ac:dyDescent="0.45">
      <c r="A235" s="2">
        <v>31533</v>
      </c>
      <c r="B235" s="4">
        <v>-0.15</v>
      </c>
      <c r="C235" s="4">
        <v>-0.67</v>
      </c>
    </row>
    <row r="236" spans="1:3" x14ac:dyDescent="0.45">
      <c r="A236" s="2">
        <v>31564</v>
      </c>
      <c r="B236" s="4">
        <v>-0.13</v>
      </c>
      <c r="C236" s="4">
        <v>1.999999999999999E-2</v>
      </c>
    </row>
    <row r="237" spans="1:3" x14ac:dyDescent="0.45">
      <c r="A237" s="2">
        <v>31594</v>
      </c>
      <c r="B237" s="4">
        <v>0.34</v>
      </c>
      <c r="C237" s="4">
        <v>0.47000000000000003</v>
      </c>
    </row>
    <row r="238" spans="1:3" x14ac:dyDescent="0.45">
      <c r="A238" s="2">
        <v>31625</v>
      </c>
      <c r="B238" s="4">
        <v>0.08</v>
      </c>
      <c r="C238" s="4">
        <v>-0.26</v>
      </c>
    </row>
    <row r="239" spans="1:3" x14ac:dyDescent="0.45">
      <c r="A239" s="2">
        <v>31656</v>
      </c>
      <c r="B239" s="4">
        <v>0.65</v>
      </c>
      <c r="C239" s="4">
        <v>0.57000000000000006</v>
      </c>
    </row>
    <row r="240" spans="1:3" x14ac:dyDescent="0.45">
      <c r="A240" s="2">
        <v>31686</v>
      </c>
      <c r="B240" s="4">
        <v>-0.26</v>
      </c>
      <c r="C240" s="4">
        <v>-0.91</v>
      </c>
    </row>
    <row r="241" spans="1:3" x14ac:dyDescent="0.45">
      <c r="A241" s="2">
        <v>31717</v>
      </c>
      <c r="B241" s="4">
        <v>0.02</v>
      </c>
      <c r="C241" s="4">
        <v>0.28000000000000003</v>
      </c>
    </row>
    <row r="242" spans="1:3" x14ac:dyDescent="0.45">
      <c r="A242" s="2">
        <v>31747</v>
      </c>
      <c r="B242" s="4">
        <v>0.95</v>
      </c>
      <c r="C242" s="4">
        <v>0.92999999999999994</v>
      </c>
    </row>
    <row r="243" spans="1:3" x14ac:dyDescent="0.45">
      <c r="A243" s="2">
        <v>31778</v>
      </c>
      <c r="B243" s="4">
        <v>-0.97</v>
      </c>
      <c r="C243" s="4">
        <v>-1.92</v>
      </c>
    </row>
    <row r="244" spans="1:3" x14ac:dyDescent="0.45">
      <c r="A244" s="2">
        <v>31809</v>
      </c>
      <c r="B244" s="4">
        <v>1.51</v>
      </c>
      <c r="C244" s="4">
        <v>2.48</v>
      </c>
    </row>
    <row r="245" spans="1:3" x14ac:dyDescent="0.45">
      <c r="A245" s="2">
        <v>31837</v>
      </c>
      <c r="B245" s="4">
        <v>0.14000000000000001</v>
      </c>
      <c r="C245" s="4">
        <v>-1.37</v>
      </c>
    </row>
    <row r="246" spans="1:3" x14ac:dyDescent="0.45">
      <c r="A246" s="2">
        <v>31868</v>
      </c>
      <c r="B246" s="4">
        <v>0.25</v>
      </c>
      <c r="C246" s="4">
        <v>0.10999999999999999</v>
      </c>
    </row>
    <row r="247" spans="1:3" x14ac:dyDescent="0.45">
      <c r="A247" s="2">
        <v>31898</v>
      </c>
      <c r="B247" s="4">
        <v>0.43</v>
      </c>
      <c r="C247" s="4">
        <v>0.18</v>
      </c>
    </row>
    <row r="248" spans="1:3" x14ac:dyDescent="0.45">
      <c r="A248" s="2">
        <v>31929</v>
      </c>
      <c r="B248" s="4">
        <v>0.28999999999999998</v>
      </c>
      <c r="C248" s="4">
        <v>-0.14000000000000001</v>
      </c>
    </row>
    <row r="249" spans="1:3" x14ac:dyDescent="0.45">
      <c r="A249" s="2">
        <v>31959</v>
      </c>
      <c r="B249" s="4">
        <v>0.67</v>
      </c>
      <c r="C249" s="4">
        <v>0.38000000000000006</v>
      </c>
    </row>
    <row r="250" spans="1:3" x14ac:dyDescent="0.45">
      <c r="A250" s="2">
        <v>31990</v>
      </c>
      <c r="B250" s="4">
        <v>0.32</v>
      </c>
      <c r="C250" s="4">
        <v>-0.35000000000000003</v>
      </c>
    </row>
    <row r="251" spans="1:3" x14ac:dyDescent="0.45">
      <c r="A251" s="2">
        <v>32021</v>
      </c>
      <c r="B251" s="4">
        <v>0.47</v>
      </c>
      <c r="C251" s="4">
        <v>0.14999999999999997</v>
      </c>
    </row>
    <row r="252" spans="1:3" x14ac:dyDescent="0.45">
      <c r="A252" s="2">
        <v>32051</v>
      </c>
      <c r="B252" s="4">
        <v>0.71</v>
      </c>
      <c r="C252" s="4">
        <v>0.24</v>
      </c>
    </row>
    <row r="253" spans="1:3" x14ac:dyDescent="0.45">
      <c r="A253" s="2">
        <v>32082</v>
      </c>
      <c r="B253" s="4">
        <v>0.26</v>
      </c>
      <c r="C253" s="4">
        <v>-0.44999999999999996</v>
      </c>
    </row>
    <row r="254" spans="1:3" x14ac:dyDescent="0.45">
      <c r="A254" s="2">
        <v>32112</v>
      </c>
      <c r="B254" s="4">
        <v>0.55000000000000004</v>
      </c>
      <c r="C254" s="4">
        <v>0.29000000000000004</v>
      </c>
    </row>
    <row r="255" spans="1:3" x14ac:dyDescent="0.45">
      <c r="A255" s="2">
        <v>32143</v>
      </c>
      <c r="B255" s="4">
        <v>-0.16</v>
      </c>
      <c r="C255" s="4">
        <v>-0.71000000000000008</v>
      </c>
    </row>
    <row r="256" spans="1:3" x14ac:dyDescent="0.45">
      <c r="A256" s="2">
        <v>32174</v>
      </c>
      <c r="B256" s="4">
        <v>0.52</v>
      </c>
      <c r="C256" s="4">
        <v>0.68</v>
      </c>
    </row>
    <row r="257" spans="1:3" x14ac:dyDescent="0.45">
      <c r="A257" s="2">
        <v>32203</v>
      </c>
      <c r="B257" s="4">
        <v>0.45</v>
      </c>
      <c r="C257" s="4">
        <v>-7.0000000000000007E-2</v>
      </c>
    </row>
    <row r="258" spans="1:3" x14ac:dyDescent="0.45">
      <c r="A258" s="2">
        <v>32234</v>
      </c>
      <c r="B258" s="4">
        <v>0.27</v>
      </c>
      <c r="C258" s="4">
        <v>-0.18</v>
      </c>
    </row>
    <row r="259" spans="1:3" x14ac:dyDescent="0.45">
      <c r="A259" s="2">
        <v>32264</v>
      </c>
      <c r="B259" s="4">
        <v>-0.03</v>
      </c>
      <c r="C259" s="4">
        <v>-0.30000000000000004</v>
      </c>
    </row>
    <row r="260" spans="1:3" x14ac:dyDescent="0.45">
      <c r="A260" s="2">
        <v>32295</v>
      </c>
      <c r="B260" s="4">
        <v>0.46</v>
      </c>
      <c r="C260" s="4">
        <v>0.49</v>
      </c>
    </row>
    <row r="261" spans="1:3" x14ac:dyDescent="0.45">
      <c r="A261" s="2">
        <v>32325</v>
      </c>
      <c r="B261" s="4">
        <v>-0.02</v>
      </c>
      <c r="C261" s="4">
        <v>-0.48000000000000004</v>
      </c>
    </row>
    <row r="262" spans="1:3" x14ac:dyDescent="0.45">
      <c r="A262" s="2">
        <v>32356</v>
      </c>
      <c r="B262" s="4">
        <v>0.04</v>
      </c>
      <c r="C262" s="4">
        <v>0.06</v>
      </c>
    </row>
    <row r="263" spans="1:3" x14ac:dyDescent="0.45">
      <c r="A263" s="2">
        <v>32387</v>
      </c>
      <c r="B263" s="4">
        <v>0.06</v>
      </c>
      <c r="C263" s="4">
        <v>1.9999999999999997E-2</v>
      </c>
    </row>
    <row r="264" spans="1:3" x14ac:dyDescent="0.45">
      <c r="A264" s="2">
        <v>32417</v>
      </c>
      <c r="B264" s="4">
        <v>0.49</v>
      </c>
      <c r="C264" s="4">
        <v>0.43</v>
      </c>
    </row>
    <row r="265" spans="1:3" x14ac:dyDescent="0.45">
      <c r="A265" s="2">
        <v>32448</v>
      </c>
      <c r="B265" s="4">
        <v>0.25</v>
      </c>
      <c r="C265" s="4">
        <v>-0.24</v>
      </c>
    </row>
    <row r="266" spans="1:3" x14ac:dyDescent="0.45">
      <c r="A266" s="2">
        <v>32478</v>
      </c>
      <c r="B266" s="4">
        <v>0.56999999999999995</v>
      </c>
      <c r="C266" s="4">
        <v>0.31999999999999995</v>
      </c>
    </row>
    <row r="267" spans="1:3" x14ac:dyDescent="0.45">
      <c r="A267" s="2">
        <v>32509</v>
      </c>
      <c r="B267" s="4">
        <v>0.26</v>
      </c>
      <c r="C267" s="4">
        <v>-0.30999999999999994</v>
      </c>
    </row>
    <row r="268" spans="1:3" x14ac:dyDescent="0.45">
      <c r="A268" s="2">
        <v>32540</v>
      </c>
      <c r="B268" s="4">
        <v>-0.45</v>
      </c>
      <c r="C268" s="4">
        <v>-0.71</v>
      </c>
    </row>
    <row r="269" spans="1:3" x14ac:dyDescent="0.45">
      <c r="A269" s="2">
        <v>32568</v>
      </c>
      <c r="B269" s="4">
        <v>-0.16</v>
      </c>
      <c r="C269" s="4">
        <v>0.29000000000000004</v>
      </c>
    </row>
    <row r="270" spans="1:3" x14ac:dyDescent="0.45">
      <c r="A270" s="2">
        <v>32599</v>
      </c>
      <c r="B270" s="4">
        <v>0.12</v>
      </c>
      <c r="C270" s="4">
        <v>0.28000000000000003</v>
      </c>
    </row>
    <row r="271" spans="1:3" x14ac:dyDescent="0.45">
      <c r="A271" s="2">
        <v>32629</v>
      </c>
      <c r="B271" s="4">
        <v>-0.6</v>
      </c>
      <c r="C271" s="4">
        <v>-0.72</v>
      </c>
    </row>
    <row r="272" spans="1:3" x14ac:dyDescent="0.45">
      <c r="A272" s="2">
        <v>32660</v>
      </c>
      <c r="B272" s="4">
        <v>-0.21</v>
      </c>
      <c r="C272" s="4">
        <v>0.39</v>
      </c>
    </row>
    <row r="273" spans="1:3" x14ac:dyDescent="0.45">
      <c r="A273" s="2">
        <v>32690</v>
      </c>
      <c r="B273" s="4">
        <v>-0.83</v>
      </c>
      <c r="C273" s="4">
        <v>-0.62</v>
      </c>
    </row>
    <row r="274" spans="1:3" x14ac:dyDescent="0.45">
      <c r="A274" s="2">
        <v>32721</v>
      </c>
      <c r="B274" s="4">
        <v>0.66</v>
      </c>
      <c r="C274" s="4">
        <v>1.49</v>
      </c>
    </row>
    <row r="275" spans="1:3" x14ac:dyDescent="0.45">
      <c r="A275" s="2">
        <v>32752</v>
      </c>
      <c r="B275" s="4">
        <v>-0.51</v>
      </c>
      <c r="C275" s="4">
        <v>-1.17</v>
      </c>
    </row>
    <row r="276" spans="1:3" x14ac:dyDescent="0.45">
      <c r="A276" s="2">
        <v>32782</v>
      </c>
      <c r="B276" s="4">
        <v>-0.42</v>
      </c>
      <c r="C276" s="4">
        <v>9.0000000000000024E-2</v>
      </c>
    </row>
    <row r="277" spans="1:3" x14ac:dyDescent="0.45">
      <c r="A277" s="2">
        <v>32813</v>
      </c>
      <c r="B277" s="4">
        <v>0.15</v>
      </c>
      <c r="C277" s="4">
        <v>0.56999999999999995</v>
      </c>
    </row>
    <row r="278" spans="1:3" x14ac:dyDescent="0.45">
      <c r="A278" s="2">
        <v>32843</v>
      </c>
      <c r="B278" s="4">
        <v>-0.02</v>
      </c>
      <c r="C278" s="4">
        <v>-0.16999999999999998</v>
      </c>
    </row>
    <row r="279" spans="1:3" x14ac:dyDescent="0.45">
      <c r="A279" s="2">
        <v>32874</v>
      </c>
      <c r="B279" s="4">
        <v>-0.23</v>
      </c>
      <c r="C279" s="4">
        <v>-0.21000000000000002</v>
      </c>
    </row>
    <row r="280" spans="1:3" x14ac:dyDescent="0.45">
      <c r="A280" s="2">
        <v>32905</v>
      </c>
      <c r="B280" s="4">
        <v>0.55000000000000004</v>
      </c>
      <c r="C280" s="4">
        <v>0.78</v>
      </c>
    </row>
    <row r="281" spans="1:3" x14ac:dyDescent="0.45">
      <c r="A281" s="2">
        <v>32933</v>
      </c>
      <c r="B281" s="4">
        <v>0.17</v>
      </c>
      <c r="C281" s="4">
        <v>-0.38</v>
      </c>
    </row>
    <row r="282" spans="1:3" x14ac:dyDescent="0.45">
      <c r="A282" s="2">
        <v>32964</v>
      </c>
      <c r="B282" s="4">
        <v>-0.71</v>
      </c>
      <c r="C282" s="4">
        <v>-0.88</v>
      </c>
    </row>
    <row r="283" spans="1:3" x14ac:dyDescent="0.45">
      <c r="A283" s="2">
        <v>32994</v>
      </c>
      <c r="B283" s="4">
        <v>0.02</v>
      </c>
      <c r="C283" s="4">
        <v>0.73</v>
      </c>
    </row>
    <row r="284" spans="1:3" x14ac:dyDescent="0.45">
      <c r="A284" s="2">
        <v>33025</v>
      </c>
      <c r="B284" s="4">
        <v>-0.04</v>
      </c>
      <c r="C284" s="4">
        <v>-0.06</v>
      </c>
    </row>
    <row r="285" spans="1:3" x14ac:dyDescent="0.45">
      <c r="A285" s="2">
        <v>33055</v>
      </c>
      <c r="B285" s="4">
        <v>-0.57999999999999996</v>
      </c>
      <c r="C285" s="4">
        <v>-0.53999999999999992</v>
      </c>
    </row>
    <row r="286" spans="1:3" x14ac:dyDescent="0.45">
      <c r="A286" s="2">
        <v>33086</v>
      </c>
      <c r="B286" s="4">
        <v>-0.22</v>
      </c>
      <c r="C286" s="4">
        <v>0.36</v>
      </c>
    </row>
    <row r="287" spans="1:3" x14ac:dyDescent="0.45">
      <c r="A287" s="2">
        <v>33117</v>
      </c>
      <c r="B287" s="4">
        <v>-0.81</v>
      </c>
      <c r="C287" s="4">
        <v>-0.59000000000000008</v>
      </c>
    </row>
    <row r="288" spans="1:3" x14ac:dyDescent="0.45">
      <c r="A288" s="2">
        <v>33147</v>
      </c>
      <c r="B288" s="4">
        <v>-0.92</v>
      </c>
      <c r="C288" s="4">
        <v>-0.10999999999999999</v>
      </c>
    </row>
    <row r="289" spans="1:3" x14ac:dyDescent="0.45">
      <c r="A289" s="2">
        <v>33178</v>
      </c>
      <c r="B289" s="4">
        <v>-1.4</v>
      </c>
      <c r="C289" s="4">
        <v>-0.47999999999999987</v>
      </c>
    </row>
    <row r="290" spans="1:3" x14ac:dyDescent="0.45">
      <c r="A290" s="2">
        <v>33208</v>
      </c>
      <c r="B290" s="4">
        <v>-0.96</v>
      </c>
      <c r="C290" s="4">
        <v>0.43999999999999995</v>
      </c>
    </row>
    <row r="291" spans="1:3" x14ac:dyDescent="0.45">
      <c r="A291" s="2">
        <v>33239</v>
      </c>
      <c r="B291" s="4">
        <v>-1.0900000000000001</v>
      </c>
      <c r="C291" s="4">
        <v>-0.13000000000000012</v>
      </c>
    </row>
    <row r="292" spans="1:3" x14ac:dyDescent="0.45">
      <c r="A292" s="2">
        <v>33270</v>
      </c>
      <c r="B292" s="4">
        <v>-0.86</v>
      </c>
      <c r="C292" s="4">
        <v>0.23000000000000009</v>
      </c>
    </row>
    <row r="293" spans="1:3" x14ac:dyDescent="0.45">
      <c r="A293" s="2">
        <v>33298</v>
      </c>
      <c r="B293" s="4">
        <v>-0.9</v>
      </c>
      <c r="C293" s="4">
        <v>-4.0000000000000036E-2</v>
      </c>
    </row>
    <row r="294" spans="1:3" x14ac:dyDescent="0.45">
      <c r="A294" s="2">
        <v>33329</v>
      </c>
      <c r="B294" s="4">
        <v>0.02</v>
      </c>
      <c r="C294" s="4">
        <v>0.92</v>
      </c>
    </row>
    <row r="295" spans="1:3" x14ac:dyDescent="0.45">
      <c r="A295" s="2">
        <v>33359</v>
      </c>
      <c r="B295" s="4">
        <v>-0.05</v>
      </c>
      <c r="C295" s="4">
        <v>-7.0000000000000007E-2</v>
      </c>
    </row>
    <row r="296" spans="1:3" x14ac:dyDescent="0.45">
      <c r="A296" s="2">
        <v>33390</v>
      </c>
      <c r="B296" s="4">
        <v>0.03</v>
      </c>
      <c r="C296" s="4">
        <v>0.08</v>
      </c>
    </row>
    <row r="297" spans="1:3" x14ac:dyDescent="0.45">
      <c r="A297" s="2">
        <v>33420</v>
      </c>
      <c r="B297" s="4">
        <v>0.15</v>
      </c>
      <c r="C297" s="4">
        <v>0.12</v>
      </c>
    </row>
    <row r="298" spans="1:3" x14ac:dyDescent="0.45">
      <c r="A298" s="2">
        <v>33451</v>
      </c>
      <c r="B298" s="4">
        <v>-0.34</v>
      </c>
      <c r="C298" s="4">
        <v>-0.49</v>
      </c>
    </row>
    <row r="299" spans="1:3" x14ac:dyDescent="0.45">
      <c r="A299" s="2">
        <v>33482</v>
      </c>
      <c r="B299" s="4">
        <v>0.26</v>
      </c>
      <c r="C299" s="4">
        <v>0.60000000000000009</v>
      </c>
    </row>
    <row r="300" spans="1:3" x14ac:dyDescent="0.45">
      <c r="A300" s="2">
        <v>33512</v>
      </c>
      <c r="B300" s="4">
        <v>-0.36</v>
      </c>
      <c r="C300" s="4">
        <v>-0.62</v>
      </c>
    </row>
    <row r="301" spans="1:3" x14ac:dyDescent="0.45">
      <c r="A301" s="2">
        <v>33543</v>
      </c>
      <c r="B301" s="4">
        <v>-0.4</v>
      </c>
      <c r="C301" s="4">
        <v>-4.0000000000000036E-2</v>
      </c>
    </row>
    <row r="302" spans="1:3" x14ac:dyDescent="0.45">
      <c r="A302" s="2">
        <v>33573</v>
      </c>
      <c r="B302" s="4">
        <v>-0.81</v>
      </c>
      <c r="C302" s="4">
        <v>-0.41000000000000003</v>
      </c>
    </row>
    <row r="303" spans="1:3" x14ac:dyDescent="0.45">
      <c r="A303" s="2">
        <v>33604</v>
      </c>
      <c r="B303" s="4">
        <v>-7.0000000000000007E-2</v>
      </c>
      <c r="C303" s="4">
        <v>0.74</v>
      </c>
    </row>
    <row r="304" spans="1:3" x14ac:dyDescent="0.45">
      <c r="A304" s="2">
        <v>33635</v>
      </c>
      <c r="B304" s="4">
        <v>0.1</v>
      </c>
      <c r="C304" s="4">
        <v>0.17</v>
      </c>
    </row>
    <row r="305" spans="1:3" x14ac:dyDescent="0.45">
      <c r="A305" s="2">
        <v>33664</v>
      </c>
      <c r="B305" s="4">
        <v>0.44</v>
      </c>
      <c r="C305" s="4">
        <v>0.33999999999999997</v>
      </c>
    </row>
    <row r="306" spans="1:3" x14ac:dyDescent="0.45">
      <c r="A306" s="2">
        <v>33695</v>
      </c>
      <c r="B306" s="4">
        <v>0.23</v>
      </c>
      <c r="C306" s="4">
        <v>-0.21</v>
      </c>
    </row>
    <row r="307" spans="1:3" x14ac:dyDescent="0.45">
      <c r="A307" s="2">
        <v>33725</v>
      </c>
      <c r="B307" s="4">
        <v>-0.06</v>
      </c>
      <c r="C307" s="4">
        <v>-0.29000000000000004</v>
      </c>
    </row>
    <row r="308" spans="1:3" x14ac:dyDescent="0.45">
      <c r="A308" s="2">
        <v>33756</v>
      </c>
      <c r="B308" s="4">
        <v>0.05</v>
      </c>
      <c r="C308" s="4">
        <v>0.11</v>
      </c>
    </row>
    <row r="309" spans="1:3" x14ac:dyDescent="0.45">
      <c r="A309" s="2">
        <v>33786</v>
      </c>
      <c r="B309" s="4">
        <v>0.42</v>
      </c>
      <c r="C309" s="4">
        <v>0.37</v>
      </c>
    </row>
    <row r="310" spans="1:3" x14ac:dyDescent="0.45">
      <c r="A310" s="2">
        <v>33817</v>
      </c>
      <c r="B310" s="4">
        <v>-0.61</v>
      </c>
      <c r="C310" s="4">
        <v>-1.03</v>
      </c>
    </row>
    <row r="311" spans="1:3" x14ac:dyDescent="0.45">
      <c r="A311" s="2">
        <v>33848</v>
      </c>
      <c r="B311" s="4">
        <v>0.09</v>
      </c>
      <c r="C311" s="4">
        <v>0.7</v>
      </c>
    </row>
    <row r="312" spans="1:3" x14ac:dyDescent="0.45">
      <c r="A312" s="2">
        <v>33878</v>
      </c>
      <c r="B312" s="4">
        <v>0.2</v>
      </c>
      <c r="C312" s="4">
        <v>0.11000000000000001</v>
      </c>
    </row>
    <row r="313" spans="1:3" x14ac:dyDescent="0.45">
      <c r="A313" s="2">
        <v>33909</v>
      </c>
      <c r="B313" s="4">
        <v>0.1</v>
      </c>
      <c r="C313" s="4">
        <v>-0.1</v>
      </c>
    </row>
    <row r="314" spans="1:3" x14ac:dyDescent="0.45">
      <c r="A314" s="2">
        <v>33939</v>
      </c>
      <c r="B314" s="4">
        <v>0.46</v>
      </c>
      <c r="C314" s="4">
        <v>0.36</v>
      </c>
    </row>
    <row r="315" spans="1:3" x14ac:dyDescent="0.45">
      <c r="A315" s="2">
        <v>33970</v>
      </c>
      <c r="B315" s="4">
        <v>0.21</v>
      </c>
      <c r="C315" s="4">
        <v>-0.25</v>
      </c>
    </row>
    <row r="316" spans="1:3" x14ac:dyDescent="0.45">
      <c r="A316" s="2">
        <v>34001</v>
      </c>
      <c r="B316" s="4">
        <v>0.16</v>
      </c>
      <c r="C316" s="4">
        <v>-4.9999999999999989E-2</v>
      </c>
    </row>
    <row r="317" spans="1:3" x14ac:dyDescent="0.45">
      <c r="A317" s="2">
        <v>34029</v>
      </c>
      <c r="B317" s="4">
        <v>-0.46</v>
      </c>
      <c r="C317" s="4">
        <v>-0.62</v>
      </c>
    </row>
    <row r="318" spans="1:3" x14ac:dyDescent="0.45">
      <c r="A318" s="2">
        <v>34060</v>
      </c>
      <c r="B318" s="4">
        <v>0.26</v>
      </c>
      <c r="C318" s="4">
        <v>0.72</v>
      </c>
    </row>
    <row r="319" spans="1:3" x14ac:dyDescent="0.45">
      <c r="A319" s="2">
        <v>34090</v>
      </c>
      <c r="B319" s="4">
        <v>-0.12</v>
      </c>
      <c r="C319" s="4">
        <v>-0.38</v>
      </c>
    </row>
    <row r="320" spans="1:3" x14ac:dyDescent="0.45">
      <c r="A320" s="2">
        <v>34121</v>
      </c>
      <c r="B320" s="4">
        <v>0.04</v>
      </c>
      <c r="C320" s="4">
        <v>0.16</v>
      </c>
    </row>
    <row r="321" spans="1:3" x14ac:dyDescent="0.45">
      <c r="A321" s="2">
        <v>34151</v>
      </c>
      <c r="B321" s="4">
        <v>-0.01</v>
      </c>
      <c r="C321" s="4">
        <v>-0.05</v>
      </c>
    </row>
    <row r="322" spans="1:3" x14ac:dyDescent="0.45">
      <c r="A322" s="2">
        <v>34182</v>
      </c>
      <c r="B322" s="4">
        <v>-0.03</v>
      </c>
      <c r="C322" s="4">
        <v>-1.9999999999999997E-2</v>
      </c>
    </row>
    <row r="323" spans="1:3" x14ac:dyDescent="0.45">
      <c r="A323" s="2">
        <v>34213</v>
      </c>
      <c r="B323" s="4">
        <v>0.4</v>
      </c>
      <c r="C323" s="4">
        <v>0.43000000000000005</v>
      </c>
    </row>
    <row r="324" spans="1:3" x14ac:dyDescent="0.45">
      <c r="A324" s="2">
        <v>34243</v>
      </c>
      <c r="B324" s="4">
        <v>0.36</v>
      </c>
      <c r="C324" s="4">
        <v>-4.0000000000000036E-2</v>
      </c>
    </row>
    <row r="325" spans="1:3" x14ac:dyDescent="0.45">
      <c r="A325" s="2">
        <v>34274</v>
      </c>
      <c r="B325" s="4">
        <v>0.28999999999999998</v>
      </c>
      <c r="C325" s="4">
        <v>-7.0000000000000007E-2</v>
      </c>
    </row>
    <row r="326" spans="1:3" x14ac:dyDescent="0.45">
      <c r="A326" s="2">
        <v>34304</v>
      </c>
      <c r="B326" s="4">
        <v>0.5</v>
      </c>
      <c r="C326" s="4">
        <v>0.21000000000000002</v>
      </c>
    </row>
    <row r="327" spans="1:3" x14ac:dyDescent="0.45">
      <c r="A327" s="2">
        <v>34335</v>
      </c>
      <c r="B327" s="4">
        <v>7.0000000000000007E-2</v>
      </c>
      <c r="C327" s="4">
        <v>-0.43</v>
      </c>
    </row>
    <row r="328" spans="1:3" x14ac:dyDescent="0.45">
      <c r="A328" s="2">
        <v>34366</v>
      </c>
      <c r="B328" s="4">
        <v>0.21</v>
      </c>
      <c r="C328" s="4">
        <v>0.13999999999999999</v>
      </c>
    </row>
    <row r="329" spans="1:3" x14ac:dyDescent="0.45">
      <c r="A329" s="2">
        <v>34394</v>
      </c>
      <c r="B329" s="4">
        <v>0.98</v>
      </c>
      <c r="C329" s="4">
        <v>0.77</v>
      </c>
    </row>
    <row r="330" spans="1:3" x14ac:dyDescent="0.45">
      <c r="A330" s="2">
        <v>34425</v>
      </c>
      <c r="B330" s="4">
        <v>0.26</v>
      </c>
      <c r="C330" s="4">
        <v>-0.72</v>
      </c>
    </row>
    <row r="331" spans="1:3" x14ac:dyDescent="0.45">
      <c r="A331" s="2">
        <v>34455</v>
      </c>
      <c r="B331" s="4">
        <v>0.41</v>
      </c>
      <c r="C331" s="4">
        <v>0.14999999999999997</v>
      </c>
    </row>
    <row r="332" spans="1:3" x14ac:dyDescent="0.45">
      <c r="A332" s="2">
        <v>34486</v>
      </c>
      <c r="B332" s="4">
        <v>0.45</v>
      </c>
      <c r="C332" s="4">
        <v>4.0000000000000036E-2</v>
      </c>
    </row>
    <row r="333" spans="1:3" x14ac:dyDescent="0.45">
      <c r="A333" s="2">
        <v>34516</v>
      </c>
      <c r="B333" s="4">
        <v>0.05</v>
      </c>
      <c r="C333" s="4">
        <v>-0.4</v>
      </c>
    </row>
    <row r="334" spans="1:3" x14ac:dyDescent="0.45">
      <c r="A334" s="2">
        <v>34547</v>
      </c>
      <c r="B334" s="4">
        <v>0.82</v>
      </c>
      <c r="C334" s="4">
        <v>0.76999999999999991</v>
      </c>
    </row>
    <row r="335" spans="1:3" x14ac:dyDescent="0.45">
      <c r="A335" s="2">
        <v>34578</v>
      </c>
      <c r="B335" s="4">
        <v>0.12</v>
      </c>
      <c r="C335" s="4">
        <v>-0.7</v>
      </c>
    </row>
    <row r="336" spans="1:3" x14ac:dyDescent="0.45">
      <c r="A336" s="2">
        <v>34608</v>
      </c>
      <c r="B336" s="4">
        <v>0.63</v>
      </c>
      <c r="C336" s="4">
        <v>0.51</v>
      </c>
    </row>
    <row r="337" spans="1:3" x14ac:dyDescent="0.45">
      <c r="A337" s="2">
        <v>34639</v>
      </c>
      <c r="B337" s="4">
        <v>0.53</v>
      </c>
      <c r="C337" s="4">
        <v>-9.9999999999999978E-2</v>
      </c>
    </row>
    <row r="338" spans="1:3" x14ac:dyDescent="0.45">
      <c r="A338" s="2">
        <v>34669</v>
      </c>
      <c r="B338" s="4">
        <v>0.62</v>
      </c>
      <c r="C338" s="4">
        <v>8.9999999999999969E-2</v>
      </c>
    </row>
    <row r="339" spans="1:3" x14ac:dyDescent="0.45">
      <c r="A339" s="2">
        <v>34700</v>
      </c>
      <c r="B339" s="4">
        <v>0.12</v>
      </c>
      <c r="C339" s="4">
        <v>-0.5</v>
      </c>
    </row>
    <row r="340" spans="1:3" x14ac:dyDescent="0.45">
      <c r="A340" s="2">
        <v>34731</v>
      </c>
      <c r="B340" s="4">
        <v>-0.25</v>
      </c>
      <c r="C340" s="4">
        <v>-0.37</v>
      </c>
    </row>
    <row r="341" spans="1:3" x14ac:dyDescent="0.45">
      <c r="A341" s="2">
        <v>34759</v>
      </c>
      <c r="B341" s="4">
        <v>-7.0000000000000007E-2</v>
      </c>
      <c r="C341" s="4">
        <v>0.18</v>
      </c>
    </row>
    <row r="342" spans="1:3" x14ac:dyDescent="0.45">
      <c r="A342" s="2">
        <v>34790</v>
      </c>
      <c r="B342" s="4">
        <v>-0.55000000000000004</v>
      </c>
      <c r="C342" s="4">
        <v>-0.48000000000000004</v>
      </c>
    </row>
    <row r="343" spans="1:3" x14ac:dyDescent="0.45">
      <c r="A343" s="2">
        <v>34820</v>
      </c>
      <c r="B343" s="4">
        <v>0.02</v>
      </c>
      <c r="C343" s="4">
        <v>0.57000000000000006</v>
      </c>
    </row>
    <row r="344" spans="1:3" x14ac:dyDescent="0.45">
      <c r="A344" s="2">
        <v>34851</v>
      </c>
      <c r="B344" s="4">
        <v>0.23</v>
      </c>
      <c r="C344" s="4">
        <v>0.21000000000000002</v>
      </c>
    </row>
    <row r="345" spans="1:3" x14ac:dyDescent="0.45">
      <c r="A345" s="2">
        <v>34881</v>
      </c>
      <c r="B345" s="4">
        <v>-0.59</v>
      </c>
      <c r="C345" s="4">
        <v>-0.82</v>
      </c>
    </row>
    <row r="346" spans="1:3" x14ac:dyDescent="0.45">
      <c r="A346" s="2">
        <v>34912</v>
      </c>
      <c r="B346" s="4">
        <v>0.74</v>
      </c>
      <c r="C346" s="4">
        <v>1.33</v>
      </c>
    </row>
    <row r="347" spans="1:3" x14ac:dyDescent="0.45">
      <c r="A347" s="2">
        <v>34943</v>
      </c>
      <c r="B347" s="4">
        <v>0.13</v>
      </c>
      <c r="C347" s="4">
        <v>-0.61</v>
      </c>
    </row>
    <row r="348" spans="1:3" x14ac:dyDescent="0.45">
      <c r="A348" s="2">
        <v>34973</v>
      </c>
      <c r="B348" s="4">
        <v>-0.28999999999999998</v>
      </c>
      <c r="C348" s="4">
        <v>-0.42</v>
      </c>
    </row>
    <row r="349" spans="1:3" x14ac:dyDescent="0.45">
      <c r="A349" s="2">
        <v>35004</v>
      </c>
      <c r="B349" s="4">
        <v>0.03</v>
      </c>
      <c r="C349" s="4">
        <v>0.31999999999999995</v>
      </c>
    </row>
    <row r="350" spans="1:3" x14ac:dyDescent="0.45">
      <c r="A350" s="2">
        <v>35034</v>
      </c>
      <c r="B350" s="4">
        <v>7.0000000000000007E-2</v>
      </c>
      <c r="C350" s="4">
        <v>4.0000000000000008E-2</v>
      </c>
    </row>
    <row r="351" spans="1:3" x14ac:dyDescent="0.45">
      <c r="A351" s="2">
        <v>35065</v>
      </c>
      <c r="B351" s="4">
        <v>-0.87</v>
      </c>
      <c r="C351" s="4">
        <v>-0.94</v>
      </c>
    </row>
    <row r="352" spans="1:3" x14ac:dyDescent="0.45">
      <c r="A352" s="2">
        <v>35096</v>
      </c>
      <c r="B352" s="4">
        <v>0.74</v>
      </c>
      <c r="C352" s="4">
        <v>1.6099999999999999</v>
      </c>
    </row>
    <row r="353" spans="1:3" x14ac:dyDescent="0.45">
      <c r="A353" s="2">
        <v>35125</v>
      </c>
      <c r="B353" s="4">
        <v>-0.14000000000000001</v>
      </c>
      <c r="C353" s="4">
        <v>-0.88</v>
      </c>
    </row>
    <row r="354" spans="1:3" x14ac:dyDescent="0.45">
      <c r="A354" s="2">
        <v>35156</v>
      </c>
      <c r="B354" s="4">
        <v>0.43</v>
      </c>
      <c r="C354" s="4">
        <v>0.57000000000000006</v>
      </c>
    </row>
    <row r="355" spans="1:3" x14ac:dyDescent="0.45">
      <c r="A355" s="2">
        <v>35186</v>
      </c>
      <c r="B355" s="4">
        <v>0.39</v>
      </c>
      <c r="C355" s="4">
        <v>-3.999999999999998E-2</v>
      </c>
    </row>
    <row r="356" spans="1:3" x14ac:dyDescent="0.45">
      <c r="A356" s="2">
        <v>35217</v>
      </c>
      <c r="B356" s="4">
        <v>0.35</v>
      </c>
      <c r="C356" s="4">
        <v>-4.0000000000000036E-2</v>
      </c>
    </row>
    <row r="357" spans="1:3" x14ac:dyDescent="0.45">
      <c r="A357" s="2">
        <v>35247</v>
      </c>
      <c r="B357" s="4">
        <v>0.06</v>
      </c>
      <c r="C357" s="4">
        <v>-0.28999999999999998</v>
      </c>
    </row>
    <row r="358" spans="1:3" x14ac:dyDescent="0.45">
      <c r="A358" s="2">
        <v>35278</v>
      </c>
      <c r="B358" s="4">
        <v>0.22</v>
      </c>
      <c r="C358" s="4">
        <v>0.16</v>
      </c>
    </row>
    <row r="359" spans="1:3" x14ac:dyDescent="0.45">
      <c r="A359" s="2">
        <v>35309</v>
      </c>
      <c r="B359" s="4">
        <v>0.3</v>
      </c>
      <c r="C359" s="4">
        <v>7.9999999999999988E-2</v>
      </c>
    </row>
    <row r="360" spans="1:3" x14ac:dyDescent="0.45">
      <c r="A360" s="2">
        <v>35339</v>
      </c>
      <c r="B360" s="4">
        <v>0.05</v>
      </c>
      <c r="C360" s="4">
        <v>-0.25</v>
      </c>
    </row>
    <row r="361" spans="1:3" x14ac:dyDescent="0.45">
      <c r="A361" s="2">
        <v>35370</v>
      </c>
      <c r="B361" s="4">
        <v>0.49</v>
      </c>
      <c r="C361" s="4">
        <v>0.44</v>
      </c>
    </row>
    <row r="362" spans="1:3" x14ac:dyDescent="0.45">
      <c r="A362" s="2">
        <v>35400</v>
      </c>
      <c r="B362" s="4">
        <v>0.06</v>
      </c>
      <c r="C362" s="4">
        <v>-0.43</v>
      </c>
    </row>
    <row r="363" spans="1:3" x14ac:dyDescent="0.45">
      <c r="A363" s="2">
        <v>35431</v>
      </c>
      <c r="B363" s="4">
        <v>0.27</v>
      </c>
      <c r="C363" s="4">
        <v>0.21000000000000002</v>
      </c>
    </row>
    <row r="364" spans="1:3" x14ac:dyDescent="0.45">
      <c r="A364" s="2">
        <v>35462</v>
      </c>
      <c r="B364" s="4">
        <v>0.82</v>
      </c>
      <c r="C364" s="4">
        <v>0.54999999999999993</v>
      </c>
    </row>
    <row r="365" spans="1:3" x14ac:dyDescent="0.45">
      <c r="A365" s="2">
        <v>35490</v>
      </c>
      <c r="B365" s="4">
        <v>0.3</v>
      </c>
      <c r="C365" s="4">
        <v>-0.52</v>
      </c>
    </row>
    <row r="366" spans="1:3" x14ac:dyDescent="0.45">
      <c r="A366" s="2">
        <v>35521</v>
      </c>
      <c r="B366" s="4">
        <v>0.08</v>
      </c>
      <c r="C366" s="4">
        <v>-0.21999999999999997</v>
      </c>
    </row>
    <row r="367" spans="1:3" x14ac:dyDescent="0.45">
      <c r="A367" s="2">
        <v>35551</v>
      </c>
      <c r="B367" s="4">
        <v>0.22</v>
      </c>
      <c r="C367" s="4">
        <v>0.14000000000000001</v>
      </c>
    </row>
    <row r="368" spans="1:3" x14ac:dyDescent="0.45">
      <c r="A368" s="2">
        <v>35582</v>
      </c>
      <c r="B368" s="4">
        <v>0.38</v>
      </c>
      <c r="C368" s="4">
        <v>0.16</v>
      </c>
    </row>
    <row r="369" spans="1:3" x14ac:dyDescent="0.45">
      <c r="A369" s="2">
        <v>35612</v>
      </c>
      <c r="B369" s="4">
        <v>0.65</v>
      </c>
      <c r="C369" s="4">
        <v>0.27</v>
      </c>
    </row>
    <row r="370" spans="1:3" x14ac:dyDescent="0.45">
      <c r="A370" s="2">
        <v>35643</v>
      </c>
      <c r="B370" s="4">
        <v>0.28999999999999998</v>
      </c>
      <c r="C370" s="4">
        <v>-0.36000000000000004</v>
      </c>
    </row>
    <row r="371" spans="1:3" x14ac:dyDescent="0.45">
      <c r="A371" s="2">
        <v>35674</v>
      </c>
      <c r="B371" s="4">
        <v>0.63</v>
      </c>
      <c r="C371" s="4">
        <v>0.34</v>
      </c>
    </row>
    <row r="372" spans="1:3" x14ac:dyDescent="0.45">
      <c r="A372" s="2">
        <v>35704</v>
      </c>
      <c r="B372" s="4">
        <v>0.44</v>
      </c>
      <c r="C372" s="4">
        <v>-0.19</v>
      </c>
    </row>
    <row r="373" spans="1:3" x14ac:dyDescent="0.45">
      <c r="A373" s="2">
        <v>35735</v>
      </c>
      <c r="B373" s="4">
        <v>0.61</v>
      </c>
      <c r="C373" s="4">
        <v>0.16999999999999998</v>
      </c>
    </row>
    <row r="374" spans="1:3" x14ac:dyDescent="0.45">
      <c r="A374" s="2">
        <v>35765</v>
      </c>
      <c r="B374" s="4">
        <v>0.06</v>
      </c>
      <c r="C374" s="4">
        <v>-0.55000000000000004</v>
      </c>
    </row>
    <row r="375" spans="1:3" x14ac:dyDescent="0.45">
      <c r="A375" s="2">
        <v>35796</v>
      </c>
      <c r="B375" s="4">
        <v>0.31</v>
      </c>
      <c r="C375" s="4">
        <v>0.25</v>
      </c>
    </row>
    <row r="376" spans="1:3" x14ac:dyDescent="0.45">
      <c r="A376" s="2">
        <v>35827</v>
      </c>
      <c r="B376" s="4">
        <v>0.33</v>
      </c>
      <c r="C376" s="4">
        <v>2.0000000000000018E-2</v>
      </c>
    </row>
    <row r="377" spans="1:3" x14ac:dyDescent="0.45">
      <c r="A377" s="2">
        <v>35855</v>
      </c>
      <c r="B377" s="4">
        <v>-0.01</v>
      </c>
      <c r="C377" s="4">
        <v>-0.34</v>
      </c>
    </row>
    <row r="378" spans="1:3" x14ac:dyDescent="0.45">
      <c r="A378" s="2">
        <v>35886</v>
      </c>
      <c r="B378" s="4">
        <v>0.24</v>
      </c>
      <c r="C378" s="4">
        <v>0.25</v>
      </c>
    </row>
    <row r="379" spans="1:3" x14ac:dyDescent="0.45">
      <c r="A379" s="2">
        <v>35916</v>
      </c>
      <c r="B379" s="4">
        <v>0.28000000000000003</v>
      </c>
      <c r="C379" s="4">
        <v>4.0000000000000036E-2</v>
      </c>
    </row>
    <row r="380" spans="1:3" x14ac:dyDescent="0.45">
      <c r="A380" s="2">
        <v>35947</v>
      </c>
      <c r="B380" s="4">
        <v>-0.44</v>
      </c>
      <c r="C380" s="4">
        <v>-0.72</v>
      </c>
    </row>
    <row r="381" spans="1:3" x14ac:dyDescent="0.45">
      <c r="A381" s="2">
        <v>35977</v>
      </c>
      <c r="B381" s="4">
        <v>-0.47</v>
      </c>
      <c r="C381" s="4">
        <v>-2.9999999999999971E-2</v>
      </c>
    </row>
    <row r="382" spans="1:3" x14ac:dyDescent="0.45">
      <c r="A382" s="2">
        <v>36008</v>
      </c>
      <c r="B382" s="4">
        <v>1.06</v>
      </c>
      <c r="C382" s="4">
        <v>1.53</v>
      </c>
    </row>
    <row r="383" spans="1:3" x14ac:dyDescent="0.45">
      <c r="A383" s="2">
        <v>36039</v>
      </c>
      <c r="B383" s="4">
        <v>-0.01</v>
      </c>
      <c r="C383" s="4">
        <v>-1.07</v>
      </c>
    </row>
    <row r="384" spans="1:3" x14ac:dyDescent="0.45">
      <c r="A384" s="2">
        <v>36069</v>
      </c>
      <c r="B384" s="4">
        <v>0.28000000000000003</v>
      </c>
      <c r="C384" s="4">
        <v>0.29000000000000004</v>
      </c>
    </row>
    <row r="385" spans="1:3" x14ac:dyDescent="0.45">
      <c r="A385" s="2">
        <v>36100</v>
      </c>
      <c r="B385" s="4">
        <v>0.05</v>
      </c>
      <c r="C385" s="4">
        <v>-0.23000000000000004</v>
      </c>
    </row>
    <row r="386" spans="1:3" x14ac:dyDescent="0.45">
      <c r="A386" s="2">
        <v>36130</v>
      </c>
      <c r="B386" s="4">
        <v>0.25</v>
      </c>
      <c r="C386" s="4">
        <v>0.2</v>
      </c>
    </row>
    <row r="387" spans="1:3" x14ac:dyDescent="0.45">
      <c r="A387" s="2">
        <v>36161</v>
      </c>
      <c r="B387" s="4">
        <v>0.11</v>
      </c>
      <c r="C387" s="4">
        <v>-0.14000000000000001</v>
      </c>
    </row>
    <row r="388" spans="1:3" x14ac:dyDescent="0.45">
      <c r="A388" s="2">
        <v>36192</v>
      </c>
      <c r="B388" s="4">
        <v>0.54</v>
      </c>
      <c r="C388" s="4">
        <v>0.43000000000000005</v>
      </c>
    </row>
    <row r="389" spans="1:3" x14ac:dyDescent="0.45">
      <c r="A389" s="2">
        <v>36220</v>
      </c>
      <c r="B389" s="4">
        <v>-0.08</v>
      </c>
      <c r="C389" s="4">
        <v>-0.62</v>
      </c>
    </row>
    <row r="390" spans="1:3" x14ac:dyDescent="0.45">
      <c r="A390" s="2">
        <v>36251</v>
      </c>
      <c r="B390" s="4">
        <v>0</v>
      </c>
      <c r="C390" s="4">
        <v>0.08</v>
      </c>
    </row>
    <row r="391" spans="1:3" x14ac:dyDescent="0.45">
      <c r="A391" s="2">
        <v>36281</v>
      </c>
      <c r="B391" s="4">
        <v>0.56000000000000005</v>
      </c>
      <c r="C391" s="4">
        <v>0.56000000000000005</v>
      </c>
    </row>
    <row r="392" spans="1:3" x14ac:dyDescent="0.45">
      <c r="A392" s="2">
        <v>36312</v>
      </c>
      <c r="B392" s="4">
        <v>-0.08</v>
      </c>
      <c r="C392" s="4">
        <v>-0.64</v>
      </c>
    </row>
    <row r="393" spans="1:3" x14ac:dyDescent="0.45">
      <c r="A393" s="2">
        <v>36342</v>
      </c>
      <c r="B393" s="4">
        <v>0.18</v>
      </c>
      <c r="C393" s="4">
        <v>0.26</v>
      </c>
    </row>
    <row r="394" spans="1:3" x14ac:dyDescent="0.45">
      <c r="A394" s="2">
        <v>36373</v>
      </c>
      <c r="B394" s="4">
        <v>0.34</v>
      </c>
      <c r="C394" s="4">
        <v>0.16000000000000003</v>
      </c>
    </row>
    <row r="395" spans="1:3" x14ac:dyDescent="0.45">
      <c r="A395" s="2">
        <v>36404</v>
      </c>
      <c r="B395" s="4">
        <v>-0.19</v>
      </c>
      <c r="C395" s="4">
        <v>-0.53</v>
      </c>
    </row>
    <row r="396" spans="1:3" x14ac:dyDescent="0.45">
      <c r="A396" s="2">
        <v>36434</v>
      </c>
      <c r="B396" s="4">
        <v>0.75</v>
      </c>
      <c r="C396" s="4">
        <v>0.94</v>
      </c>
    </row>
    <row r="397" spans="1:3" x14ac:dyDescent="0.45">
      <c r="A397" s="2">
        <v>36465</v>
      </c>
      <c r="B397" s="4">
        <v>0.36</v>
      </c>
      <c r="C397" s="4">
        <v>-0.39</v>
      </c>
    </row>
    <row r="398" spans="1:3" x14ac:dyDescent="0.45">
      <c r="A398" s="2">
        <v>36495</v>
      </c>
      <c r="B398" s="4">
        <v>0.6</v>
      </c>
      <c r="C398" s="4">
        <v>0.24</v>
      </c>
    </row>
    <row r="399" spans="1:3" x14ac:dyDescent="0.45">
      <c r="A399" s="2">
        <v>36526</v>
      </c>
      <c r="B399" s="4">
        <v>0.16</v>
      </c>
      <c r="C399" s="4">
        <v>-0.43999999999999995</v>
      </c>
    </row>
    <row r="400" spans="1:3" x14ac:dyDescent="0.45">
      <c r="A400" s="2">
        <v>36557</v>
      </c>
      <c r="B400" s="4">
        <v>-0.23</v>
      </c>
      <c r="C400" s="4">
        <v>-0.39</v>
      </c>
    </row>
    <row r="401" spans="1:3" x14ac:dyDescent="0.45">
      <c r="A401" s="2">
        <v>36586</v>
      </c>
      <c r="B401" s="4">
        <v>0.44</v>
      </c>
      <c r="C401" s="4">
        <v>0.67</v>
      </c>
    </row>
    <row r="402" spans="1:3" x14ac:dyDescent="0.45">
      <c r="A402" s="2">
        <v>36617</v>
      </c>
      <c r="B402" s="4">
        <v>0.42</v>
      </c>
      <c r="C402" s="4">
        <v>-2.0000000000000018E-2</v>
      </c>
    </row>
    <row r="403" spans="1:3" x14ac:dyDescent="0.45">
      <c r="A403" s="2">
        <v>36647</v>
      </c>
      <c r="B403" s="4">
        <v>-0.35</v>
      </c>
      <c r="C403" s="4">
        <v>-0.77</v>
      </c>
    </row>
    <row r="404" spans="1:3" x14ac:dyDescent="0.45">
      <c r="A404" s="2">
        <v>36678</v>
      </c>
      <c r="B404" s="4">
        <v>0.12</v>
      </c>
      <c r="C404" s="4">
        <v>0.47</v>
      </c>
    </row>
    <row r="405" spans="1:3" x14ac:dyDescent="0.45">
      <c r="A405" s="2">
        <v>36708</v>
      </c>
      <c r="B405" s="4">
        <v>-0.28999999999999998</v>
      </c>
      <c r="C405" s="4">
        <v>-0.41</v>
      </c>
    </row>
    <row r="406" spans="1:3" x14ac:dyDescent="0.45">
      <c r="A406" s="2">
        <v>36739</v>
      </c>
      <c r="B406" s="4">
        <v>-0.36</v>
      </c>
      <c r="C406" s="4">
        <v>-7.0000000000000007E-2</v>
      </c>
    </row>
    <row r="407" spans="1:3" x14ac:dyDescent="0.45">
      <c r="A407" s="2">
        <v>36770</v>
      </c>
      <c r="B407" s="4">
        <v>0.36</v>
      </c>
      <c r="C407" s="4">
        <v>0.72</v>
      </c>
    </row>
    <row r="408" spans="1:3" x14ac:dyDescent="0.45">
      <c r="A408" s="2">
        <v>36800</v>
      </c>
      <c r="B408" s="4">
        <v>-0.52</v>
      </c>
      <c r="C408" s="4">
        <v>-0.88</v>
      </c>
    </row>
    <row r="409" spans="1:3" x14ac:dyDescent="0.45">
      <c r="A409" s="2">
        <v>36831</v>
      </c>
      <c r="B409" s="4">
        <v>-0.36</v>
      </c>
      <c r="C409" s="4">
        <v>0.16000000000000003</v>
      </c>
    </row>
    <row r="410" spans="1:3" x14ac:dyDescent="0.45">
      <c r="A410" s="2">
        <v>36861</v>
      </c>
      <c r="B410" s="4">
        <v>-0.27</v>
      </c>
      <c r="C410" s="4">
        <v>8.9999999999999969E-2</v>
      </c>
    </row>
    <row r="411" spans="1:3" x14ac:dyDescent="0.45">
      <c r="A411" s="2">
        <v>36892</v>
      </c>
      <c r="B411" s="4">
        <v>-0.66</v>
      </c>
      <c r="C411" s="4">
        <v>-0.39</v>
      </c>
    </row>
    <row r="412" spans="1:3" x14ac:dyDescent="0.45">
      <c r="A412" s="2">
        <v>36923</v>
      </c>
      <c r="B412" s="4">
        <v>-0.56999999999999995</v>
      </c>
      <c r="C412" s="4">
        <v>9.000000000000008E-2</v>
      </c>
    </row>
    <row r="413" spans="1:3" x14ac:dyDescent="0.45">
      <c r="A413" s="2">
        <v>36951</v>
      </c>
      <c r="B413" s="4">
        <v>-0.69</v>
      </c>
      <c r="C413" s="4">
        <v>-0.12</v>
      </c>
    </row>
    <row r="414" spans="1:3" x14ac:dyDescent="0.45">
      <c r="A414" s="2">
        <v>36982</v>
      </c>
      <c r="B414" s="4">
        <v>-0.89</v>
      </c>
      <c r="C414" s="4">
        <v>-0.20000000000000007</v>
      </c>
    </row>
    <row r="415" spans="1:3" x14ac:dyDescent="0.45">
      <c r="A415" s="2">
        <v>37012</v>
      </c>
      <c r="B415" s="4">
        <v>-0.43</v>
      </c>
      <c r="C415" s="4">
        <v>0.46</v>
      </c>
    </row>
    <row r="416" spans="1:3" x14ac:dyDescent="0.45">
      <c r="A416" s="2">
        <v>37043</v>
      </c>
      <c r="B416" s="4">
        <v>-0.92</v>
      </c>
      <c r="C416" s="4">
        <v>-0.49000000000000005</v>
      </c>
    </row>
    <row r="417" spans="1:3" x14ac:dyDescent="0.45">
      <c r="A417" s="2">
        <v>37073</v>
      </c>
      <c r="B417" s="4">
        <v>-0.52</v>
      </c>
      <c r="C417" s="4">
        <v>0.4</v>
      </c>
    </row>
    <row r="418" spans="1:3" x14ac:dyDescent="0.45">
      <c r="A418" s="2">
        <v>37104</v>
      </c>
      <c r="B418" s="4">
        <v>-0.43</v>
      </c>
      <c r="C418" s="4">
        <v>9.0000000000000024E-2</v>
      </c>
    </row>
    <row r="419" spans="1:3" x14ac:dyDescent="0.45">
      <c r="A419" s="2">
        <v>37135</v>
      </c>
      <c r="B419" s="4">
        <v>-1.1200000000000001</v>
      </c>
      <c r="C419" s="4">
        <v>-0.69000000000000017</v>
      </c>
    </row>
    <row r="420" spans="1:3" x14ac:dyDescent="0.45">
      <c r="A420" s="2">
        <v>37165</v>
      </c>
      <c r="B420" s="4">
        <v>-0.18</v>
      </c>
      <c r="C420" s="4">
        <v>0.94000000000000017</v>
      </c>
    </row>
    <row r="421" spans="1:3" x14ac:dyDescent="0.45">
      <c r="A421" s="2">
        <v>37196</v>
      </c>
      <c r="B421" s="4">
        <v>-0.81</v>
      </c>
      <c r="C421" s="4">
        <v>-0.63000000000000012</v>
      </c>
    </row>
    <row r="422" spans="1:3" x14ac:dyDescent="0.45">
      <c r="A422" s="2">
        <v>37226</v>
      </c>
      <c r="B422" s="4">
        <v>-0.32</v>
      </c>
      <c r="C422" s="4">
        <v>0.49000000000000005</v>
      </c>
    </row>
    <row r="423" spans="1:3" x14ac:dyDescent="0.45">
      <c r="A423" s="2">
        <v>37257</v>
      </c>
      <c r="B423" s="4">
        <v>-0.05</v>
      </c>
      <c r="C423" s="4">
        <v>0.27</v>
      </c>
    </row>
    <row r="424" spans="1:3" x14ac:dyDescent="0.45">
      <c r="A424" s="2">
        <v>37288</v>
      </c>
      <c r="B424" s="4">
        <v>-0.1</v>
      </c>
      <c r="C424" s="4">
        <v>-0.05</v>
      </c>
    </row>
    <row r="425" spans="1:3" x14ac:dyDescent="0.45">
      <c r="A425" s="2">
        <v>37316</v>
      </c>
      <c r="B425" s="4">
        <v>-0.03</v>
      </c>
      <c r="C425" s="4">
        <v>7.0000000000000007E-2</v>
      </c>
    </row>
    <row r="426" spans="1:3" x14ac:dyDescent="0.45">
      <c r="A426" s="2">
        <v>37347</v>
      </c>
      <c r="B426" s="4">
        <v>0.16</v>
      </c>
      <c r="C426" s="4">
        <v>0.19</v>
      </c>
    </row>
    <row r="427" spans="1:3" x14ac:dyDescent="0.45">
      <c r="A427" s="2">
        <v>37377</v>
      </c>
      <c r="B427" s="4">
        <v>7.0000000000000007E-2</v>
      </c>
      <c r="C427" s="4">
        <v>-0.09</v>
      </c>
    </row>
    <row r="428" spans="1:3" x14ac:dyDescent="0.45">
      <c r="A428" s="2">
        <v>37408</v>
      </c>
      <c r="B428" s="4">
        <v>0.28999999999999998</v>
      </c>
      <c r="C428" s="4">
        <v>0.21999999999999997</v>
      </c>
    </row>
    <row r="429" spans="1:3" x14ac:dyDescent="0.45">
      <c r="A429" s="2">
        <v>37438</v>
      </c>
      <c r="B429" s="4">
        <v>-0.27</v>
      </c>
      <c r="C429" s="4">
        <v>-0.56000000000000005</v>
      </c>
    </row>
    <row r="430" spans="1:3" x14ac:dyDescent="0.45">
      <c r="A430" s="2">
        <v>37469</v>
      </c>
      <c r="B430" s="4">
        <v>-0.06</v>
      </c>
      <c r="C430" s="4">
        <v>0.21000000000000002</v>
      </c>
    </row>
    <row r="431" spans="1:3" x14ac:dyDescent="0.45">
      <c r="A431" s="2">
        <v>37500</v>
      </c>
      <c r="B431" s="4">
        <v>-0.34</v>
      </c>
      <c r="C431" s="4">
        <v>-0.28000000000000003</v>
      </c>
    </row>
    <row r="432" spans="1:3" x14ac:dyDescent="0.45">
      <c r="A432" s="2">
        <v>37530</v>
      </c>
      <c r="B432" s="4">
        <v>-0.35</v>
      </c>
      <c r="C432" s="4">
        <v>-9.9999999999999534E-3</v>
      </c>
    </row>
    <row r="433" spans="1:3" x14ac:dyDescent="0.45">
      <c r="A433" s="2">
        <v>37561</v>
      </c>
      <c r="B433" s="4">
        <v>0.14000000000000001</v>
      </c>
      <c r="C433" s="4">
        <v>0.49</v>
      </c>
    </row>
    <row r="434" spans="1:3" x14ac:dyDescent="0.45">
      <c r="A434" s="2">
        <v>37591</v>
      </c>
      <c r="B434" s="4">
        <v>-0.59</v>
      </c>
      <c r="C434" s="4">
        <v>-0.73</v>
      </c>
    </row>
    <row r="435" spans="1:3" x14ac:dyDescent="0.45">
      <c r="A435" s="2">
        <v>37622</v>
      </c>
      <c r="B435" s="4">
        <v>0.39</v>
      </c>
      <c r="C435" s="4">
        <v>0.98</v>
      </c>
    </row>
    <row r="436" spans="1:3" x14ac:dyDescent="0.45">
      <c r="A436" s="2">
        <v>37653</v>
      </c>
      <c r="B436" s="4">
        <v>-0.47</v>
      </c>
      <c r="C436" s="4">
        <v>-0.86</v>
      </c>
    </row>
    <row r="437" spans="1:3" x14ac:dyDescent="0.45">
      <c r="A437" s="2">
        <v>37681</v>
      </c>
      <c r="B437" s="4">
        <v>-0.18</v>
      </c>
      <c r="C437" s="4">
        <v>0.28999999999999998</v>
      </c>
    </row>
    <row r="438" spans="1:3" x14ac:dyDescent="0.45">
      <c r="A438" s="2">
        <v>37712</v>
      </c>
      <c r="B438" s="4">
        <v>-0.63</v>
      </c>
      <c r="C438" s="4">
        <v>-0.45</v>
      </c>
    </row>
    <row r="439" spans="1:3" x14ac:dyDescent="0.45">
      <c r="A439" s="2">
        <v>37742</v>
      </c>
      <c r="B439" s="4">
        <v>0.01</v>
      </c>
      <c r="C439" s="4">
        <v>0.64</v>
      </c>
    </row>
    <row r="440" spans="1:3" x14ac:dyDescent="0.45">
      <c r="A440" s="2">
        <v>37773</v>
      </c>
      <c r="B440" s="4">
        <v>0.14000000000000001</v>
      </c>
      <c r="C440" s="4">
        <v>0.13</v>
      </c>
    </row>
    <row r="441" spans="1:3" x14ac:dyDescent="0.45">
      <c r="A441" s="2">
        <v>37803</v>
      </c>
      <c r="B441" s="4">
        <v>0.09</v>
      </c>
      <c r="C441" s="4">
        <v>-5.0000000000000017E-2</v>
      </c>
    </row>
    <row r="442" spans="1:3" x14ac:dyDescent="0.45">
      <c r="A442" s="2">
        <v>37834</v>
      </c>
      <c r="B442" s="4">
        <v>-0.15</v>
      </c>
      <c r="C442" s="4">
        <v>-0.24</v>
      </c>
    </row>
    <row r="443" spans="1:3" x14ac:dyDescent="0.45">
      <c r="A443" s="2">
        <v>37865</v>
      </c>
      <c r="B443" s="4">
        <v>0.35</v>
      </c>
      <c r="C443" s="4">
        <v>0.5</v>
      </c>
    </row>
    <row r="444" spans="1:3" x14ac:dyDescent="0.45">
      <c r="A444" s="2">
        <v>37895</v>
      </c>
      <c r="B444" s="4">
        <v>0.14000000000000001</v>
      </c>
      <c r="C444" s="4">
        <v>-0.20999999999999996</v>
      </c>
    </row>
    <row r="445" spans="1:3" x14ac:dyDescent="0.45">
      <c r="A445" s="2">
        <v>37926</v>
      </c>
      <c r="B445" s="4">
        <v>0.48</v>
      </c>
      <c r="C445" s="4">
        <v>0.33999999999999997</v>
      </c>
    </row>
    <row r="446" spans="1:3" x14ac:dyDescent="0.45">
      <c r="A446" s="2">
        <v>37956</v>
      </c>
      <c r="B446" s="4">
        <v>0.04</v>
      </c>
      <c r="C446" s="4">
        <v>-0.44</v>
      </c>
    </row>
    <row r="447" spans="1:3" x14ac:dyDescent="0.45">
      <c r="A447" s="2">
        <v>37987</v>
      </c>
      <c r="B447" s="4">
        <v>0.05</v>
      </c>
      <c r="C447" s="4">
        <v>1.0000000000000002E-2</v>
      </c>
    </row>
    <row r="448" spans="1:3" x14ac:dyDescent="0.45">
      <c r="A448" s="2">
        <v>38018</v>
      </c>
      <c r="B448" s="4">
        <v>0.46</v>
      </c>
      <c r="C448" s="4">
        <v>0.41000000000000003</v>
      </c>
    </row>
    <row r="449" spans="1:3" x14ac:dyDescent="0.45">
      <c r="A449" s="2">
        <v>38047</v>
      </c>
      <c r="B449" s="4">
        <v>0.55000000000000004</v>
      </c>
      <c r="C449" s="4">
        <v>9.0000000000000024E-2</v>
      </c>
    </row>
    <row r="450" spans="1:3" x14ac:dyDescent="0.45">
      <c r="A450" s="2">
        <v>38078</v>
      </c>
      <c r="B450" s="4">
        <v>0.08</v>
      </c>
      <c r="C450" s="4">
        <v>-0.47000000000000003</v>
      </c>
    </row>
    <row r="451" spans="1:3" x14ac:dyDescent="0.45">
      <c r="A451" s="2">
        <v>38108</v>
      </c>
      <c r="B451" s="4">
        <v>0.56000000000000005</v>
      </c>
      <c r="C451" s="4">
        <v>0.48000000000000004</v>
      </c>
    </row>
    <row r="452" spans="1:3" x14ac:dyDescent="0.45">
      <c r="A452" s="2">
        <v>38139</v>
      </c>
      <c r="B452" s="4">
        <v>-0.28000000000000003</v>
      </c>
      <c r="C452" s="4">
        <v>-0.84000000000000008</v>
      </c>
    </row>
    <row r="453" spans="1:3" x14ac:dyDescent="0.45">
      <c r="A453" s="2">
        <v>38169</v>
      </c>
      <c r="B453" s="4">
        <v>0.47</v>
      </c>
      <c r="C453" s="4">
        <v>0.75</v>
      </c>
    </row>
    <row r="454" spans="1:3" x14ac:dyDescent="0.45">
      <c r="A454" s="2">
        <v>38200</v>
      </c>
      <c r="B454" s="4">
        <v>0.3</v>
      </c>
      <c r="C454" s="4">
        <v>-0.16999999999999998</v>
      </c>
    </row>
    <row r="455" spans="1:3" x14ac:dyDescent="0.45">
      <c r="A455" s="2">
        <v>38231</v>
      </c>
      <c r="B455" s="4">
        <v>0.17</v>
      </c>
      <c r="C455" s="4">
        <v>-0.12999999999999998</v>
      </c>
    </row>
    <row r="456" spans="1:3" x14ac:dyDescent="0.45">
      <c r="A456" s="2">
        <v>38261</v>
      </c>
      <c r="B456" s="4">
        <v>0.44</v>
      </c>
      <c r="C456" s="4">
        <v>0.27</v>
      </c>
    </row>
    <row r="457" spans="1:3" x14ac:dyDescent="0.45">
      <c r="A457" s="2">
        <v>38292</v>
      </c>
      <c r="B457" s="4">
        <v>0.04</v>
      </c>
      <c r="C457" s="4">
        <v>-0.4</v>
      </c>
    </row>
    <row r="458" spans="1:3" x14ac:dyDescent="0.45">
      <c r="A458" s="2">
        <v>38322</v>
      </c>
      <c r="B458" s="4">
        <v>0.85</v>
      </c>
      <c r="C458" s="4">
        <v>0.80999999999999994</v>
      </c>
    </row>
    <row r="459" spans="1:3" x14ac:dyDescent="0.45">
      <c r="A459" s="2">
        <v>38353</v>
      </c>
      <c r="B459" s="4">
        <v>0.19</v>
      </c>
      <c r="C459" s="4">
        <v>-0.65999999999999992</v>
      </c>
    </row>
    <row r="460" spans="1:3" x14ac:dyDescent="0.45">
      <c r="A460" s="2">
        <v>38384</v>
      </c>
      <c r="B460" s="4">
        <v>0.4</v>
      </c>
      <c r="C460" s="4">
        <v>0.21000000000000002</v>
      </c>
    </row>
    <row r="461" spans="1:3" x14ac:dyDescent="0.45">
      <c r="A461" s="2">
        <v>38412</v>
      </c>
      <c r="B461" s="4">
        <v>-0.28000000000000003</v>
      </c>
      <c r="C461" s="4">
        <v>-0.68</v>
      </c>
    </row>
    <row r="462" spans="1:3" x14ac:dyDescent="0.45">
      <c r="A462" s="2">
        <v>38443</v>
      </c>
      <c r="B462" s="4">
        <v>0.56999999999999995</v>
      </c>
      <c r="C462" s="4">
        <v>0.85</v>
      </c>
    </row>
    <row r="463" spans="1:3" x14ac:dyDescent="0.45">
      <c r="A463" s="2">
        <v>38473</v>
      </c>
      <c r="B463" s="4">
        <v>-0.02</v>
      </c>
      <c r="C463" s="4">
        <v>-0.59</v>
      </c>
    </row>
    <row r="464" spans="1:3" x14ac:dyDescent="0.45">
      <c r="A464" s="2">
        <v>38504</v>
      </c>
      <c r="B464" s="4">
        <v>0.41</v>
      </c>
      <c r="C464" s="4">
        <v>0.43</v>
      </c>
    </row>
    <row r="465" spans="1:3" x14ac:dyDescent="0.45">
      <c r="A465" s="2">
        <v>38534</v>
      </c>
      <c r="B465" s="4">
        <v>-0.05</v>
      </c>
      <c r="C465" s="4">
        <v>-0.45999999999999996</v>
      </c>
    </row>
    <row r="466" spans="1:3" x14ac:dyDescent="0.45">
      <c r="A466" s="2">
        <v>38565</v>
      </c>
      <c r="B466" s="4">
        <v>0.21</v>
      </c>
      <c r="C466" s="4">
        <v>0.26</v>
      </c>
    </row>
    <row r="467" spans="1:3" x14ac:dyDescent="0.45">
      <c r="A467" s="2">
        <v>38596</v>
      </c>
      <c r="B467" s="4">
        <v>-0.62</v>
      </c>
      <c r="C467" s="4">
        <v>-0.83</v>
      </c>
    </row>
    <row r="468" spans="1:3" x14ac:dyDescent="0.45">
      <c r="A468" s="2">
        <v>38626</v>
      </c>
      <c r="B468" s="4">
        <v>0.65</v>
      </c>
      <c r="C468" s="4">
        <v>1.27</v>
      </c>
    </row>
    <row r="469" spans="1:3" x14ac:dyDescent="0.45">
      <c r="A469" s="2">
        <v>38657</v>
      </c>
      <c r="B469" s="4">
        <v>0.75</v>
      </c>
      <c r="C469" s="4">
        <v>9.9999999999999978E-2</v>
      </c>
    </row>
    <row r="470" spans="1:3" x14ac:dyDescent="0.45">
      <c r="A470" s="2">
        <v>38687</v>
      </c>
      <c r="B470" s="4">
        <v>0.33</v>
      </c>
      <c r="C470" s="4">
        <v>-0.42</v>
      </c>
    </row>
    <row r="471" spans="1:3" x14ac:dyDescent="0.45">
      <c r="A471" s="2">
        <v>38718</v>
      </c>
      <c r="B471" s="4">
        <v>0.48</v>
      </c>
      <c r="C471" s="4">
        <v>0.14999999999999997</v>
      </c>
    </row>
    <row r="472" spans="1:3" x14ac:dyDescent="0.45">
      <c r="A472" s="2">
        <v>38749</v>
      </c>
      <c r="B472" s="4">
        <v>0.1</v>
      </c>
      <c r="C472" s="4">
        <v>-0.38</v>
      </c>
    </row>
    <row r="473" spans="1:3" x14ac:dyDescent="0.45">
      <c r="A473" s="2">
        <v>38777</v>
      </c>
      <c r="B473" s="4">
        <v>0.23</v>
      </c>
      <c r="C473" s="4">
        <v>0.13</v>
      </c>
    </row>
    <row r="474" spans="1:3" x14ac:dyDescent="0.45">
      <c r="A474" s="2">
        <v>38808</v>
      </c>
      <c r="B474" s="4">
        <v>-0.09</v>
      </c>
      <c r="C474" s="4">
        <v>-0.32</v>
      </c>
    </row>
    <row r="475" spans="1:3" x14ac:dyDescent="0.45">
      <c r="A475" s="2">
        <v>38838</v>
      </c>
      <c r="B475" s="4">
        <v>0.02</v>
      </c>
      <c r="C475" s="4">
        <v>0.11</v>
      </c>
    </row>
    <row r="476" spans="1:3" x14ac:dyDescent="0.45">
      <c r="A476" s="2">
        <v>38869</v>
      </c>
      <c r="B476" s="4">
        <v>0.03</v>
      </c>
      <c r="C476" s="4">
        <v>9.9999999999999985E-3</v>
      </c>
    </row>
    <row r="477" spans="1:3" x14ac:dyDescent="0.45">
      <c r="A477" s="2">
        <v>38899</v>
      </c>
      <c r="B477" s="4">
        <v>-0.28000000000000003</v>
      </c>
      <c r="C477" s="4">
        <v>-0.31000000000000005</v>
      </c>
    </row>
    <row r="478" spans="1:3" x14ac:dyDescent="0.45">
      <c r="A478" s="2">
        <v>38930</v>
      </c>
      <c r="B478" s="4">
        <v>0.18</v>
      </c>
      <c r="C478" s="4">
        <v>0.46</v>
      </c>
    </row>
    <row r="479" spans="1:3" x14ac:dyDescent="0.45">
      <c r="A479" s="2">
        <v>38961</v>
      </c>
      <c r="B479" s="4">
        <v>0</v>
      </c>
      <c r="C479" s="4">
        <v>-0.18</v>
      </c>
    </row>
    <row r="480" spans="1:3" x14ac:dyDescent="0.45">
      <c r="A480" s="2">
        <v>38991</v>
      </c>
      <c r="B480" s="4">
        <v>-0.27</v>
      </c>
      <c r="C480" s="4">
        <v>-0.27</v>
      </c>
    </row>
    <row r="481" spans="1:3" x14ac:dyDescent="0.45">
      <c r="A481" s="2">
        <v>39022</v>
      </c>
      <c r="B481" s="4">
        <v>-0.11</v>
      </c>
      <c r="C481" s="4">
        <v>0.16000000000000003</v>
      </c>
    </row>
    <row r="482" spans="1:3" x14ac:dyDescent="0.45">
      <c r="A482" s="2">
        <v>39052</v>
      </c>
      <c r="B482" s="4">
        <v>0.77</v>
      </c>
      <c r="C482" s="4">
        <v>0.88</v>
      </c>
    </row>
    <row r="483" spans="1:3" x14ac:dyDescent="0.45">
      <c r="A483" s="2">
        <v>39083</v>
      </c>
      <c r="B483" s="4">
        <v>-0.48</v>
      </c>
      <c r="C483" s="4">
        <v>-1.25</v>
      </c>
    </row>
    <row r="484" spans="1:3" x14ac:dyDescent="0.45">
      <c r="A484" s="2">
        <v>39114</v>
      </c>
      <c r="B484" s="4">
        <v>0.2</v>
      </c>
      <c r="C484" s="4">
        <v>0.67999999999999994</v>
      </c>
    </row>
    <row r="485" spans="1:3" x14ac:dyDescent="0.45">
      <c r="A485" s="2">
        <v>39142</v>
      </c>
      <c r="B485" s="4">
        <v>0.24</v>
      </c>
      <c r="C485" s="4">
        <v>3.999999999999998E-2</v>
      </c>
    </row>
    <row r="486" spans="1:3" x14ac:dyDescent="0.45">
      <c r="A486" s="2">
        <v>39173</v>
      </c>
      <c r="B486" s="4">
        <v>-0.09</v>
      </c>
      <c r="C486" s="4">
        <v>-0.32999999999999996</v>
      </c>
    </row>
    <row r="487" spans="1:3" x14ac:dyDescent="0.45">
      <c r="A487" s="2">
        <v>39203</v>
      </c>
      <c r="B487" s="4">
        <v>0.05</v>
      </c>
      <c r="C487" s="4">
        <v>0.14000000000000001</v>
      </c>
    </row>
    <row r="488" spans="1:3" x14ac:dyDescent="0.45">
      <c r="A488" s="2">
        <v>39234</v>
      </c>
      <c r="B488" s="4">
        <v>-0.02</v>
      </c>
      <c r="C488" s="4">
        <v>-7.0000000000000007E-2</v>
      </c>
    </row>
    <row r="489" spans="1:3" x14ac:dyDescent="0.45">
      <c r="A489" s="2">
        <v>39264</v>
      </c>
      <c r="B489" s="4">
        <v>-0.4</v>
      </c>
      <c r="C489" s="4">
        <v>-0.38</v>
      </c>
    </row>
    <row r="490" spans="1:3" x14ac:dyDescent="0.45">
      <c r="A490" s="2">
        <v>39295</v>
      </c>
      <c r="B490" s="4">
        <v>-7.0000000000000007E-2</v>
      </c>
      <c r="C490" s="4">
        <v>0.33</v>
      </c>
    </row>
    <row r="491" spans="1:3" x14ac:dyDescent="0.45">
      <c r="A491" s="2">
        <v>39326</v>
      </c>
      <c r="B491" s="4">
        <v>-0.08</v>
      </c>
      <c r="C491" s="4">
        <v>-9.999999999999995E-3</v>
      </c>
    </row>
    <row r="492" spans="1:3" x14ac:dyDescent="0.45">
      <c r="A492" s="2">
        <v>39356</v>
      </c>
      <c r="B492" s="4">
        <v>-0.27</v>
      </c>
      <c r="C492" s="4">
        <v>-0.19</v>
      </c>
    </row>
    <row r="493" spans="1:3" x14ac:dyDescent="0.45">
      <c r="A493" s="2">
        <v>39387</v>
      </c>
      <c r="B493" s="4">
        <v>-0.08</v>
      </c>
      <c r="C493" s="4">
        <v>0.19</v>
      </c>
    </row>
    <row r="494" spans="1:3" x14ac:dyDescent="0.45">
      <c r="A494" s="2">
        <v>39417</v>
      </c>
      <c r="B494" s="4">
        <v>-0.45</v>
      </c>
      <c r="C494" s="4">
        <v>-0.37</v>
      </c>
    </row>
    <row r="495" spans="1:3" x14ac:dyDescent="0.45">
      <c r="A495" s="2">
        <v>39448</v>
      </c>
      <c r="B495" s="4">
        <v>-0.23</v>
      </c>
      <c r="C495" s="4">
        <v>0.22</v>
      </c>
    </row>
    <row r="496" spans="1:3" x14ac:dyDescent="0.45">
      <c r="A496" s="2">
        <v>39479</v>
      </c>
      <c r="B496" s="4">
        <v>-0.8</v>
      </c>
      <c r="C496" s="4">
        <v>-0.57000000000000006</v>
      </c>
    </row>
    <row r="497" spans="1:3" x14ac:dyDescent="0.45">
      <c r="A497" s="2">
        <v>39508</v>
      </c>
      <c r="B497" s="4">
        <v>-0.79</v>
      </c>
      <c r="C497" s="4">
        <v>1.0000000000000009E-2</v>
      </c>
    </row>
    <row r="498" spans="1:3" x14ac:dyDescent="0.45">
      <c r="A498" s="2">
        <v>39539</v>
      </c>
      <c r="B498" s="4">
        <v>-0.67</v>
      </c>
      <c r="C498" s="4">
        <v>0.12</v>
      </c>
    </row>
    <row r="499" spans="1:3" x14ac:dyDescent="0.45">
      <c r="A499" s="2">
        <v>39569</v>
      </c>
      <c r="B499" s="4">
        <v>-0.84</v>
      </c>
      <c r="C499" s="4">
        <v>-0.16999999999999993</v>
      </c>
    </row>
    <row r="500" spans="1:3" x14ac:dyDescent="0.45">
      <c r="A500" s="2">
        <v>39600</v>
      </c>
      <c r="B500" s="4">
        <v>-0.72</v>
      </c>
      <c r="C500" s="4">
        <v>0.12</v>
      </c>
    </row>
    <row r="501" spans="1:3" x14ac:dyDescent="0.45">
      <c r="A501" s="2">
        <v>39630</v>
      </c>
      <c r="B501" s="4">
        <v>-1.21</v>
      </c>
      <c r="C501" s="4">
        <v>-0.49</v>
      </c>
    </row>
    <row r="502" spans="1:3" x14ac:dyDescent="0.45">
      <c r="A502" s="2">
        <v>39661</v>
      </c>
      <c r="B502" s="4">
        <v>-1.26</v>
      </c>
      <c r="C502" s="4">
        <v>-5.0000000000000044E-2</v>
      </c>
    </row>
    <row r="503" spans="1:3" x14ac:dyDescent="0.45">
      <c r="A503" s="2">
        <v>39692</v>
      </c>
      <c r="B503" s="4">
        <v>-2.58</v>
      </c>
      <c r="C503" s="4">
        <v>-1.32</v>
      </c>
    </row>
    <row r="504" spans="1:3" x14ac:dyDescent="0.45">
      <c r="A504" s="2">
        <v>39722</v>
      </c>
      <c r="B504" s="4">
        <v>-1.1299999999999999</v>
      </c>
      <c r="C504" s="4">
        <v>1.4500000000000002</v>
      </c>
    </row>
    <row r="505" spans="1:3" x14ac:dyDescent="0.45">
      <c r="A505" s="2">
        <v>39753</v>
      </c>
      <c r="B505" s="4">
        <v>-2.35</v>
      </c>
      <c r="C505" s="4">
        <v>-1.2200000000000002</v>
      </c>
    </row>
    <row r="506" spans="1:3" x14ac:dyDescent="0.45">
      <c r="A506" s="2">
        <v>39783</v>
      </c>
      <c r="B506" s="4">
        <v>-2.68</v>
      </c>
      <c r="C506" s="4">
        <v>-0.33000000000000007</v>
      </c>
    </row>
    <row r="507" spans="1:3" x14ac:dyDescent="0.45">
      <c r="A507" s="2">
        <v>39814</v>
      </c>
      <c r="B507" s="4">
        <v>-3.04</v>
      </c>
      <c r="C507" s="4">
        <v>-0.35999999999999988</v>
      </c>
    </row>
    <row r="508" spans="1:3" x14ac:dyDescent="0.45">
      <c r="A508" s="2">
        <v>39845</v>
      </c>
      <c r="B508" s="4">
        <v>-1.24</v>
      </c>
      <c r="C508" s="4">
        <v>1.8</v>
      </c>
    </row>
    <row r="509" spans="1:3" x14ac:dyDescent="0.45">
      <c r="A509" s="2">
        <v>39873</v>
      </c>
      <c r="B509" s="4">
        <v>-2.35</v>
      </c>
      <c r="C509" s="4">
        <v>-1.1100000000000001</v>
      </c>
    </row>
    <row r="510" spans="1:3" x14ac:dyDescent="0.45">
      <c r="A510" s="2">
        <v>39904</v>
      </c>
      <c r="B510" s="4">
        <v>-1.61</v>
      </c>
      <c r="C510" s="4">
        <v>0.74</v>
      </c>
    </row>
    <row r="511" spans="1:3" x14ac:dyDescent="0.45">
      <c r="A511" s="2">
        <v>39934</v>
      </c>
      <c r="B511" s="4">
        <v>-1.2</v>
      </c>
      <c r="C511" s="4">
        <v>0.41000000000000014</v>
      </c>
    </row>
    <row r="512" spans="1:3" x14ac:dyDescent="0.45">
      <c r="A512" s="2">
        <v>39965</v>
      </c>
      <c r="B512" s="4">
        <v>-0.93</v>
      </c>
      <c r="C512" s="4">
        <v>0.26999999999999991</v>
      </c>
    </row>
    <row r="513" spans="1:3" x14ac:dyDescent="0.45">
      <c r="A513" s="2">
        <v>39995</v>
      </c>
      <c r="B513" s="4">
        <v>0.14000000000000001</v>
      </c>
      <c r="C513" s="4">
        <v>1.07</v>
      </c>
    </row>
    <row r="514" spans="1:3" x14ac:dyDescent="0.45">
      <c r="A514" s="2">
        <v>40026</v>
      </c>
      <c r="B514" s="4">
        <v>-0.01</v>
      </c>
      <c r="C514" s="4">
        <v>-0.15000000000000002</v>
      </c>
    </row>
    <row r="515" spans="1:3" x14ac:dyDescent="0.45">
      <c r="A515" s="2">
        <v>40057</v>
      </c>
      <c r="B515" s="4">
        <v>-0.21</v>
      </c>
      <c r="C515" s="4">
        <v>-0.19999999999999998</v>
      </c>
    </row>
    <row r="516" spans="1:3" x14ac:dyDescent="0.45">
      <c r="A516" s="2">
        <v>40087</v>
      </c>
      <c r="B516" s="4">
        <v>-0.28999999999999998</v>
      </c>
      <c r="C516" s="4">
        <v>-7.9999999999999988E-2</v>
      </c>
    </row>
    <row r="517" spans="1:3" x14ac:dyDescent="0.45">
      <c r="A517" s="2">
        <v>40118</v>
      </c>
      <c r="B517" s="4">
        <v>0.06</v>
      </c>
      <c r="C517" s="4">
        <v>0.35</v>
      </c>
    </row>
    <row r="518" spans="1:3" x14ac:dyDescent="0.45">
      <c r="A518" s="2">
        <v>40148</v>
      </c>
      <c r="B518" s="4">
        <v>-0.28999999999999998</v>
      </c>
      <c r="C518" s="4">
        <v>-0.35</v>
      </c>
    </row>
    <row r="519" spans="1:3" x14ac:dyDescent="0.45">
      <c r="A519" s="2">
        <v>40179</v>
      </c>
      <c r="B519" s="4">
        <v>0.16</v>
      </c>
      <c r="C519" s="4">
        <v>0.44999999999999996</v>
      </c>
    </row>
    <row r="520" spans="1:3" x14ac:dyDescent="0.45">
      <c r="A520" s="2">
        <v>40210</v>
      </c>
      <c r="B520" s="4">
        <v>-0.35</v>
      </c>
      <c r="C520" s="4">
        <v>-0.51</v>
      </c>
    </row>
    <row r="521" spans="1:3" x14ac:dyDescent="0.45">
      <c r="A521" s="2">
        <v>40238</v>
      </c>
      <c r="B521" s="4">
        <v>0.48</v>
      </c>
      <c r="C521" s="4">
        <v>0.83</v>
      </c>
    </row>
    <row r="522" spans="1:3" x14ac:dyDescent="0.45">
      <c r="A522" s="2">
        <v>40269</v>
      </c>
      <c r="B522" s="4">
        <v>0.4</v>
      </c>
      <c r="C522" s="4">
        <v>-7.999999999999996E-2</v>
      </c>
    </row>
    <row r="523" spans="1:3" x14ac:dyDescent="0.45">
      <c r="A523" s="2">
        <v>40299</v>
      </c>
      <c r="B523" s="4">
        <v>0.3</v>
      </c>
      <c r="C523" s="4">
        <v>-0.10000000000000003</v>
      </c>
    </row>
    <row r="524" spans="1:3" x14ac:dyDescent="0.45">
      <c r="A524" s="2">
        <v>40330</v>
      </c>
      <c r="B524" s="4">
        <v>-0.17</v>
      </c>
      <c r="C524" s="4">
        <v>-0.47</v>
      </c>
    </row>
    <row r="525" spans="1:3" x14ac:dyDescent="0.45">
      <c r="A525" s="2">
        <v>40360</v>
      </c>
      <c r="B525" s="4">
        <v>0.15</v>
      </c>
      <c r="C525" s="4">
        <v>0.32</v>
      </c>
    </row>
    <row r="526" spans="1:3" x14ac:dyDescent="0.45">
      <c r="A526" s="2">
        <v>40391</v>
      </c>
      <c r="B526" s="4">
        <v>-0.16</v>
      </c>
      <c r="C526" s="4">
        <v>-0.31</v>
      </c>
    </row>
    <row r="527" spans="1:3" x14ac:dyDescent="0.45">
      <c r="A527" s="2">
        <v>40422</v>
      </c>
      <c r="B527" s="4">
        <v>-0.19</v>
      </c>
      <c r="C527" s="4">
        <v>-0.03</v>
      </c>
    </row>
    <row r="528" spans="1:3" x14ac:dyDescent="0.45">
      <c r="A528" s="2">
        <v>40452</v>
      </c>
      <c r="B528" s="4">
        <v>-0.12</v>
      </c>
      <c r="C528" s="4">
        <v>7.0000000000000007E-2</v>
      </c>
    </row>
    <row r="529" spans="1:3" x14ac:dyDescent="0.45">
      <c r="A529" s="2">
        <v>40483</v>
      </c>
      <c r="B529" s="4">
        <v>-0.19</v>
      </c>
      <c r="C529" s="4">
        <v>-7.0000000000000007E-2</v>
      </c>
    </row>
    <row r="530" spans="1:3" x14ac:dyDescent="0.45">
      <c r="A530" s="2">
        <v>40513</v>
      </c>
      <c r="B530" s="4">
        <v>0.09</v>
      </c>
      <c r="C530" s="4">
        <v>0.28000000000000003</v>
      </c>
    </row>
    <row r="531" spans="1:3" x14ac:dyDescent="0.45">
      <c r="A531" s="2">
        <v>40544</v>
      </c>
      <c r="B531" s="4">
        <v>0.02</v>
      </c>
      <c r="C531" s="4">
        <v>-6.9999999999999993E-2</v>
      </c>
    </row>
    <row r="532" spans="1:3" x14ac:dyDescent="0.45">
      <c r="A532" s="2">
        <v>40575</v>
      </c>
      <c r="B532" s="4">
        <v>-0.38</v>
      </c>
      <c r="C532" s="4">
        <v>-0.4</v>
      </c>
    </row>
    <row r="533" spans="1:3" x14ac:dyDescent="0.45">
      <c r="A533" s="2">
        <v>40603</v>
      </c>
      <c r="B533" s="4">
        <v>0.41</v>
      </c>
      <c r="C533" s="4">
        <v>0.79</v>
      </c>
    </row>
    <row r="534" spans="1:3" x14ac:dyDescent="0.45">
      <c r="A534" s="2">
        <v>40634</v>
      </c>
      <c r="B534" s="4">
        <v>-0.48</v>
      </c>
      <c r="C534" s="4">
        <v>-0.8899999999999999</v>
      </c>
    </row>
    <row r="535" spans="1:3" x14ac:dyDescent="0.45">
      <c r="A535" s="2">
        <v>40664</v>
      </c>
      <c r="B535" s="4">
        <v>-0.34</v>
      </c>
      <c r="C535" s="4">
        <v>0.13999999999999996</v>
      </c>
    </row>
    <row r="536" spans="1:3" x14ac:dyDescent="0.45">
      <c r="A536" s="2">
        <v>40695</v>
      </c>
      <c r="B536" s="4">
        <v>0.01</v>
      </c>
      <c r="C536" s="4">
        <v>0.35000000000000003</v>
      </c>
    </row>
    <row r="537" spans="1:3" x14ac:dyDescent="0.45">
      <c r="A537" s="2">
        <v>40725</v>
      </c>
      <c r="B537" s="4">
        <v>0.17</v>
      </c>
      <c r="C537" s="4">
        <v>0.16</v>
      </c>
    </row>
    <row r="538" spans="1:3" x14ac:dyDescent="0.45">
      <c r="A538" s="2">
        <v>40756</v>
      </c>
      <c r="B538" s="4">
        <v>0.01</v>
      </c>
      <c r="C538" s="4">
        <v>-0.16</v>
      </c>
    </row>
    <row r="539" spans="1:3" x14ac:dyDescent="0.45">
      <c r="A539" s="2">
        <v>40787</v>
      </c>
      <c r="B539" s="4">
        <v>-0.27</v>
      </c>
      <c r="C539" s="4">
        <v>-0.28000000000000003</v>
      </c>
    </row>
    <row r="540" spans="1:3" x14ac:dyDescent="0.45">
      <c r="A540" s="2">
        <v>40817</v>
      </c>
      <c r="B540" s="4">
        <v>0.16</v>
      </c>
      <c r="C540" s="4">
        <v>0.43000000000000005</v>
      </c>
    </row>
    <row r="541" spans="1:3" x14ac:dyDescent="0.45">
      <c r="A541" s="2">
        <v>40848</v>
      </c>
      <c r="B541" s="4">
        <v>-0.35</v>
      </c>
      <c r="C541" s="4">
        <v>-0.51</v>
      </c>
    </row>
    <row r="542" spans="1:3" x14ac:dyDescent="0.45">
      <c r="A542" s="2">
        <v>40878</v>
      </c>
      <c r="B542" s="4">
        <v>0.28000000000000003</v>
      </c>
      <c r="C542" s="4">
        <v>0.63</v>
      </c>
    </row>
    <row r="543" spans="1:3" x14ac:dyDescent="0.45">
      <c r="A543" s="2">
        <v>40909</v>
      </c>
      <c r="B543" s="4">
        <v>0.37</v>
      </c>
      <c r="C543" s="4">
        <v>8.9999999999999969E-2</v>
      </c>
    </row>
    <row r="544" spans="1:3" x14ac:dyDescent="0.45">
      <c r="A544" s="2">
        <v>40940</v>
      </c>
      <c r="B544" s="4">
        <v>0</v>
      </c>
      <c r="C544" s="4">
        <v>-0.37</v>
      </c>
    </row>
    <row r="545" spans="1:3" x14ac:dyDescent="0.45">
      <c r="A545" s="2">
        <v>40969</v>
      </c>
      <c r="B545" s="4">
        <v>-0.39</v>
      </c>
      <c r="C545" s="4">
        <v>-0.39</v>
      </c>
    </row>
    <row r="546" spans="1:3" x14ac:dyDescent="0.45">
      <c r="A546" s="2">
        <v>41000</v>
      </c>
      <c r="B546" s="4">
        <v>0.06</v>
      </c>
      <c r="C546" s="4">
        <v>0.45</v>
      </c>
    </row>
    <row r="547" spans="1:3" x14ac:dyDescent="0.45">
      <c r="A547" s="2">
        <v>41030</v>
      </c>
      <c r="B547" s="4">
        <v>-0.17</v>
      </c>
      <c r="C547" s="4">
        <v>-0.23</v>
      </c>
    </row>
    <row r="548" spans="1:3" x14ac:dyDescent="0.45">
      <c r="A548" s="2">
        <v>41061</v>
      </c>
      <c r="B548" s="4">
        <v>-0.33</v>
      </c>
      <c r="C548" s="4">
        <v>-0.16</v>
      </c>
    </row>
    <row r="549" spans="1:3" x14ac:dyDescent="0.45">
      <c r="A549" s="2">
        <v>41091</v>
      </c>
      <c r="B549" s="4">
        <v>-0.28000000000000003</v>
      </c>
      <c r="C549" s="4">
        <v>4.9999999999999989E-2</v>
      </c>
    </row>
    <row r="550" spans="1:3" x14ac:dyDescent="0.45">
      <c r="A550" s="2">
        <v>41122</v>
      </c>
      <c r="B550" s="4">
        <v>-0.45</v>
      </c>
      <c r="C550" s="4">
        <v>-0.16999999999999998</v>
      </c>
    </row>
    <row r="551" spans="1:3" x14ac:dyDescent="0.45">
      <c r="A551" s="2">
        <v>41153</v>
      </c>
      <c r="B551" s="4">
        <v>-0.11</v>
      </c>
      <c r="C551" s="4">
        <v>0.34</v>
      </c>
    </row>
    <row r="552" spans="1:3" x14ac:dyDescent="0.45">
      <c r="A552" s="2">
        <v>41183</v>
      </c>
      <c r="B552" s="4">
        <v>-0.26</v>
      </c>
      <c r="C552" s="4">
        <v>-0.15000000000000002</v>
      </c>
    </row>
    <row r="553" spans="1:3" x14ac:dyDescent="0.45">
      <c r="A553" s="2">
        <v>41214</v>
      </c>
      <c r="B553" s="4">
        <v>0.28000000000000003</v>
      </c>
      <c r="C553" s="4">
        <v>0.54</v>
      </c>
    </row>
    <row r="554" spans="1:3" x14ac:dyDescent="0.45">
      <c r="A554" s="2">
        <v>41244</v>
      </c>
      <c r="B554" s="4">
        <v>0.14000000000000001</v>
      </c>
      <c r="C554" s="4">
        <v>-0.14000000000000001</v>
      </c>
    </row>
    <row r="555" spans="1:3" x14ac:dyDescent="0.45">
      <c r="A555" s="2">
        <v>41275</v>
      </c>
      <c r="B555" s="4">
        <v>-0.33</v>
      </c>
      <c r="C555" s="4">
        <v>-0.47000000000000003</v>
      </c>
    </row>
    <row r="556" spans="1:3" x14ac:dyDescent="0.45">
      <c r="A556" s="2">
        <v>41306</v>
      </c>
      <c r="B556" s="4">
        <v>0.23</v>
      </c>
      <c r="C556" s="4">
        <v>0.56000000000000005</v>
      </c>
    </row>
    <row r="557" spans="1:3" x14ac:dyDescent="0.45">
      <c r="A557" s="2">
        <v>41334</v>
      </c>
      <c r="B557" s="4">
        <v>-0.26</v>
      </c>
      <c r="C557" s="4">
        <v>-0.49</v>
      </c>
    </row>
    <row r="558" spans="1:3" x14ac:dyDescent="0.45">
      <c r="A558" s="2">
        <v>41365</v>
      </c>
      <c r="B558" s="4">
        <v>-0.28999999999999998</v>
      </c>
      <c r="C558" s="4">
        <v>-2.9999999999999971E-2</v>
      </c>
    </row>
    <row r="559" spans="1:3" x14ac:dyDescent="0.45">
      <c r="A559" s="2">
        <v>41395</v>
      </c>
      <c r="B559" s="4">
        <v>0.14000000000000001</v>
      </c>
      <c r="C559" s="4">
        <v>0.43</v>
      </c>
    </row>
    <row r="560" spans="1:3" x14ac:dyDescent="0.45">
      <c r="A560" s="2">
        <v>41426</v>
      </c>
      <c r="B560" s="4">
        <v>-0.14000000000000001</v>
      </c>
      <c r="C560" s="4">
        <v>-0.28000000000000003</v>
      </c>
    </row>
    <row r="561" spans="1:3" x14ac:dyDescent="0.45">
      <c r="A561" s="2">
        <v>41456</v>
      </c>
      <c r="B561" s="4">
        <v>-0.52</v>
      </c>
      <c r="C561" s="4">
        <v>-0.38</v>
      </c>
    </row>
    <row r="562" spans="1:3" x14ac:dyDescent="0.45">
      <c r="A562" s="2">
        <v>41487</v>
      </c>
      <c r="B562" s="4">
        <v>0.3</v>
      </c>
      <c r="C562" s="4">
        <v>0.82000000000000006</v>
      </c>
    </row>
    <row r="563" spans="1:3" x14ac:dyDescent="0.45">
      <c r="A563" s="2">
        <v>41518</v>
      </c>
      <c r="B563" s="4">
        <v>0.1</v>
      </c>
      <c r="C563" s="4">
        <v>-0.19999999999999998</v>
      </c>
    </row>
    <row r="564" spans="1:3" x14ac:dyDescent="0.45">
      <c r="A564" s="2">
        <v>41548</v>
      </c>
      <c r="B564" s="4">
        <v>0.01</v>
      </c>
      <c r="C564" s="4">
        <v>-9.0000000000000011E-2</v>
      </c>
    </row>
    <row r="565" spans="1:3" x14ac:dyDescent="0.45">
      <c r="A565" s="2">
        <v>41579</v>
      </c>
      <c r="B565" s="4">
        <v>0.3</v>
      </c>
      <c r="C565" s="4">
        <v>0.28999999999999998</v>
      </c>
    </row>
    <row r="566" spans="1:3" x14ac:dyDescent="0.45">
      <c r="A566" s="2">
        <v>41609</v>
      </c>
      <c r="B566" s="4">
        <v>-0.15</v>
      </c>
      <c r="C566" s="4">
        <v>-0.44999999999999996</v>
      </c>
    </row>
    <row r="567" spans="1:3" x14ac:dyDescent="0.45">
      <c r="A567" s="2">
        <v>41640</v>
      </c>
      <c r="B567" s="4">
        <v>-0.7</v>
      </c>
      <c r="C567" s="4">
        <v>-0.54999999999999993</v>
      </c>
    </row>
    <row r="568" spans="1:3" x14ac:dyDescent="0.45">
      <c r="A568" s="2">
        <v>41671</v>
      </c>
      <c r="B568" s="4">
        <v>0.44</v>
      </c>
      <c r="C568" s="4">
        <v>1.1399999999999999</v>
      </c>
    </row>
    <row r="569" spans="1:3" x14ac:dyDescent="0.45">
      <c r="A569" s="2">
        <v>41699</v>
      </c>
      <c r="B569" s="4">
        <v>0.48</v>
      </c>
      <c r="C569" s="4">
        <v>3.999999999999998E-2</v>
      </c>
    </row>
    <row r="570" spans="1:3" x14ac:dyDescent="0.45">
      <c r="A570" s="2">
        <v>41730</v>
      </c>
      <c r="B570" s="4">
        <v>0.05</v>
      </c>
      <c r="C570" s="4">
        <v>-0.43</v>
      </c>
    </row>
    <row r="571" spans="1:3" x14ac:dyDescent="0.45">
      <c r="A571" s="2">
        <v>41760</v>
      </c>
      <c r="B571" s="4">
        <v>0.12</v>
      </c>
      <c r="C571" s="4">
        <v>6.9999999999999993E-2</v>
      </c>
    </row>
    <row r="572" spans="1:3" x14ac:dyDescent="0.45">
      <c r="A572" s="2">
        <v>41791</v>
      </c>
      <c r="B572" s="4">
        <v>0.14000000000000001</v>
      </c>
      <c r="C572" s="4">
        <v>2.0000000000000018E-2</v>
      </c>
    </row>
    <row r="573" spans="1:3" x14ac:dyDescent="0.45">
      <c r="A573" s="2">
        <v>41821</v>
      </c>
      <c r="B573" s="4">
        <v>0.3</v>
      </c>
      <c r="C573" s="4">
        <v>0.15999999999999998</v>
      </c>
    </row>
    <row r="574" spans="1:3" x14ac:dyDescent="0.45">
      <c r="A574" s="2">
        <v>41852</v>
      </c>
      <c r="B574" s="4">
        <v>-0.23</v>
      </c>
      <c r="C574" s="4">
        <v>-0.53</v>
      </c>
    </row>
    <row r="575" spans="1:3" x14ac:dyDescent="0.45">
      <c r="A575" s="2">
        <v>41883</v>
      </c>
      <c r="B575" s="4">
        <v>0.01</v>
      </c>
      <c r="C575" s="4">
        <v>0.24000000000000002</v>
      </c>
    </row>
    <row r="576" spans="1:3" x14ac:dyDescent="0.45">
      <c r="A576" s="2">
        <v>41913</v>
      </c>
      <c r="B576" s="4">
        <v>0.04</v>
      </c>
      <c r="C576" s="4">
        <v>0.03</v>
      </c>
    </row>
    <row r="577" spans="1:3" x14ac:dyDescent="0.45">
      <c r="A577" s="2">
        <v>41944</v>
      </c>
      <c r="B577" s="4">
        <v>0.27</v>
      </c>
      <c r="C577" s="4">
        <v>0.23</v>
      </c>
    </row>
    <row r="578" spans="1:3" x14ac:dyDescent="0.45">
      <c r="A578" s="2">
        <v>41974</v>
      </c>
      <c r="B578" s="4">
        <v>0.06</v>
      </c>
      <c r="C578" s="4">
        <v>-0.21000000000000002</v>
      </c>
    </row>
    <row r="579" spans="1:3" x14ac:dyDescent="0.45">
      <c r="A579" s="2">
        <v>42005</v>
      </c>
      <c r="B579" s="4">
        <v>-0.26</v>
      </c>
      <c r="C579" s="4">
        <v>-0.32</v>
      </c>
    </row>
    <row r="580" spans="1:3" x14ac:dyDescent="0.45">
      <c r="A580" s="2">
        <v>42036</v>
      </c>
      <c r="B580" s="4">
        <v>-0.48</v>
      </c>
      <c r="C580" s="4">
        <v>-0.21999999999999997</v>
      </c>
    </row>
    <row r="581" spans="1:3" x14ac:dyDescent="0.45">
      <c r="A581" s="2">
        <v>42064</v>
      </c>
      <c r="B581" s="4">
        <v>0.01</v>
      </c>
      <c r="C581" s="4">
        <v>0.49</v>
      </c>
    </row>
    <row r="582" spans="1:3" x14ac:dyDescent="0.45">
      <c r="A582" s="2">
        <v>42095</v>
      </c>
      <c r="B582" s="4">
        <v>0</v>
      </c>
      <c r="C582" s="4">
        <v>-0.01</v>
      </c>
    </row>
    <row r="583" spans="1:3" x14ac:dyDescent="0.45">
      <c r="A583" s="2">
        <v>42125</v>
      </c>
      <c r="B583" s="4">
        <v>-0.34</v>
      </c>
      <c r="C583" s="4">
        <v>-0.34</v>
      </c>
    </row>
    <row r="584" spans="1:3" x14ac:dyDescent="0.45">
      <c r="A584" s="2">
        <v>42156</v>
      </c>
      <c r="B584" s="4">
        <v>-0.14000000000000001</v>
      </c>
      <c r="C584" s="4">
        <v>0.2</v>
      </c>
    </row>
    <row r="585" spans="1:3" x14ac:dyDescent="0.45">
      <c r="A585" s="2">
        <v>42186</v>
      </c>
      <c r="B585" s="4">
        <v>0.35</v>
      </c>
      <c r="C585" s="4">
        <v>0.49</v>
      </c>
    </row>
    <row r="586" spans="1:3" x14ac:dyDescent="0.45">
      <c r="A586" s="2">
        <v>42217</v>
      </c>
      <c r="B586" s="4">
        <v>-0.28000000000000003</v>
      </c>
      <c r="C586" s="4">
        <v>-0.63</v>
      </c>
    </row>
    <row r="587" spans="1:3" x14ac:dyDescent="0.45">
      <c r="A587" s="2">
        <v>42248</v>
      </c>
      <c r="B587" s="4">
        <v>-0.12</v>
      </c>
      <c r="C587" s="4">
        <v>0.16000000000000003</v>
      </c>
    </row>
    <row r="588" spans="1:3" x14ac:dyDescent="0.45">
      <c r="A588" s="2">
        <v>42278</v>
      </c>
      <c r="B588" s="4">
        <v>-0.26</v>
      </c>
      <c r="C588" s="4">
        <v>-0.14000000000000001</v>
      </c>
    </row>
    <row r="589" spans="1:3" x14ac:dyDescent="0.45">
      <c r="A589" s="2">
        <v>42309</v>
      </c>
      <c r="B589" s="4">
        <v>-0.36</v>
      </c>
      <c r="C589" s="4">
        <v>-9.9999999999999978E-2</v>
      </c>
    </row>
    <row r="590" spans="1:3" x14ac:dyDescent="0.45">
      <c r="A590" s="2">
        <v>42339</v>
      </c>
      <c r="B590" s="4">
        <v>-0.3</v>
      </c>
      <c r="C590" s="4">
        <v>0.06</v>
      </c>
    </row>
    <row r="591" spans="1:3" x14ac:dyDescent="0.45">
      <c r="A591" s="2">
        <v>42370</v>
      </c>
      <c r="B591" s="4">
        <v>0.09</v>
      </c>
      <c r="C591" s="4">
        <v>0.39</v>
      </c>
    </row>
    <row r="592" spans="1:3" x14ac:dyDescent="0.45">
      <c r="A592" s="2">
        <v>42401</v>
      </c>
      <c r="B592" s="4">
        <v>-0.23</v>
      </c>
      <c r="C592" s="4">
        <v>-0.32</v>
      </c>
    </row>
    <row r="593" spans="1:3" x14ac:dyDescent="0.45">
      <c r="A593" s="2">
        <v>42430</v>
      </c>
      <c r="B593" s="4">
        <v>-0.33</v>
      </c>
      <c r="C593" s="4">
        <v>-0.1</v>
      </c>
    </row>
    <row r="594" spans="1:3" x14ac:dyDescent="0.45">
      <c r="A594" s="2">
        <v>42461</v>
      </c>
      <c r="B594" s="4">
        <v>-0.1</v>
      </c>
      <c r="C594" s="4">
        <v>0.23</v>
      </c>
    </row>
    <row r="595" spans="1:3" x14ac:dyDescent="0.45">
      <c r="A595" s="2">
        <v>42491</v>
      </c>
      <c r="B595" s="4">
        <v>-0.35</v>
      </c>
      <c r="C595" s="4">
        <v>-0.24999999999999997</v>
      </c>
    </row>
    <row r="596" spans="1:3" x14ac:dyDescent="0.45">
      <c r="A596" s="2">
        <v>42522</v>
      </c>
      <c r="B596" s="4">
        <v>0.13</v>
      </c>
      <c r="C596" s="4">
        <v>0.48</v>
      </c>
    </row>
    <row r="597" spans="1:3" x14ac:dyDescent="0.45">
      <c r="A597" s="2">
        <v>42552</v>
      </c>
      <c r="B597" s="4">
        <v>0.05</v>
      </c>
      <c r="C597" s="4">
        <v>-0.08</v>
      </c>
    </row>
    <row r="598" spans="1:3" x14ac:dyDescent="0.45">
      <c r="A598" s="2">
        <v>42583</v>
      </c>
      <c r="B598" s="4">
        <v>-0.22</v>
      </c>
      <c r="C598" s="4">
        <v>-0.27</v>
      </c>
    </row>
    <row r="599" spans="1:3" x14ac:dyDescent="0.45">
      <c r="A599" s="2">
        <v>42614</v>
      </c>
      <c r="B599" s="4">
        <v>-0.09</v>
      </c>
      <c r="C599" s="4">
        <v>0.13</v>
      </c>
    </row>
    <row r="600" spans="1:3" x14ac:dyDescent="0.45">
      <c r="A600" s="2">
        <v>42644</v>
      </c>
      <c r="B600" s="4">
        <v>-7.0000000000000007E-2</v>
      </c>
      <c r="C600" s="4">
        <v>1.999999999999999E-2</v>
      </c>
    </row>
    <row r="601" spans="1:3" x14ac:dyDescent="0.45">
      <c r="A601" s="2">
        <v>42675</v>
      </c>
      <c r="B601" s="4">
        <v>-0.22</v>
      </c>
      <c r="C601" s="4">
        <v>-0.15</v>
      </c>
    </row>
    <row r="602" spans="1:3" x14ac:dyDescent="0.45">
      <c r="A602" s="2">
        <v>42705</v>
      </c>
      <c r="B602" s="4">
        <v>0.38</v>
      </c>
      <c r="C602" s="4">
        <v>0.6</v>
      </c>
    </row>
    <row r="603" spans="1:3" x14ac:dyDescent="0.45">
      <c r="A603" s="2">
        <v>42736</v>
      </c>
      <c r="B603" s="4">
        <v>-0.11</v>
      </c>
      <c r="C603" s="4">
        <v>-0.49</v>
      </c>
    </row>
    <row r="604" spans="1:3" x14ac:dyDescent="0.45">
      <c r="A604" s="2">
        <v>42767</v>
      </c>
      <c r="B604" s="4">
        <v>-0.09</v>
      </c>
      <c r="C604" s="4">
        <v>2.0000000000000004E-2</v>
      </c>
    </row>
    <row r="605" spans="1:3" x14ac:dyDescent="0.45">
      <c r="A605" s="2">
        <v>42795</v>
      </c>
      <c r="B605" s="4">
        <v>0.02</v>
      </c>
      <c r="C605" s="4">
        <v>0.11</v>
      </c>
    </row>
    <row r="606" spans="1:3" x14ac:dyDescent="0.45">
      <c r="A606" s="2">
        <v>42826</v>
      </c>
      <c r="B606" s="4">
        <v>0.34</v>
      </c>
      <c r="C606" s="4">
        <v>0.32</v>
      </c>
    </row>
    <row r="607" spans="1:3" x14ac:dyDescent="0.45">
      <c r="A607" s="2">
        <v>42856</v>
      </c>
      <c r="B607" s="4">
        <v>0.02</v>
      </c>
      <c r="C607" s="4">
        <v>-0.32</v>
      </c>
    </row>
    <row r="608" spans="1:3" x14ac:dyDescent="0.45">
      <c r="A608" s="2">
        <v>42887</v>
      </c>
      <c r="B608" s="4">
        <v>0.16</v>
      </c>
      <c r="C608" s="4">
        <v>0.14000000000000001</v>
      </c>
    </row>
    <row r="609" spans="1:3" x14ac:dyDescent="0.45">
      <c r="A609" s="2">
        <v>42917</v>
      </c>
      <c r="B609" s="4">
        <v>-0.16</v>
      </c>
      <c r="C609" s="4">
        <v>-0.32</v>
      </c>
    </row>
    <row r="610" spans="1:3" x14ac:dyDescent="0.45">
      <c r="A610" s="2">
        <v>42948</v>
      </c>
      <c r="B610" s="4">
        <v>0.01</v>
      </c>
      <c r="C610" s="4">
        <v>0.17</v>
      </c>
    </row>
    <row r="611" spans="1:3" x14ac:dyDescent="0.45">
      <c r="A611" s="2">
        <v>42979</v>
      </c>
      <c r="B611" s="4">
        <v>0.18</v>
      </c>
      <c r="C611" s="4">
        <v>0.16999999999999998</v>
      </c>
    </row>
    <row r="612" spans="1:3" x14ac:dyDescent="0.45">
      <c r="A612" s="2">
        <v>43009</v>
      </c>
      <c r="B612" s="4">
        <v>0.54</v>
      </c>
      <c r="C612" s="4">
        <v>0.36000000000000004</v>
      </c>
    </row>
    <row r="613" spans="1:3" x14ac:dyDescent="0.45">
      <c r="A613" s="2">
        <v>43040</v>
      </c>
      <c r="B613" s="4">
        <v>0.23</v>
      </c>
      <c r="C613" s="4">
        <v>-0.31000000000000005</v>
      </c>
    </row>
    <row r="614" spans="1:3" x14ac:dyDescent="0.45">
      <c r="A614" s="2">
        <v>43070</v>
      </c>
      <c r="B614" s="4">
        <v>0.2</v>
      </c>
      <c r="C614" s="4">
        <v>-0.03</v>
      </c>
    </row>
    <row r="615" spans="1:3" x14ac:dyDescent="0.45">
      <c r="A615" s="2">
        <v>43101</v>
      </c>
      <c r="B615" s="4">
        <v>-0.23</v>
      </c>
      <c r="C615" s="4">
        <v>-0.43000000000000005</v>
      </c>
    </row>
    <row r="616" spans="1:3" x14ac:dyDescent="0.45">
      <c r="A616" s="2">
        <v>43132</v>
      </c>
      <c r="B616" s="4">
        <v>0.47</v>
      </c>
      <c r="C616" s="4">
        <v>0.7</v>
      </c>
    </row>
    <row r="617" spans="1:3" x14ac:dyDescent="0.45">
      <c r="A617" s="2">
        <v>43160</v>
      </c>
      <c r="B617" s="4">
        <v>0.1</v>
      </c>
      <c r="C617" s="4">
        <v>-0.37</v>
      </c>
    </row>
    <row r="618" spans="1:3" x14ac:dyDescent="0.45">
      <c r="A618" s="2">
        <v>43191</v>
      </c>
      <c r="B618" s="4">
        <v>0.39</v>
      </c>
      <c r="C618" s="4">
        <v>0.29000000000000004</v>
      </c>
    </row>
    <row r="619" spans="1:3" x14ac:dyDescent="0.45">
      <c r="A619" s="2">
        <v>43221</v>
      </c>
      <c r="B619" s="4">
        <v>-0.14000000000000001</v>
      </c>
      <c r="C619" s="4">
        <v>-0.53</v>
      </c>
    </row>
    <row r="620" spans="1:3" x14ac:dyDescent="0.45">
      <c r="A620" s="2">
        <v>43252</v>
      </c>
      <c r="B620" s="4">
        <v>0.22</v>
      </c>
      <c r="C620" s="4">
        <v>0.36</v>
      </c>
    </row>
    <row r="621" spans="1:3" x14ac:dyDescent="0.45">
      <c r="A621" s="2">
        <v>43282</v>
      </c>
      <c r="B621" s="4">
        <v>0.05</v>
      </c>
      <c r="C621" s="4">
        <v>-0.16999999999999998</v>
      </c>
    </row>
    <row r="622" spans="1:3" x14ac:dyDescent="0.45">
      <c r="A622" s="2">
        <v>43313</v>
      </c>
      <c r="B622" s="4">
        <v>0.3</v>
      </c>
      <c r="C622" s="4">
        <v>0.25</v>
      </c>
    </row>
    <row r="623" spans="1:3" x14ac:dyDescent="0.45">
      <c r="A623" s="2">
        <v>43344</v>
      </c>
      <c r="B623" s="4">
        <v>0.02</v>
      </c>
      <c r="C623" s="4">
        <v>-0.27999999999999997</v>
      </c>
    </row>
    <row r="624" spans="1:3" x14ac:dyDescent="0.45">
      <c r="A624" s="2">
        <v>43374</v>
      </c>
      <c r="B624" s="4">
        <v>-0.21</v>
      </c>
      <c r="C624" s="4">
        <v>-0.22999999999999998</v>
      </c>
    </row>
    <row r="625" spans="1:3" x14ac:dyDescent="0.45">
      <c r="A625" s="2">
        <v>43405</v>
      </c>
      <c r="B625" s="4">
        <v>0.01</v>
      </c>
      <c r="C625" s="4">
        <v>0.22</v>
      </c>
    </row>
    <row r="626" spans="1:3" x14ac:dyDescent="0.45">
      <c r="A626" s="2">
        <v>43435</v>
      </c>
      <c r="B626" s="4">
        <v>-0.13</v>
      </c>
      <c r="C626" s="4">
        <v>-0.14000000000000001</v>
      </c>
    </row>
    <row r="627" spans="1:3" x14ac:dyDescent="0.45">
      <c r="A627" s="2">
        <v>43466</v>
      </c>
      <c r="B627" s="4">
        <v>-0.36</v>
      </c>
      <c r="C627" s="4">
        <v>-0.22999999999999998</v>
      </c>
    </row>
    <row r="628" spans="1:3" x14ac:dyDescent="0.45">
      <c r="A628" s="2">
        <v>43497</v>
      </c>
      <c r="B628" s="4">
        <v>-0.41</v>
      </c>
      <c r="C628" s="4">
        <v>-4.9999999999999989E-2</v>
      </c>
    </row>
    <row r="629" spans="1:3" x14ac:dyDescent="0.45">
      <c r="A629" s="2">
        <v>43525</v>
      </c>
      <c r="B629" s="4">
        <v>-0.1</v>
      </c>
      <c r="C629" s="4">
        <v>0.30999999999999994</v>
      </c>
    </row>
    <row r="630" spans="1:3" x14ac:dyDescent="0.45">
      <c r="A630" s="2">
        <v>43556</v>
      </c>
      <c r="B630" s="4">
        <v>-0.51</v>
      </c>
      <c r="C630" s="4">
        <v>-0.41000000000000003</v>
      </c>
    </row>
    <row r="631" spans="1:3" x14ac:dyDescent="0.45">
      <c r="A631" s="2">
        <v>43586</v>
      </c>
      <c r="B631" s="4">
        <v>0.02</v>
      </c>
      <c r="C631" s="4">
        <v>0.53</v>
      </c>
    </row>
    <row r="632" spans="1:3" x14ac:dyDescent="0.45">
      <c r="A632" s="2">
        <v>43617</v>
      </c>
      <c r="B632" s="4">
        <v>0.04</v>
      </c>
      <c r="C632" s="4">
        <v>0.02</v>
      </c>
    </row>
    <row r="633" spans="1:3" x14ac:dyDescent="0.45">
      <c r="A633" s="2">
        <v>43647</v>
      </c>
      <c r="B633" s="4">
        <v>-0.36</v>
      </c>
      <c r="C633" s="4">
        <v>-0.39999999999999997</v>
      </c>
    </row>
    <row r="634" spans="1:3" x14ac:dyDescent="0.45">
      <c r="A634" s="2">
        <v>43678</v>
      </c>
      <c r="B634" s="4">
        <v>0.17</v>
      </c>
      <c r="C634" s="4">
        <v>0.53</v>
      </c>
    </row>
    <row r="635" spans="1:3" x14ac:dyDescent="0.45">
      <c r="A635" s="2">
        <v>43709</v>
      </c>
      <c r="B635" s="4">
        <v>-0.43</v>
      </c>
      <c r="C635" s="4">
        <v>-0.6</v>
      </c>
    </row>
    <row r="636" spans="1:3" x14ac:dyDescent="0.45">
      <c r="A636" s="2">
        <v>43739</v>
      </c>
      <c r="B636" s="4">
        <v>-0.78</v>
      </c>
      <c r="C636" s="4">
        <v>-0.35000000000000003</v>
      </c>
    </row>
    <row r="637" spans="1:3" x14ac:dyDescent="0.45">
      <c r="A637" s="2">
        <v>43770</v>
      </c>
      <c r="B637" s="4">
        <v>0.2</v>
      </c>
      <c r="C637" s="4">
        <v>0.98</v>
      </c>
    </row>
    <row r="638" spans="1:3" x14ac:dyDescent="0.45">
      <c r="A638" s="2">
        <v>43800</v>
      </c>
      <c r="B638" s="4">
        <v>-0.35</v>
      </c>
      <c r="C638" s="4">
        <v>-0.55000000000000004</v>
      </c>
    </row>
    <row r="639" spans="1:3" x14ac:dyDescent="0.45">
      <c r="A639" s="2">
        <v>43831</v>
      </c>
      <c r="B639" s="4">
        <v>-0.25</v>
      </c>
      <c r="C639" s="4">
        <v>9.9999999999999978E-2</v>
      </c>
    </row>
    <row r="640" spans="1:3" x14ac:dyDescent="0.45">
      <c r="A640" s="2">
        <v>43862</v>
      </c>
      <c r="B640" s="4">
        <v>7.0000000000000007E-2</v>
      </c>
      <c r="C640" s="4">
        <v>0.32</v>
      </c>
    </row>
    <row r="641" spans="1:3" x14ac:dyDescent="0.45">
      <c r="A641" s="2">
        <v>43891</v>
      </c>
      <c r="B641" s="4">
        <v>-4.38</v>
      </c>
      <c r="C641" s="4">
        <v>-4.45</v>
      </c>
    </row>
    <row r="642" spans="1:3" x14ac:dyDescent="0.45">
      <c r="A642" s="2">
        <v>43922</v>
      </c>
      <c r="B642" s="4">
        <v>-18.309999999999999</v>
      </c>
      <c r="C642" s="4">
        <v>-13.93</v>
      </c>
    </row>
    <row r="643" spans="1:3" x14ac:dyDescent="0.45">
      <c r="A643" s="2">
        <v>43952</v>
      </c>
      <c r="B643" s="4">
        <v>4.76</v>
      </c>
      <c r="C643" s="4">
        <v>23.07</v>
      </c>
    </row>
    <row r="644" spans="1:3" x14ac:dyDescent="0.45">
      <c r="A644" s="2">
        <v>43983</v>
      </c>
      <c r="B644" s="4">
        <v>6.32</v>
      </c>
      <c r="C644" s="4">
        <v>1.5600000000000005</v>
      </c>
    </row>
    <row r="645" spans="1:3" x14ac:dyDescent="0.45">
      <c r="A645" s="2">
        <v>44013</v>
      </c>
      <c r="B645" s="4">
        <v>2.64</v>
      </c>
      <c r="C645" s="4">
        <v>-3.68</v>
      </c>
    </row>
    <row r="646" spans="1:3" x14ac:dyDescent="0.45">
      <c r="A646" s="2">
        <v>44044</v>
      </c>
      <c r="B646" s="4">
        <v>1.26</v>
      </c>
      <c r="C646" s="4">
        <v>-1.3800000000000001</v>
      </c>
    </row>
    <row r="647" spans="1:3" x14ac:dyDescent="0.45">
      <c r="A647" s="2">
        <v>44075</v>
      </c>
      <c r="B647" s="4">
        <v>0.5</v>
      </c>
      <c r="C647" s="4">
        <v>-0.76</v>
      </c>
    </row>
    <row r="648" spans="1:3" x14ac:dyDescent="0.45">
      <c r="A648" s="2">
        <v>44105</v>
      </c>
      <c r="B648" s="4">
        <v>1.01</v>
      </c>
      <c r="C648" s="4">
        <v>0.51</v>
      </c>
    </row>
    <row r="649" spans="1:3" x14ac:dyDescent="0.45">
      <c r="A649" s="2">
        <v>44136</v>
      </c>
      <c r="B649" s="4">
        <v>0.28000000000000003</v>
      </c>
      <c r="C649" s="4">
        <v>-0.73</v>
      </c>
    </row>
    <row r="650" spans="1:3" x14ac:dyDescent="0.45">
      <c r="A650" s="2">
        <v>44166</v>
      </c>
      <c r="B650" s="4">
        <v>0.68</v>
      </c>
      <c r="C650" s="4">
        <v>0.4</v>
      </c>
    </row>
    <row r="651" spans="1:3" x14ac:dyDescent="0.45">
      <c r="A651" s="2">
        <v>44197</v>
      </c>
      <c r="B651" s="4">
        <v>0.86</v>
      </c>
      <c r="C651" s="4">
        <v>0.17999999999999994</v>
      </c>
    </row>
    <row r="652" spans="1:3" x14ac:dyDescent="0.45">
      <c r="A652" s="2">
        <v>44228</v>
      </c>
      <c r="B652" s="4">
        <v>-1.84</v>
      </c>
      <c r="C652" s="4">
        <v>-2.7</v>
      </c>
    </row>
    <row r="653" spans="1:3" x14ac:dyDescent="0.45">
      <c r="A653" s="2">
        <v>44256</v>
      </c>
      <c r="B653" s="4">
        <v>2.4</v>
      </c>
      <c r="C653" s="4">
        <v>4.24</v>
      </c>
    </row>
    <row r="654" spans="1:3" x14ac:dyDescent="0.45">
      <c r="A654" s="2">
        <v>44287</v>
      </c>
      <c r="B654" s="4">
        <v>0.12</v>
      </c>
      <c r="C654" s="4">
        <v>-2.2799999999999998</v>
      </c>
    </row>
    <row r="655" spans="1:3" x14ac:dyDescent="0.45">
      <c r="A655" s="2">
        <v>44317</v>
      </c>
      <c r="B655" s="4">
        <v>0.23</v>
      </c>
      <c r="C655" s="4">
        <v>0.11000000000000001</v>
      </c>
    </row>
    <row r="656" spans="1:3" x14ac:dyDescent="0.45">
      <c r="A656" s="2">
        <v>44348</v>
      </c>
      <c r="B656" s="4">
        <v>0.33</v>
      </c>
      <c r="C656" s="4">
        <v>0.1</v>
      </c>
    </row>
    <row r="657" spans="1:3" x14ac:dyDescent="0.45">
      <c r="A657" s="2">
        <v>44378</v>
      </c>
      <c r="B657" s="4">
        <v>0.75</v>
      </c>
      <c r="C657" s="4">
        <v>0.42</v>
      </c>
    </row>
    <row r="658" spans="1:3" x14ac:dyDescent="0.45">
      <c r="A658" s="2">
        <v>44409</v>
      </c>
      <c r="B658" s="4">
        <v>-0.04</v>
      </c>
      <c r="C658" s="4">
        <v>-0.79</v>
      </c>
    </row>
    <row r="659" spans="1:3" x14ac:dyDescent="0.45">
      <c r="A659" s="2">
        <v>44440</v>
      </c>
      <c r="B659" s="4">
        <v>-0.13</v>
      </c>
      <c r="C659" s="4">
        <v>-0.09</v>
      </c>
    </row>
    <row r="660" spans="1:3" x14ac:dyDescent="0.45">
      <c r="A660" s="2">
        <v>44470</v>
      </c>
      <c r="B660" s="4">
        <v>0.93</v>
      </c>
      <c r="C660" s="4">
        <v>1.06</v>
      </c>
    </row>
    <row r="661" spans="1:3" x14ac:dyDescent="0.45">
      <c r="A661" s="2">
        <v>44501</v>
      </c>
      <c r="B661" s="4">
        <v>0.65</v>
      </c>
      <c r="C661" s="4">
        <v>-0.28000000000000003</v>
      </c>
    </row>
    <row r="662" spans="1:3" x14ac:dyDescent="0.45">
      <c r="A662" s="2">
        <v>44531</v>
      </c>
      <c r="B662" s="4">
        <v>0.17</v>
      </c>
      <c r="C662" s="4">
        <v>-0.48</v>
      </c>
    </row>
    <row r="663" spans="1:3" x14ac:dyDescent="0.45">
      <c r="A663" s="2">
        <v>44562</v>
      </c>
      <c r="B663" s="4">
        <v>-0.04</v>
      </c>
      <c r="C663" s="4">
        <v>-0.21000000000000002</v>
      </c>
    </row>
    <row r="664" spans="1:3" x14ac:dyDescent="0.45">
      <c r="A664" s="2">
        <v>44593</v>
      </c>
      <c r="B664" s="4">
        <v>0.4</v>
      </c>
      <c r="C664" s="4">
        <v>0.44</v>
      </c>
    </row>
    <row r="665" spans="1:3" x14ac:dyDescent="0.45">
      <c r="A665" s="2">
        <v>44621</v>
      </c>
      <c r="B665" s="4">
        <v>0.43</v>
      </c>
      <c r="C665" s="4">
        <v>2.9999999999999971E-2</v>
      </c>
    </row>
    <row r="666" spans="1:3" x14ac:dyDescent="0.45">
      <c r="A666" s="2">
        <v>44652</v>
      </c>
      <c r="B666" s="4">
        <v>0</v>
      </c>
      <c r="C666" s="4">
        <v>-0.43</v>
      </c>
    </row>
    <row r="667" spans="1:3" x14ac:dyDescent="0.45">
      <c r="A667" s="2">
        <v>44682</v>
      </c>
      <c r="B667" s="4">
        <v>-0.41</v>
      </c>
      <c r="C667" s="4">
        <v>-0.41</v>
      </c>
    </row>
    <row r="668" spans="1:3" x14ac:dyDescent="0.45">
      <c r="A668" s="2">
        <v>44713</v>
      </c>
      <c r="B668" s="4">
        <v>-0.25</v>
      </c>
      <c r="C668" s="4">
        <v>0.15999999999999998</v>
      </c>
    </row>
    <row r="669" spans="1:3" x14ac:dyDescent="0.45">
      <c r="A669" s="2">
        <v>44743</v>
      </c>
      <c r="B669" s="4">
        <v>0.2</v>
      </c>
      <c r="C669" s="4">
        <v>0.45</v>
      </c>
    </row>
    <row r="670" spans="1:3" x14ac:dyDescent="0.45">
      <c r="A670" s="2">
        <v>44774</v>
      </c>
      <c r="B670" s="4">
        <v>0.04</v>
      </c>
      <c r="C670" s="4">
        <v>-0.16</v>
      </c>
    </row>
    <row r="671" spans="1:3" x14ac:dyDescent="0.45">
      <c r="A671" s="2">
        <v>44805</v>
      </c>
      <c r="B671" s="4">
        <v>0</v>
      </c>
      <c r="C671" s="4">
        <v>-0.04</v>
      </c>
    </row>
    <row r="672" spans="1:3" x14ac:dyDescent="0.45">
      <c r="A672" s="2">
        <v>44835</v>
      </c>
      <c r="B672" s="4">
        <v>0.04</v>
      </c>
      <c r="C672" s="4">
        <v>0.04</v>
      </c>
    </row>
    <row r="673" spans="1:3" x14ac:dyDescent="0.45">
      <c r="A673" s="2">
        <v>44866</v>
      </c>
      <c r="B673" s="4">
        <v>-0.6</v>
      </c>
      <c r="C673" s="4">
        <v>-0.64</v>
      </c>
    </row>
    <row r="674" spans="1:3" x14ac:dyDescent="0.45">
      <c r="A674" s="2">
        <v>44896</v>
      </c>
      <c r="B674" s="4">
        <v>-0.46</v>
      </c>
      <c r="C674" s="4">
        <v>0.13999999999999996</v>
      </c>
    </row>
    <row r="675" spans="1:3" x14ac:dyDescent="0.45">
      <c r="A675" s="2">
        <v>44927</v>
      </c>
      <c r="B675" s="4">
        <v>0.56999999999999995</v>
      </c>
      <c r="C675" s="4">
        <v>1.03</v>
      </c>
    </row>
    <row r="676" spans="1:3" x14ac:dyDescent="0.45">
      <c r="A676" s="2">
        <v>44958</v>
      </c>
      <c r="B676" s="4">
        <v>-0.43</v>
      </c>
      <c r="C676" s="4">
        <v>-1</v>
      </c>
    </row>
    <row r="677" spans="1:3" x14ac:dyDescent="0.45">
      <c r="A677" s="2">
        <v>44986</v>
      </c>
      <c r="B677" s="4">
        <v>-0.41</v>
      </c>
      <c r="C677" s="4">
        <v>2.0000000000000018E-2</v>
      </c>
    </row>
    <row r="678" spans="1:3" x14ac:dyDescent="0.45">
      <c r="A678" s="2">
        <v>45017</v>
      </c>
      <c r="B678" s="4">
        <v>0.04</v>
      </c>
      <c r="C678" s="4">
        <v>0.44999999999999996</v>
      </c>
    </row>
    <row r="679" spans="1:3" x14ac:dyDescent="0.45">
      <c r="A679" s="2">
        <v>45047</v>
      </c>
      <c r="B679" s="4">
        <v>-0.18</v>
      </c>
      <c r="C679" s="4">
        <v>-0.22</v>
      </c>
    </row>
    <row r="680" spans="1:3" x14ac:dyDescent="0.45">
      <c r="A680" s="2">
        <v>45078</v>
      </c>
      <c r="B680" s="4">
        <v>-0.41</v>
      </c>
      <c r="C680" s="4">
        <v>-0.22999999999999998</v>
      </c>
    </row>
    <row r="681" spans="1:3" x14ac:dyDescent="0.45">
      <c r="A681" s="2">
        <v>45108</v>
      </c>
      <c r="B681" s="4">
        <v>0.13</v>
      </c>
      <c r="C681" s="4">
        <v>0.54</v>
      </c>
    </row>
    <row r="682" spans="1:3" x14ac:dyDescent="0.45">
      <c r="A682" s="2">
        <v>45139</v>
      </c>
      <c r="B682" s="4">
        <v>-0.17</v>
      </c>
      <c r="C682" s="4">
        <v>-0.30000000000000004</v>
      </c>
    </row>
    <row r="683" spans="1:3" x14ac:dyDescent="0.45">
      <c r="A683" s="2">
        <v>45170</v>
      </c>
      <c r="B683" s="4">
        <v>-0.03</v>
      </c>
      <c r="C683" s="4">
        <v>0.14000000000000001</v>
      </c>
    </row>
    <row r="684" spans="1:3" x14ac:dyDescent="0.45">
      <c r="A684" s="2">
        <v>45200</v>
      </c>
      <c r="B684" s="4">
        <v>-0.51</v>
      </c>
      <c r="C684" s="4">
        <v>-0.48</v>
      </c>
    </row>
    <row r="685" spans="1:3" x14ac:dyDescent="0.45">
      <c r="A685" s="2">
        <v>45231</v>
      </c>
      <c r="B685" s="4">
        <v>0.14000000000000001</v>
      </c>
      <c r="C685" s="4">
        <v>0.65</v>
      </c>
    </row>
    <row r="686" spans="1:3" x14ac:dyDescent="0.45">
      <c r="A686" s="2">
        <v>45261</v>
      </c>
      <c r="B686" s="4">
        <v>-0.12</v>
      </c>
      <c r="C686" s="4">
        <v>-0.26</v>
      </c>
    </row>
    <row r="687" spans="1:3" x14ac:dyDescent="0.45">
      <c r="A687" s="2">
        <v>45292</v>
      </c>
      <c r="B687" s="4">
        <v>-0.99</v>
      </c>
      <c r="C687" s="4">
        <v>-0.87</v>
      </c>
    </row>
    <row r="688" spans="1:3" x14ac:dyDescent="0.45">
      <c r="A688" s="2">
        <v>45323</v>
      </c>
      <c r="B688" s="4">
        <v>0.26</v>
      </c>
      <c r="C688" s="4">
        <v>1.25</v>
      </c>
    </row>
    <row r="689" spans="1:3" x14ac:dyDescent="0.45">
      <c r="A689" s="2">
        <v>45352</v>
      </c>
      <c r="B689" s="4">
        <v>-0.13</v>
      </c>
      <c r="C689" s="4">
        <v>-0.39</v>
      </c>
    </row>
    <row r="690" spans="1:3" x14ac:dyDescent="0.45">
      <c r="A690" s="2">
        <v>45383</v>
      </c>
      <c r="B690" s="4">
        <v>-0.38</v>
      </c>
      <c r="C690" s="4">
        <v>-0.25</v>
      </c>
    </row>
    <row r="691" spans="1:3" x14ac:dyDescent="0.45">
      <c r="A691" s="2">
        <v>45413</v>
      </c>
      <c r="B691" s="4">
        <v>0.16</v>
      </c>
      <c r="C691" s="4">
        <v>0.54</v>
      </c>
    </row>
    <row r="692" spans="1:3" x14ac:dyDescent="0.45">
      <c r="A692" s="2">
        <v>45444</v>
      </c>
      <c r="B692" s="4">
        <v>-0.22</v>
      </c>
      <c r="C692" s="4">
        <v>-0.38</v>
      </c>
    </row>
    <row r="693" spans="1:3" x14ac:dyDescent="0.45">
      <c r="A693" s="2">
        <v>45474</v>
      </c>
      <c r="B693" s="4">
        <v>-0.39</v>
      </c>
      <c r="C693" s="4">
        <v>-0.17</v>
      </c>
    </row>
    <row r="694" spans="1:3" x14ac:dyDescent="0.45">
      <c r="A694" s="2">
        <v>45505</v>
      </c>
      <c r="B694" s="4">
        <v>-0.08</v>
      </c>
      <c r="C694" s="4">
        <v>0.31</v>
      </c>
    </row>
    <row r="695" spans="1:3" x14ac:dyDescent="0.45">
      <c r="A695" s="2">
        <v>45536</v>
      </c>
      <c r="B695" s="4">
        <v>-0.28999999999999998</v>
      </c>
      <c r="C695" s="4">
        <v>-0.20999999999999996</v>
      </c>
    </row>
    <row r="696" spans="1:3" x14ac:dyDescent="0.45">
      <c r="A696" s="2">
        <v>45566</v>
      </c>
      <c r="B696" s="4">
        <v>-0.56000000000000005</v>
      </c>
      <c r="C696" s="4">
        <v>-0.27000000000000007</v>
      </c>
    </row>
    <row r="697" spans="1:3" x14ac:dyDescent="0.45">
      <c r="A697" s="2">
        <v>45597</v>
      </c>
      <c r="B697" s="4">
        <v>-0.06</v>
      </c>
      <c r="C697" s="4">
        <v>0.5</v>
      </c>
    </row>
    <row r="698" spans="1:3" x14ac:dyDescent="0.45">
      <c r="A698" s="2">
        <v>45627</v>
      </c>
      <c r="B698" s="4">
        <v>0.33</v>
      </c>
      <c r="C698" s="4">
        <v>0.39</v>
      </c>
    </row>
    <row r="699" spans="1:3" x14ac:dyDescent="0.45">
      <c r="A699" s="2">
        <v>45658</v>
      </c>
      <c r="B699" s="4">
        <v>-0.5</v>
      </c>
      <c r="C699" s="4">
        <v>-0.83000000000000007</v>
      </c>
    </row>
    <row r="700" spans="1:3" x14ac:dyDescent="0.45">
      <c r="A700" s="2">
        <v>45689</v>
      </c>
      <c r="B700" s="4">
        <v>0.39</v>
      </c>
      <c r="C700" s="4">
        <v>0.89</v>
      </c>
    </row>
    <row r="701" spans="1:3" x14ac:dyDescent="0.45">
      <c r="A701" s="2">
        <v>45717</v>
      </c>
      <c r="B701" s="4">
        <v>0.16</v>
      </c>
      <c r="C701" s="4">
        <v>-0.23</v>
      </c>
    </row>
    <row r="702" spans="1:3" x14ac:dyDescent="0.45">
      <c r="A702" s="2">
        <v>45748</v>
      </c>
      <c r="B702" s="4">
        <v>-0.36</v>
      </c>
      <c r="C702" s="4">
        <v>-0.52</v>
      </c>
    </row>
    <row r="703" spans="1:3" x14ac:dyDescent="0.45">
      <c r="A703" s="2">
        <v>45778</v>
      </c>
      <c r="B703" s="4">
        <v>-0.3</v>
      </c>
      <c r="C703" s="4">
        <v>0.06</v>
      </c>
    </row>
    <row r="704" spans="1:3" x14ac:dyDescent="0.45">
      <c r="A704" s="2">
        <v>45809</v>
      </c>
      <c r="B704" s="4">
        <v>-7.0000000000000007E-2</v>
      </c>
      <c r="C704" s="4">
        <v>0.22999999999999998</v>
      </c>
    </row>
    <row r="705" spans="1:3" x14ac:dyDescent="0.45">
      <c r="A705" s="2">
        <v>45839</v>
      </c>
      <c r="B705" s="4">
        <v>0.01</v>
      </c>
      <c r="C705" s="4">
        <v>0.08</v>
      </c>
    </row>
    <row r="706" spans="1:3" x14ac:dyDescent="0.45">
      <c r="A706" s="2">
        <v>45870</v>
      </c>
      <c r="B706" s="4">
        <v>-0.36</v>
      </c>
      <c r="C706" s="4">
        <v>-0.37</v>
      </c>
    </row>
    <row r="707" spans="1:3" x14ac:dyDescent="0.45">
      <c r="A707" s="2">
        <v>45901</v>
      </c>
      <c r="B707" s="4">
        <v>-0.31</v>
      </c>
      <c r="C707" s="4">
        <v>4.9999999999999989E-2</v>
      </c>
    </row>
    <row r="708" spans="1:3" x14ac:dyDescent="0.45">
      <c r="A708" s="2">
        <v>45931</v>
      </c>
      <c r="B708" s="4">
        <v>-0.5</v>
      </c>
      <c r="C708" s="4">
        <v>-0.19</v>
      </c>
    </row>
    <row r="709" spans="1:3" x14ac:dyDescent="0.45">
      <c r="A709" s="2">
        <v>45962</v>
      </c>
      <c r="B709" s="4">
        <v>-0.3</v>
      </c>
      <c r="C709" s="4">
        <v>0.2</v>
      </c>
    </row>
    <row r="710" spans="1:3" x14ac:dyDescent="0.45">
      <c r="A710" s="2">
        <v>45992</v>
      </c>
      <c r="B710" s="4">
        <v>-0.06</v>
      </c>
      <c r="C710" s="4">
        <v>0.24</v>
      </c>
    </row>
    <row r="711" spans="1:3" x14ac:dyDescent="0.45">
      <c r="A711" s="2">
        <v>46023</v>
      </c>
      <c r="B711" s="4">
        <v>-7.0000000000000007E-2</v>
      </c>
      <c r="C711" s="4">
        <f>B711-B710</f>
        <v>-1.0000000000000009E-2</v>
      </c>
    </row>
    <row r="712" spans="1:3" x14ac:dyDescent="0.45">
      <c r="A712" s="2">
        <v>46054</v>
      </c>
      <c r="B712" s="4">
        <v>0.22</v>
      </c>
      <c r="C712" s="4">
        <f t="shared" ref="C712:C716" si="0">B712-B711</f>
        <v>0.29000000000000004</v>
      </c>
    </row>
    <row r="713" spans="1:3" x14ac:dyDescent="0.45">
      <c r="A713" s="2">
        <v>46082</v>
      </c>
      <c r="B713" s="4">
        <v>-0.17</v>
      </c>
      <c r="C713" s="4">
        <f t="shared" si="0"/>
        <v>-0.39</v>
      </c>
    </row>
    <row r="714" spans="1:3" x14ac:dyDescent="0.45">
      <c r="A714" s="2">
        <v>46113</v>
      </c>
      <c r="B714" s="4">
        <v>0.05</v>
      </c>
      <c r="C714" s="4">
        <f t="shared" si="0"/>
        <v>0.22000000000000003</v>
      </c>
    </row>
    <row r="715" spans="1:3" x14ac:dyDescent="0.45">
      <c r="A715" s="2">
        <v>46143</v>
      </c>
      <c r="B715" s="4">
        <v>-0.19</v>
      </c>
      <c r="C715" s="4">
        <f t="shared" si="0"/>
        <v>-0.24</v>
      </c>
    </row>
    <row r="716" spans="1:3" x14ac:dyDescent="0.45">
      <c r="A716" s="2">
        <v>46174</v>
      </c>
      <c r="B716" s="4">
        <v>-0.02</v>
      </c>
      <c r="C716" s="4">
        <f t="shared" si="0"/>
        <v>0.17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BA983-7A59-41D2-BE4A-EFE6E492DDC2}">
  <dimension ref="A1:X1055"/>
  <sheetViews>
    <sheetView topLeftCell="A1026" workbookViewId="0">
      <selection activeCell="A1058" sqref="A1058"/>
    </sheetView>
  </sheetViews>
  <sheetFormatPr defaultRowHeight="14.25" x14ac:dyDescent="0.45"/>
  <cols>
    <col min="1" max="1" width="17.59765625" customWidth="1"/>
    <col min="2" max="2" width="7.265625" bestFit="1" customWidth="1"/>
    <col min="3" max="3" width="11.265625" bestFit="1" customWidth="1"/>
    <col min="8" max="8" width="10.86328125" bestFit="1" customWidth="1"/>
  </cols>
  <sheetData>
    <row r="1" spans="1:24" x14ac:dyDescent="0.45">
      <c r="A1" s="1" t="s">
        <v>53</v>
      </c>
    </row>
    <row r="2" spans="1:24" x14ac:dyDescent="0.45">
      <c r="A2" t="s">
        <v>118</v>
      </c>
      <c r="F2" s="1" t="s">
        <v>55</v>
      </c>
      <c r="Q2" s="1" t="s">
        <v>57</v>
      </c>
      <c r="U2" s="1" t="s">
        <v>32</v>
      </c>
    </row>
    <row r="3" spans="1:24" x14ac:dyDescent="0.45">
      <c r="F3" t="s">
        <v>5</v>
      </c>
      <c r="G3" s="4">
        <f>C$1055</f>
        <v>-23</v>
      </c>
      <c r="Q3" t="s">
        <v>19</v>
      </c>
      <c r="R3" s="4">
        <f>AVERAGE($C$6:$C$1055)</f>
        <v>122.79523809523809</v>
      </c>
      <c r="U3" t="s">
        <v>33</v>
      </c>
      <c r="V3">
        <v>1</v>
      </c>
      <c r="W3">
        <v>2</v>
      </c>
      <c r="X3">
        <v>3</v>
      </c>
    </row>
    <row r="4" spans="1:24" x14ac:dyDescent="0.45">
      <c r="A4" s="1" t="s">
        <v>1</v>
      </c>
      <c r="B4" s="1" t="s">
        <v>2</v>
      </c>
      <c r="C4" s="1" t="s">
        <v>54</v>
      </c>
      <c r="F4" t="s">
        <v>6</v>
      </c>
      <c r="G4" s="4">
        <f>AVERAGE($C$6:$C$1055)</f>
        <v>122.79523809523809</v>
      </c>
      <c r="Q4" t="s">
        <v>20</v>
      </c>
      <c r="R4">
        <f>_xlfn.STDEV.S($C$6:$C$1055)/SQRT(COUNT($C$6:$C$1055))</f>
        <v>21.555130599469571</v>
      </c>
      <c r="U4" t="s">
        <v>34</v>
      </c>
      <c r="V4">
        <f>$R$3+V$3*$R$7</f>
        <v>821.26129877263338</v>
      </c>
      <c r="W4">
        <f>$R$3+W$3*$R$7</f>
        <v>1519.7273594500286</v>
      </c>
      <c r="X4">
        <f>$R$3+X$3*$R$7</f>
        <v>2218.1934201274239</v>
      </c>
    </row>
    <row r="5" spans="1:24" x14ac:dyDescent="0.45">
      <c r="A5" s="2">
        <v>14246</v>
      </c>
      <c r="B5" s="7">
        <v>29923</v>
      </c>
      <c r="C5" s="4"/>
      <c r="F5" t="s">
        <v>7</v>
      </c>
      <c r="G5">
        <f>_xlfn.STDEV.S($C$6:$C$1055)</f>
        <v>698.46606067739526</v>
      </c>
      <c r="Q5" t="s">
        <v>21</v>
      </c>
      <c r="R5" s="4">
        <f>MEDIAN($C$6:$C$1055)</f>
        <v>158.5</v>
      </c>
      <c r="U5" t="s">
        <v>35</v>
      </c>
      <c r="V5">
        <f>$R$3-V$3*$R$7</f>
        <v>-575.67082258215714</v>
      </c>
      <c r="W5">
        <f>$R$3-W$3*$R$7</f>
        <v>-1274.1368832595524</v>
      </c>
      <c r="X5">
        <f>$R$3-X$3*$R$7</f>
        <v>-1972.6029439369479</v>
      </c>
    </row>
    <row r="6" spans="1:24" x14ac:dyDescent="0.45">
      <c r="A6" s="2">
        <v>14277</v>
      </c>
      <c r="B6" s="7">
        <v>30100</v>
      </c>
      <c r="C6" s="4">
        <v>177</v>
      </c>
      <c r="F6" t="s">
        <v>8</v>
      </c>
      <c r="G6">
        <f>(G3-G4)/G5</f>
        <v>-0.20873632421572652</v>
      </c>
      <c r="Q6" t="s">
        <v>22</v>
      </c>
      <c r="R6">
        <f>_xlfn.MODE.SNGL($C$6:$C$1055)</f>
        <v>273</v>
      </c>
    </row>
    <row r="7" spans="1:24" x14ac:dyDescent="0.45">
      <c r="A7" s="2">
        <v>14305</v>
      </c>
      <c r="B7" s="7">
        <v>30280</v>
      </c>
      <c r="C7" s="4">
        <v>180</v>
      </c>
      <c r="F7" t="s">
        <v>9</v>
      </c>
      <c r="G7" s="5">
        <f>_xlfn.PERCENTRANK.INC($C$6:$C$1055,G3)</f>
        <v>0.193</v>
      </c>
      <c r="Q7" t="s">
        <v>23</v>
      </c>
      <c r="R7">
        <f>_xlfn.STDEV.S($C$6:$C$1055)</f>
        <v>698.46606067739526</v>
      </c>
      <c r="U7" s="1" t="s">
        <v>36</v>
      </c>
    </row>
    <row r="8" spans="1:24" x14ac:dyDescent="0.45">
      <c r="A8" s="2">
        <v>14336</v>
      </c>
      <c r="B8" s="7">
        <v>30094</v>
      </c>
      <c r="C8" s="4">
        <v>-186</v>
      </c>
      <c r="F8" t="s">
        <v>10</v>
      </c>
      <c r="G8" t="str">
        <f>IF(G6&gt;=2,"EXTREME HIGH",IF(G6&gt;=1,"HIGH (+1 to +2σ)",IF(G6&lt;=-2,"EXTREME LOW",IF(G6&lt;=-1,"LOW (-1 to -2σ)","NORMAL (±1σ)"))))</f>
        <v>NORMAL (±1σ)</v>
      </c>
      <c r="Q8" t="s">
        <v>24</v>
      </c>
      <c r="R8">
        <f>_xlfn.VAR.S($C$6:$C$1055)</f>
        <v>487854.83791819873</v>
      </c>
      <c r="U8" t="s">
        <v>37</v>
      </c>
      <c r="V8" t="s">
        <v>38</v>
      </c>
      <c r="W8" t="s">
        <v>39</v>
      </c>
      <c r="X8" t="s">
        <v>40</v>
      </c>
    </row>
    <row r="9" spans="1:24" x14ac:dyDescent="0.45">
      <c r="A9" s="2">
        <v>14366</v>
      </c>
      <c r="B9" s="7">
        <v>30299</v>
      </c>
      <c r="C9" s="4">
        <v>205</v>
      </c>
      <c r="F9" t="s">
        <v>11</v>
      </c>
      <c r="G9" t="str">
        <f>IF(G6&gt;=1,"STRONG vs history",IF(G6&lt;=-1,"WEAK vs history","NEUTRAL vs history"))</f>
        <v>NEUTRAL vs history</v>
      </c>
      <c r="Q9" t="s">
        <v>25</v>
      </c>
      <c r="R9">
        <f>KURT($C$6:$C$1055)</f>
        <v>723.27441332622152</v>
      </c>
      <c r="S9" t="str">
        <f>IF(R9&gt;0,"More peaked than normal — fat tails (excess kurtosis &gt; 0)",IF(R9&lt;0,"Flatter than normal — thin tails (excess kurtosis &lt; 0)","Approximately normal kurtosis"))</f>
        <v>More peaked than normal — fat tails (excess kurtosis &gt; 0)</v>
      </c>
      <c r="U9">
        <v>1</v>
      </c>
      <c r="V9" s="5">
        <f>COUNTIFS($C$6:$C$1055,"&gt;="&amp;($R$3-$R$7*$U9),$C$6:$C$1055,"&lt;="&amp;($R$3+$R$7*$U9))/$R$15</f>
        <v>0.97904761904761906</v>
      </c>
      <c r="W9" s="5">
        <v>0.68200000000000005</v>
      </c>
      <c r="X9" t="str">
        <f>IF(V9&gt;W9+0.02,"fat tails",IF(V9&lt;W9-0.02,"thin tails","≈ normal"))</f>
        <v>fat tails</v>
      </c>
    </row>
    <row r="10" spans="1:24" x14ac:dyDescent="0.45">
      <c r="A10" s="2">
        <v>14397</v>
      </c>
      <c r="B10" s="7">
        <v>30502</v>
      </c>
      <c r="C10" s="4">
        <v>203</v>
      </c>
      <c r="Q10" t="s">
        <v>26</v>
      </c>
      <c r="R10">
        <f>SKEW($C$6:$C$1055)</f>
        <v>-24.19917643667284</v>
      </c>
      <c r="S10" t="str">
        <f>IF(R10&gt;0,"Positive skew — bigger fat tail on the upside",IF(R10&lt;0,"Negative skew — bigger fat tail on the downside","Approximately symmetric"))</f>
        <v>Negative skew — bigger fat tail on the downside</v>
      </c>
      <c r="U10">
        <v>2</v>
      </c>
      <c r="V10" s="5">
        <f>COUNTIFS($C$6:$C$1055,"&gt;="&amp;($R$3-$R$7*$U10),$C$6:$C$1055,"&lt;="&amp;($R$3+$R$7*$U10))/$R$15</f>
        <v>0.99333333333333329</v>
      </c>
      <c r="W10" s="5">
        <v>0.95399999999999996</v>
      </c>
      <c r="X10" t="str">
        <f>IF(V10&gt;W10+0.02,"fat tails",IF(V10&lt;W10-0.02,"thin tails","≈ normal"))</f>
        <v>fat tails</v>
      </c>
    </row>
    <row r="11" spans="1:24" x14ac:dyDescent="0.45">
      <c r="A11" s="2">
        <v>14427</v>
      </c>
      <c r="B11" s="7">
        <v>30419</v>
      </c>
      <c r="C11" s="4">
        <v>-83</v>
      </c>
      <c r="H11" s="1" t="s">
        <v>56</v>
      </c>
      <c r="Q11" t="s">
        <v>15</v>
      </c>
      <c r="R11" s="4">
        <f>MAX($C$6:$C$1055)-MIN($C$6:$C$1055)</f>
        <v>25100</v>
      </c>
      <c r="U11">
        <v>3</v>
      </c>
      <c r="V11" s="5">
        <f>COUNTIFS($C$6:$C$1055,"&gt;="&amp;($R$3-$R$7*$U11),$C$6:$C$1055,"&lt;="&amp;($R$3+$R$7*$U11))/$R$15</f>
        <v>0.99714285714285711</v>
      </c>
      <c r="W11" s="5">
        <v>0.997</v>
      </c>
      <c r="X11" t="str">
        <f>IF(V11&gt;W11+0.02,"fat tails",IF(V11&lt;W11-0.02,"thin tails","≈ normal"))</f>
        <v>≈ normal</v>
      </c>
    </row>
    <row r="12" spans="1:24" x14ac:dyDescent="0.45">
      <c r="A12" s="2">
        <v>14458</v>
      </c>
      <c r="B12" s="7">
        <v>30663</v>
      </c>
      <c r="C12" s="4">
        <v>244</v>
      </c>
      <c r="H12" t="s">
        <v>13</v>
      </c>
      <c r="I12" t="s">
        <v>14</v>
      </c>
      <c r="J12" t="s">
        <v>15</v>
      </c>
      <c r="K12" t="s">
        <v>16</v>
      </c>
      <c r="L12" t="s">
        <v>17</v>
      </c>
      <c r="Q12" t="s">
        <v>27</v>
      </c>
      <c r="R12" s="4">
        <f>MIN($C$6:$C$1055)</f>
        <v>-20469</v>
      </c>
    </row>
    <row r="13" spans="1:24" x14ac:dyDescent="0.45">
      <c r="A13" s="2">
        <v>14489</v>
      </c>
      <c r="B13" s="7">
        <v>31031</v>
      </c>
      <c r="C13" s="4">
        <v>368</v>
      </c>
      <c r="H13" s="6">
        <f>$R$12+($R$11/12)*(ROW()-12)</f>
        <v>-18377.333333333332</v>
      </c>
      <c r="I13">
        <f>COUNTIFS($C$6:$C$1055,"&gt;="&amp;$R$12,$C$6:$C$1055,"&lt;="&amp;H13)</f>
        <v>1</v>
      </c>
      <c r="J13" t="str">
        <f>TEXT($R$12,"0.00")&amp;" to "&amp;TEXT(H13,"0.00")</f>
        <v>-20469.00 to -18377.33</v>
      </c>
      <c r="K13" s="5">
        <f>I13/$R$15</f>
        <v>9.5238095238095238E-4</v>
      </c>
      <c r="L13" s="5">
        <f>SUM($K$13:K13)</f>
        <v>9.5238095238095238E-4</v>
      </c>
      <c r="Q13" t="s">
        <v>28</v>
      </c>
      <c r="R13" s="4">
        <f>MAX($C$6:$C$1055)</f>
        <v>4631</v>
      </c>
    </row>
    <row r="14" spans="1:24" x14ac:dyDescent="0.45">
      <c r="A14" s="2">
        <v>14519</v>
      </c>
      <c r="B14" s="7">
        <v>31411</v>
      </c>
      <c r="C14" s="4">
        <v>380</v>
      </c>
      <c r="H14" s="6">
        <f>$R$12+($R$11/12)*(ROW()-12)</f>
        <v>-16285.666666666668</v>
      </c>
      <c r="I14">
        <f>COUNTIFS($C$6:$C$1055,"&gt;"&amp;H13,$C$6:$C$1055,"&lt;="&amp;H14)</f>
        <v>0</v>
      </c>
      <c r="J14" t="str">
        <f>TEXT(H13,"0.00")&amp;" to "&amp;TEXT(H14,"0.00")</f>
        <v>-18377.33 to -16285.67</v>
      </c>
      <c r="K14" s="5">
        <f>I14/$R$15</f>
        <v>0</v>
      </c>
      <c r="L14" s="5">
        <f>SUM($K$13:K14)</f>
        <v>9.5238095238095238E-4</v>
      </c>
      <c r="Q14" t="s">
        <v>29</v>
      </c>
      <c r="R14" s="4">
        <f>SUM($C$6:$C$1055)</f>
        <v>128935</v>
      </c>
    </row>
    <row r="15" spans="1:24" x14ac:dyDescent="0.45">
      <c r="A15" s="2">
        <v>14550</v>
      </c>
      <c r="B15" s="7">
        <v>31470</v>
      </c>
      <c r="C15" s="4">
        <v>59</v>
      </c>
      <c r="H15" s="6">
        <f>$R$12+($R$11/12)*(ROW()-12)</f>
        <v>-14194</v>
      </c>
      <c r="I15">
        <f>COUNTIFS($C$6:$C$1055,"&gt;"&amp;H14,$C$6:$C$1055,"&lt;="&amp;H15)</f>
        <v>0</v>
      </c>
      <c r="J15" t="str">
        <f>TEXT(H14,"0.00")&amp;" to "&amp;TEXT(H15,"0.00")</f>
        <v>-16285.67 to -14194.00</v>
      </c>
      <c r="K15" s="5">
        <f>I15/$R$15</f>
        <v>0</v>
      </c>
      <c r="L15" s="5">
        <f>SUM($K$13:K15)</f>
        <v>9.5238095238095238E-4</v>
      </c>
      <c r="Q15" t="s">
        <v>30</v>
      </c>
      <c r="R15">
        <f>COUNT($C$6:$C$1055)</f>
        <v>1050</v>
      </c>
      <c r="S15" t="s">
        <v>58</v>
      </c>
    </row>
    <row r="16" spans="1:24" x14ac:dyDescent="0.45">
      <c r="A16" s="2">
        <v>14580</v>
      </c>
      <c r="B16" s="7">
        <v>31542</v>
      </c>
      <c r="C16" s="4">
        <v>72</v>
      </c>
      <c r="H16" s="6">
        <f>$R$12+($R$11/12)*(ROW()-12)</f>
        <v>-12102.333333333334</v>
      </c>
      <c r="I16">
        <f>COUNTIFS($C$6:$C$1055,"&gt;"&amp;H15,$C$6:$C$1055,"&lt;="&amp;H16)</f>
        <v>0</v>
      </c>
      <c r="J16" t="str">
        <f>TEXT(H15,"0.00")&amp;" to "&amp;TEXT(H16,"0.00")</f>
        <v>-14194.00 to -12102.33</v>
      </c>
      <c r="K16" s="5">
        <f>I16/$R$15</f>
        <v>0</v>
      </c>
      <c r="L16" s="5">
        <f>SUM($K$13:K16)</f>
        <v>9.5238095238095238E-4</v>
      </c>
    </row>
    <row r="17" spans="1:12" x14ac:dyDescent="0.45">
      <c r="A17" s="2">
        <v>14611</v>
      </c>
      <c r="B17" s="7">
        <v>31603</v>
      </c>
      <c r="C17" s="4">
        <v>61</v>
      </c>
      <c r="H17" s="6">
        <f>$R$12+($R$11/12)*(ROW()-12)</f>
        <v>-10010.666666666668</v>
      </c>
      <c r="I17">
        <f>COUNTIFS($C$6:$C$1055,"&gt;"&amp;H16,$C$6:$C$1055,"&lt;="&amp;H17)</f>
        <v>0</v>
      </c>
      <c r="J17" t="str">
        <f>TEXT(H16,"0.00")&amp;" to "&amp;TEXT(H17,"0.00")</f>
        <v>-12102.33 to -10010.67</v>
      </c>
      <c r="K17" s="5">
        <f>I17/$R$15</f>
        <v>0</v>
      </c>
      <c r="L17" s="5">
        <f>SUM($K$13:K17)</f>
        <v>9.5238095238095238E-4</v>
      </c>
    </row>
    <row r="18" spans="1:12" x14ac:dyDescent="0.45">
      <c r="A18" s="2">
        <v>14642</v>
      </c>
      <c r="B18" s="7">
        <v>31715</v>
      </c>
      <c r="C18" s="4">
        <v>112</v>
      </c>
      <c r="H18" s="6">
        <f>$R$12+($R$11/12)*(ROW()-12)</f>
        <v>-7919</v>
      </c>
      <c r="I18">
        <f>COUNTIFS($C$6:$C$1055,"&gt;"&amp;H17,$C$6:$C$1055,"&lt;="&amp;H18)</f>
        <v>0</v>
      </c>
      <c r="J18" t="str">
        <f>TEXT(H17,"0.00")&amp;" to "&amp;TEXT(H18,"0.00")</f>
        <v>-10010.67 to -7919.00</v>
      </c>
      <c r="K18" s="5">
        <f>I18/$R$15</f>
        <v>0</v>
      </c>
      <c r="L18" s="5">
        <f>SUM($K$13:K18)</f>
        <v>9.5238095238095238E-4</v>
      </c>
    </row>
    <row r="19" spans="1:12" x14ac:dyDescent="0.45">
      <c r="A19" s="2">
        <v>14671</v>
      </c>
      <c r="B19" s="7">
        <v>31825</v>
      </c>
      <c r="C19" s="4">
        <v>110</v>
      </c>
      <c r="H19" s="6">
        <f>$R$12+($R$11/12)*(ROW()-12)</f>
        <v>-5827.3333333333339</v>
      </c>
      <c r="I19">
        <f>COUNTIFS($C$6:$C$1055,"&gt;"&amp;H18,$C$6:$C$1055,"&lt;="&amp;H19)</f>
        <v>0</v>
      </c>
      <c r="J19" t="str">
        <f>TEXT(H18,"0.00")&amp;" to "&amp;TEXT(H19,"0.00")</f>
        <v>-7919.00 to -5827.33</v>
      </c>
      <c r="K19" s="5">
        <f>I19/$R$15</f>
        <v>0</v>
      </c>
      <c r="L19" s="5">
        <f>SUM($K$13:K19)</f>
        <v>9.5238095238095238E-4</v>
      </c>
    </row>
    <row r="20" spans="1:12" x14ac:dyDescent="0.45">
      <c r="A20" s="2">
        <v>14702</v>
      </c>
      <c r="B20" s="7">
        <v>31701</v>
      </c>
      <c r="C20" s="4">
        <v>-124</v>
      </c>
      <c r="H20" s="6">
        <f>$R$12+($R$11/12)*(ROW()-12)</f>
        <v>-3735.6666666666679</v>
      </c>
      <c r="I20">
        <f>COUNTIFS($C$6:$C$1055,"&gt;"&amp;H19,$C$6:$C$1055,"&lt;="&amp;H20)</f>
        <v>0</v>
      </c>
      <c r="J20" t="str">
        <f>TEXT(H19,"0.00")&amp;" to "&amp;TEXT(H20,"0.00")</f>
        <v>-5827.33 to -3735.67</v>
      </c>
      <c r="K20" s="5">
        <f>I20/$R$15</f>
        <v>0</v>
      </c>
      <c r="L20" s="5">
        <f>SUM($K$13:K20)</f>
        <v>9.5238095238095238E-4</v>
      </c>
    </row>
    <row r="21" spans="1:12" x14ac:dyDescent="0.45">
      <c r="A21" s="2">
        <v>14732</v>
      </c>
      <c r="B21" s="7">
        <v>31879</v>
      </c>
      <c r="C21" s="4">
        <v>178</v>
      </c>
      <c r="H21" s="6">
        <f>$R$12+($R$11/12)*(ROW()-12)</f>
        <v>-1644</v>
      </c>
      <c r="I21">
        <f>COUNTIFS($C$6:$C$1055,"&gt;"&amp;H20,$C$6:$C$1055,"&lt;="&amp;H21)</f>
        <v>1</v>
      </c>
      <c r="J21" t="str">
        <f>TEXT(H20,"0.00")&amp;" to "&amp;TEXT(H21,"0.00")</f>
        <v>-3735.67 to -1644.00</v>
      </c>
      <c r="K21" s="5">
        <f>I21/$R$15</f>
        <v>9.5238095238095238E-4</v>
      </c>
      <c r="L21" s="5">
        <f>SUM($K$13:K21)</f>
        <v>1.9047619047619048E-3</v>
      </c>
    </row>
    <row r="22" spans="1:12" x14ac:dyDescent="0.45">
      <c r="A22" s="2">
        <v>14763</v>
      </c>
      <c r="B22" s="7">
        <v>31977</v>
      </c>
      <c r="C22" s="4">
        <v>98</v>
      </c>
      <c r="H22" s="6">
        <f>$R$12+($R$11/12)*(ROW()-12)</f>
        <v>447.66666666666424</v>
      </c>
      <c r="I22">
        <f>COUNTIFS($C$6:$C$1055,"&gt;"&amp;H21,$C$6:$C$1055,"&lt;="&amp;H22)</f>
        <v>999</v>
      </c>
      <c r="J22" t="str">
        <f>TEXT(H21,"0.00")&amp;" to "&amp;TEXT(H22,"0.00")</f>
        <v>-1644.00 to 447.67</v>
      </c>
      <c r="K22" s="5">
        <f>I22/$R$15</f>
        <v>0.9514285714285714</v>
      </c>
      <c r="L22" s="5">
        <f>SUM($K$13:K22)</f>
        <v>0.95333333333333325</v>
      </c>
    </row>
    <row r="23" spans="1:12" x14ac:dyDescent="0.45">
      <c r="A23" s="2">
        <v>14793</v>
      </c>
      <c r="B23" s="7">
        <v>31942</v>
      </c>
      <c r="C23" s="4">
        <v>-35</v>
      </c>
      <c r="H23" s="6">
        <f>$R$12+($R$11/12)*(ROW()-12)</f>
        <v>2539.3333333333321</v>
      </c>
      <c r="I23">
        <f>COUNTIFS($C$6:$C$1055,"&gt;"&amp;H22,$C$6:$C$1055,"&lt;="&amp;H23)</f>
        <v>47</v>
      </c>
      <c r="J23" t="str">
        <f>TEXT(H22,"0.00")&amp;" to "&amp;TEXT(H23,"0.00")</f>
        <v>447.67 to 2539.33</v>
      </c>
      <c r="K23" s="5">
        <f>I23/$R$15</f>
        <v>4.476190476190476E-2</v>
      </c>
      <c r="L23" s="5">
        <f>SUM($K$13:K23)</f>
        <v>0.99809523809523804</v>
      </c>
    </row>
    <row r="24" spans="1:12" x14ac:dyDescent="0.45">
      <c r="A24" s="2">
        <v>14824</v>
      </c>
      <c r="B24" s="7">
        <v>32352</v>
      </c>
      <c r="C24" s="4">
        <v>410</v>
      </c>
      <c r="H24" s="6">
        <f>$R$12+($R$11/12)*(ROW()-12)</f>
        <v>4631</v>
      </c>
      <c r="I24">
        <f>COUNTIFS($C$6:$C$1055,"&gt;"&amp;H23,$C$6:$C$1055,"&lt;="&amp;H24)</f>
        <v>2</v>
      </c>
      <c r="J24" t="str">
        <f>TEXT(H23,"0.00")&amp;" to "&amp;TEXT(H24,"0.00")</f>
        <v>2539.33 to 4631.00</v>
      </c>
      <c r="K24" s="5">
        <f>I24/$R$15</f>
        <v>1.9047619047619048E-3</v>
      </c>
      <c r="L24" s="5">
        <f>SUM($K$13:K24)</f>
        <v>0.99999999999999989</v>
      </c>
    </row>
    <row r="25" spans="1:12" x14ac:dyDescent="0.45">
      <c r="A25" s="2">
        <v>14855</v>
      </c>
      <c r="B25" s="7">
        <v>32810</v>
      </c>
      <c r="C25" s="4">
        <v>458</v>
      </c>
    </row>
    <row r="26" spans="1:12" x14ac:dyDescent="0.45">
      <c r="A26" s="2">
        <v>14885</v>
      </c>
      <c r="B26" s="7">
        <v>33267</v>
      </c>
      <c r="C26" s="4">
        <v>457</v>
      </c>
    </row>
    <row r="27" spans="1:12" x14ac:dyDescent="0.45">
      <c r="A27" s="2">
        <v>14916</v>
      </c>
      <c r="B27" s="7">
        <v>33669</v>
      </c>
      <c r="C27" s="4">
        <v>402</v>
      </c>
    </row>
    <row r="28" spans="1:12" x14ac:dyDescent="0.45">
      <c r="A28" s="2">
        <v>14946</v>
      </c>
      <c r="B28" s="7">
        <v>34174</v>
      </c>
      <c r="C28" s="4">
        <v>505</v>
      </c>
    </row>
    <row r="29" spans="1:12" x14ac:dyDescent="0.45">
      <c r="A29" s="2">
        <v>14977</v>
      </c>
      <c r="B29" s="7">
        <v>34481</v>
      </c>
      <c r="C29" s="4">
        <v>307</v>
      </c>
    </row>
    <row r="30" spans="1:12" x14ac:dyDescent="0.45">
      <c r="A30" s="2">
        <v>15008</v>
      </c>
      <c r="B30" s="7">
        <v>34843</v>
      </c>
      <c r="C30" s="4">
        <v>362</v>
      </c>
    </row>
    <row r="31" spans="1:12" x14ac:dyDescent="0.45">
      <c r="A31" s="2">
        <v>15036</v>
      </c>
      <c r="B31" s="7">
        <v>35092</v>
      </c>
      <c r="C31" s="4">
        <v>249</v>
      </c>
    </row>
    <row r="32" spans="1:12" x14ac:dyDescent="0.45">
      <c r="A32" s="2">
        <v>15067</v>
      </c>
      <c r="B32" s="7">
        <v>35468</v>
      </c>
      <c r="C32" s="4">
        <v>376</v>
      </c>
    </row>
    <row r="33" spans="1:3" x14ac:dyDescent="0.45">
      <c r="A33" s="2">
        <v>15097</v>
      </c>
      <c r="B33" s="7">
        <v>36182</v>
      </c>
      <c r="C33" s="4">
        <v>714</v>
      </c>
    </row>
    <row r="34" spans="1:3" x14ac:dyDescent="0.45">
      <c r="A34" s="2">
        <v>15128</v>
      </c>
      <c r="B34" s="7">
        <v>36650</v>
      </c>
      <c r="C34" s="4">
        <v>468</v>
      </c>
    </row>
    <row r="35" spans="1:3" x14ac:dyDescent="0.45">
      <c r="A35" s="2">
        <v>15158</v>
      </c>
      <c r="B35" s="7">
        <v>37137</v>
      </c>
      <c r="C35" s="4">
        <v>487</v>
      </c>
    </row>
    <row r="36" spans="1:3" x14ac:dyDescent="0.45">
      <c r="A36" s="2">
        <v>15189</v>
      </c>
      <c r="B36" s="7">
        <v>37544</v>
      </c>
      <c r="C36" s="4">
        <v>407</v>
      </c>
    </row>
    <row r="37" spans="1:3" x14ac:dyDescent="0.45">
      <c r="A37" s="2">
        <v>15220</v>
      </c>
      <c r="B37" s="7">
        <v>37835</v>
      </c>
      <c r="C37" s="4">
        <v>291</v>
      </c>
    </row>
    <row r="38" spans="1:3" x14ac:dyDescent="0.45">
      <c r="A38" s="2">
        <v>15250</v>
      </c>
      <c r="B38" s="7">
        <v>37949</v>
      </c>
      <c r="C38" s="4">
        <v>114</v>
      </c>
    </row>
    <row r="39" spans="1:3" x14ac:dyDescent="0.45">
      <c r="A39" s="2">
        <v>15281</v>
      </c>
      <c r="B39" s="7">
        <v>38024</v>
      </c>
      <c r="C39" s="4">
        <v>75</v>
      </c>
    </row>
    <row r="40" spans="1:3" x14ac:dyDescent="0.45">
      <c r="A40" s="2">
        <v>15311</v>
      </c>
      <c r="B40" s="7">
        <v>38104</v>
      </c>
      <c r="C40" s="4">
        <v>80</v>
      </c>
    </row>
    <row r="41" spans="1:3" x14ac:dyDescent="0.45">
      <c r="A41" s="2">
        <v>15342</v>
      </c>
      <c r="B41" s="7">
        <v>38347</v>
      </c>
      <c r="C41" s="4">
        <v>243</v>
      </c>
    </row>
    <row r="42" spans="1:3" x14ac:dyDescent="0.45">
      <c r="A42" s="2">
        <v>15373</v>
      </c>
      <c r="B42" s="7">
        <v>38512</v>
      </c>
      <c r="C42" s="4">
        <v>165</v>
      </c>
    </row>
    <row r="43" spans="1:3" x14ac:dyDescent="0.45">
      <c r="A43" s="2">
        <v>15401</v>
      </c>
      <c r="B43" s="7">
        <v>38935</v>
      </c>
      <c r="C43" s="4">
        <v>423</v>
      </c>
    </row>
    <row r="44" spans="1:3" x14ac:dyDescent="0.45">
      <c r="A44" s="2">
        <v>15432</v>
      </c>
      <c r="B44" s="7">
        <v>39352</v>
      </c>
      <c r="C44" s="4">
        <v>417</v>
      </c>
    </row>
    <row r="45" spans="1:3" x14ac:dyDescent="0.45">
      <c r="A45" s="2">
        <v>15462</v>
      </c>
      <c r="B45" s="7">
        <v>39771</v>
      </c>
      <c r="C45" s="4">
        <v>419</v>
      </c>
    </row>
    <row r="46" spans="1:3" x14ac:dyDescent="0.45">
      <c r="A46" s="2">
        <v>15493</v>
      </c>
      <c r="B46" s="7">
        <v>40029</v>
      </c>
      <c r="C46" s="4">
        <v>258</v>
      </c>
    </row>
    <row r="47" spans="1:3" x14ac:dyDescent="0.45">
      <c r="A47" s="2">
        <v>15523</v>
      </c>
      <c r="B47" s="7">
        <v>40472</v>
      </c>
      <c r="C47" s="4">
        <v>443</v>
      </c>
    </row>
    <row r="48" spans="1:3" x14ac:dyDescent="0.45">
      <c r="A48" s="2">
        <v>15554</v>
      </c>
      <c r="B48" s="7">
        <v>40988</v>
      </c>
      <c r="C48" s="4">
        <v>516</v>
      </c>
    </row>
    <row r="49" spans="1:3" x14ac:dyDescent="0.45">
      <c r="A49" s="2">
        <v>15585</v>
      </c>
      <c r="B49" s="7">
        <v>41259</v>
      </c>
      <c r="C49" s="4">
        <v>271</v>
      </c>
    </row>
    <row r="50" spans="1:3" x14ac:dyDescent="0.45">
      <c r="A50" s="2">
        <v>15615</v>
      </c>
      <c r="B50" s="7">
        <v>41515</v>
      </c>
      <c r="C50" s="4">
        <v>256</v>
      </c>
    </row>
    <row r="51" spans="1:3" x14ac:dyDescent="0.45">
      <c r="A51" s="2">
        <v>15646</v>
      </c>
      <c r="B51" s="7">
        <v>41674</v>
      </c>
      <c r="C51" s="4">
        <v>159</v>
      </c>
    </row>
    <row r="52" spans="1:3" x14ac:dyDescent="0.45">
      <c r="A52" s="2">
        <v>15676</v>
      </c>
      <c r="B52" s="7">
        <v>41915</v>
      </c>
      <c r="C52" s="4">
        <v>241</v>
      </c>
    </row>
    <row r="53" spans="1:3" x14ac:dyDescent="0.45">
      <c r="A53" s="2">
        <v>15707</v>
      </c>
      <c r="B53" s="7">
        <v>42172</v>
      </c>
      <c r="C53" s="4">
        <v>257</v>
      </c>
    </row>
    <row r="54" spans="1:3" x14ac:dyDescent="0.45">
      <c r="A54" s="2">
        <v>15738</v>
      </c>
      <c r="B54" s="7">
        <v>42393</v>
      </c>
      <c r="C54" s="4">
        <v>221</v>
      </c>
    </row>
    <row r="55" spans="1:3" x14ac:dyDescent="0.45">
      <c r="A55" s="2">
        <v>15766</v>
      </c>
      <c r="B55" s="7">
        <v>42552</v>
      </c>
      <c r="C55" s="4">
        <v>159</v>
      </c>
    </row>
    <row r="56" spans="1:3" x14ac:dyDescent="0.45">
      <c r="A56" s="2">
        <v>15797</v>
      </c>
      <c r="B56" s="7">
        <v>42647</v>
      </c>
      <c r="C56" s="4">
        <v>95</v>
      </c>
    </row>
    <row r="57" spans="1:3" x14ac:dyDescent="0.45">
      <c r="A57" s="2">
        <v>15827</v>
      </c>
      <c r="B57" s="7">
        <v>42596</v>
      </c>
      <c r="C57" s="4">
        <v>-51</v>
      </c>
    </row>
    <row r="58" spans="1:3" x14ac:dyDescent="0.45">
      <c r="A58" s="2">
        <v>15858</v>
      </c>
      <c r="B58" s="7">
        <v>42781</v>
      </c>
      <c r="C58" s="4">
        <v>185</v>
      </c>
    </row>
    <row r="59" spans="1:3" x14ac:dyDescent="0.45">
      <c r="A59" s="2">
        <v>15888</v>
      </c>
      <c r="B59" s="7">
        <v>42700</v>
      </c>
      <c r="C59" s="4">
        <v>-81</v>
      </c>
    </row>
    <row r="60" spans="1:3" x14ac:dyDescent="0.45">
      <c r="A60" s="2">
        <v>15919</v>
      </c>
      <c r="B60" s="7">
        <v>42546</v>
      </c>
      <c r="C60" s="4">
        <v>-154</v>
      </c>
    </row>
    <row r="61" spans="1:3" x14ac:dyDescent="0.45">
      <c r="A61" s="2">
        <v>15950</v>
      </c>
      <c r="B61" s="7">
        <v>42492</v>
      </c>
      <c r="C61" s="4">
        <v>-54</v>
      </c>
    </row>
    <row r="62" spans="1:3" x14ac:dyDescent="0.45">
      <c r="A62" s="2">
        <v>15980</v>
      </c>
      <c r="B62" s="7">
        <v>42675</v>
      </c>
      <c r="C62" s="4">
        <v>183</v>
      </c>
    </row>
    <row r="63" spans="1:3" x14ac:dyDescent="0.45">
      <c r="A63" s="2">
        <v>16011</v>
      </c>
      <c r="B63" s="7">
        <v>42821</v>
      </c>
      <c r="C63" s="4">
        <v>146</v>
      </c>
    </row>
    <row r="64" spans="1:3" x14ac:dyDescent="0.45">
      <c r="A64" s="2">
        <v>16041</v>
      </c>
      <c r="B64" s="7">
        <v>42746</v>
      </c>
      <c r="C64" s="4">
        <v>-75</v>
      </c>
    </row>
    <row r="65" spans="1:3" x14ac:dyDescent="0.45">
      <c r="A65" s="2">
        <v>16072</v>
      </c>
      <c r="B65" s="7">
        <v>42654</v>
      </c>
      <c r="C65" s="4">
        <v>-92</v>
      </c>
    </row>
    <row r="66" spans="1:3" x14ac:dyDescent="0.45">
      <c r="A66" s="2">
        <v>16103</v>
      </c>
      <c r="B66" s="7">
        <v>42538</v>
      </c>
      <c r="C66" s="4">
        <v>-116</v>
      </c>
    </row>
    <row r="67" spans="1:3" x14ac:dyDescent="0.45">
      <c r="A67" s="2">
        <v>16132</v>
      </c>
      <c r="B67" s="7">
        <v>42294</v>
      </c>
      <c r="C67" s="4">
        <v>-244</v>
      </c>
    </row>
    <row r="68" spans="1:3" x14ac:dyDescent="0.45">
      <c r="A68" s="2">
        <v>16163</v>
      </c>
      <c r="B68" s="7">
        <v>42063</v>
      </c>
      <c r="C68" s="4">
        <v>-231</v>
      </c>
    </row>
    <row r="69" spans="1:3" x14ac:dyDescent="0.45">
      <c r="A69" s="2">
        <v>16193</v>
      </c>
      <c r="B69" s="7">
        <v>41985</v>
      </c>
      <c r="C69" s="4">
        <v>-78</v>
      </c>
    </row>
    <row r="70" spans="1:3" x14ac:dyDescent="0.45">
      <c r="A70" s="2">
        <v>16224</v>
      </c>
      <c r="B70" s="7">
        <v>41947</v>
      </c>
      <c r="C70" s="4">
        <v>-38</v>
      </c>
    </row>
    <row r="71" spans="1:3" x14ac:dyDescent="0.45">
      <c r="A71" s="2">
        <v>16254</v>
      </c>
      <c r="B71" s="7">
        <v>41904</v>
      </c>
      <c r="C71" s="4">
        <v>-43</v>
      </c>
    </row>
    <row r="72" spans="1:3" x14ac:dyDescent="0.45">
      <c r="A72" s="2">
        <v>16285</v>
      </c>
      <c r="B72" s="7">
        <v>41850</v>
      </c>
      <c r="C72" s="4">
        <v>-54</v>
      </c>
    </row>
    <row r="73" spans="1:3" x14ac:dyDescent="0.45">
      <c r="A73" s="2">
        <v>16316</v>
      </c>
      <c r="B73" s="7">
        <v>41679</v>
      </c>
      <c r="C73" s="4">
        <v>-171</v>
      </c>
    </row>
    <row r="74" spans="1:3" x14ac:dyDescent="0.45">
      <c r="A74" s="2">
        <v>16346</v>
      </c>
      <c r="B74" s="7">
        <v>41708</v>
      </c>
      <c r="C74" s="4">
        <v>29</v>
      </c>
    </row>
    <row r="75" spans="1:3" x14ac:dyDescent="0.45">
      <c r="A75" s="2">
        <v>16377</v>
      </c>
      <c r="B75" s="7">
        <v>41711</v>
      </c>
      <c r="C75" s="4">
        <v>3</v>
      </c>
    </row>
    <row r="76" spans="1:3" x14ac:dyDescent="0.45">
      <c r="A76" s="2">
        <v>16407</v>
      </c>
      <c r="B76" s="7">
        <v>41860</v>
      </c>
      <c r="C76" s="4">
        <v>149</v>
      </c>
    </row>
    <row r="77" spans="1:3" x14ac:dyDescent="0.45">
      <c r="A77" s="2">
        <v>16438</v>
      </c>
      <c r="B77" s="7">
        <v>41895</v>
      </c>
      <c r="C77" s="4">
        <v>35</v>
      </c>
    </row>
    <row r="78" spans="1:3" x14ac:dyDescent="0.45">
      <c r="A78" s="2">
        <v>16469</v>
      </c>
      <c r="B78" s="7">
        <v>41897</v>
      </c>
      <c r="C78" s="4">
        <v>2</v>
      </c>
    </row>
    <row r="79" spans="1:3" x14ac:dyDescent="0.45">
      <c r="A79" s="2">
        <v>16497</v>
      </c>
      <c r="B79" s="7">
        <v>41798</v>
      </c>
      <c r="C79" s="4">
        <v>-99</v>
      </c>
    </row>
    <row r="80" spans="1:3" x14ac:dyDescent="0.45">
      <c r="A80" s="2">
        <v>16528</v>
      </c>
      <c r="B80" s="7">
        <v>41446</v>
      </c>
      <c r="C80" s="4">
        <v>-352</v>
      </c>
    </row>
    <row r="81" spans="1:3" x14ac:dyDescent="0.45">
      <c r="A81" s="2">
        <v>16558</v>
      </c>
      <c r="B81" s="7">
        <v>41304</v>
      </c>
      <c r="C81" s="4">
        <v>-142</v>
      </c>
    </row>
    <row r="82" spans="1:3" x14ac:dyDescent="0.45">
      <c r="A82" s="2">
        <v>16589</v>
      </c>
      <c r="B82" s="7">
        <v>41149</v>
      </c>
      <c r="C82" s="4">
        <v>-155</v>
      </c>
    </row>
    <row r="83" spans="1:3" x14ac:dyDescent="0.45">
      <c r="A83" s="2">
        <v>16619</v>
      </c>
      <c r="B83" s="7">
        <v>40874</v>
      </c>
      <c r="C83" s="4">
        <v>-275</v>
      </c>
    </row>
    <row r="84" spans="1:3" x14ac:dyDescent="0.45">
      <c r="A84" s="2">
        <v>16650</v>
      </c>
      <c r="B84" s="7">
        <v>40466</v>
      </c>
      <c r="C84" s="4">
        <v>-408</v>
      </c>
    </row>
    <row r="85" spans="1:3" x14ac:dyDescent="0.45">
      <c r="A85" s="2">
        <v>16681</v>
      </c>
      <c r="B85" s="7">
        <v>38507</v>
      </c>
      <c r="C85" s="4">
        <v>-1959</v>
      </c>
    </row>
    <row r="86" spans="1:3" x14ac:dyDescent="0.45">
      <c r="A86" s="2">
        <v>16711</v>
      </c>
      <c r="B86" s="7">
        <v>38600</v>
      </c>
      <c r="C86" s="4">
        <v>93</v>
      </c>
    </row>
    <row r="87" spans="1:3" x14ac:dyDescent="0.45">
      <c r="A87" s="2">
        <v>16742</v>
      </c>
      <c r="B87" s="7">
        <v>38996</v>
      </c>
      <c r="C87" s="4">
        <v>396</v>
      </c>
    </row>
    <row r="88" spans="1:3" x14ac:dyDescent="0.45">
      <c r="A88" s="2">
        <v>16772</v>
      </c>
      <c r="B88" s="7">
        <v>39110</v>
      </c>
      <c r="C88" s="4">
        <v>114</v>
      </c>
    </row>
    <row r="89" spans="1:3" x14ac:dyDescent="0.45">
      <c r="A89" s="2">
        <v>16803</v>
      </c>
      <c r="B89" s="7">
        <v>39829</v>
      </c>
      <c r="C89" s="4">
        <v>719</v>
      </c>
    </row>
    <row r="90" spans="1:3" x14ac:dyDescent="0.45">
      <c r="A90" s="2">
        <v>16834</v>
      </c>
      <c r="B90" s="7">
        <v>39244</v>
      </c>
      <c r="C90" s="4">
        <v>-585</v>
      </c>
    </row>
    <row r="91" spans="1:3" x14ac:dyDescent="0.45">
      <c r="A91" s="2">
        <v>16862</v>
      </c>
      <c r="B91" s="7">
        <v>40195</v>
      </c>
      <c r="C91" s="4">
        <v>951</v>
      </c>
    </row>
    <row r="92" spans="1:3" x14ac:dyDescent="0.45">
      <c r="A92" s="2">
        <v>16893</v>
      </c>
      <c r="B92" s="7">
        <v>40913</v>
      </c>
      <c r="C92" s="4">
        <v>718</v>
      </c>
    </row>
    <row r="93" spans="1:3" x14ac:dyDescent="0.45">
      <c r="A93" s="2">
        <v>16923</v>
      </c>
      <c r="B93" s="7">
        <v>41349</v>
      </c>
      <c r="C93" s="4">
        <v>436</v>
      </c>
    </row>
    <row r="94" spans="1:3" x14ac:dyDescent="0.45">
      <c r="A94" s="2">
        <v>16954</v>
      </c>
      <c r="B94" s="7">
        <v>41735</v>
      </c>
      <c r="C94" s="4">
        <v>386</v>
      </c>
    </row>
    <row r="95" spans="1:3" x14ac:dyDescent="0.45">
      <c r="A95" s="2">
        <v>16984</v>
      </c>
      <c r="B95" s="7">
        <v>42153</v>
      </c>
      <c r="C95" s="4">
        <v>418</v>
      </c>
    </row>
    <row r="96" spans="1:3" x14ac:dyDescent="0.45">
      <c r="A96" s="2">
        <v>17015</v>
      </c>
      <c r="B96" s="7">
        <v>42642</v>
      </c>
      <c r="C96" s="4">
        <v>489</v>
      </c>
    </row>
    <row r="97" spans="1:3" x14ac:dyDescent="0.45">
      <c r="A97" s="2">
        <v>17046</v>
      </c>
      <c r="B97" s="7">
        <v>42915</v>
      </c>
      <c r="C97" s="4">
        <v>273</v>
      </c>
    </row>
    <row r="98" spans="1:3" x14ac:dyDescent="0.45">
      <c r="A98" s="2">
        <v>17076</v>
      </c>
      <c r="B98" s="7">
        <v>43093</v>
      </c>
      <c r="C98" s="4">
        <v>178</v>
      </c>
    </row>
    <row r="99" spans="1:3" x14ac:dyDescent="0.45">
      <c r="A99" s="2">
        <v>17107</v>
      </c>
      <c r="B99" s="7">
        <v>43395</v>
      </c>
      <c r="C99" s="4">
        <v>302</v>
      </c>
    </row>
    <row r="100" spans="1:3" x14ac:dyDescent="0.45">
      <c r="A100" s="2">
        <v>17137</v>
      </c>
      <c r="B100" s="7">
        <v>43379</v>
      </c>
      <c r="C100" s="4">
        <v>-16</v>
      </c>
    </row>
    <row r="101" spans="1:3" x14ac:dyDescent="0.45">
      <c r="A101" s="2">
        <v>17168</v>
      </c>
      <c r="B101" s="7">
        <v>43535</v>
      </c>
      <c r="C101" s="4">
        <v>156</v>
      </c>
    </row>
    <row r="102" spans="1:3" x14ac:dyDescent="0.45">
      <c r="A102" s="2">
        <v>17199</v>
      </c>
      <c r="B102" s="7">
        <v>43557</v>
      </c>
      <c r="C102" s="4">
        <v>22</v>
      </c>
    </row>
    <row r="103" spans="1:3" x14ac:dyDescent="0.45">
      <c r="A103" s="2">
        <v>17227</v>
      </c>
      <c r="B103" s="7">
        <v>43607</v>
      </c>
      <c r="C103" s="4">
        <v>50</v>
      </c>
    </row>
    <row r="104" spans="1:3" x14ac:dyDescent="0.45">
      <c r="A104" s="2">
        <v>17258</v>
      </c>
      <c r="B104" s="7">
        <v>43499</v>
      </c>
      <c r="C104" s="4">
        <v>-108</v>
      </c>
    </row>
    <row r="105" spans="1:3" x14ac:dyDescent="0.45">
      <c r="A105" s="2">
        <v>17288</v>
      </c>
      <c r="B105" s="7">
        <v>43638</v>
      </c>
      <c r="C105" s="4">
        <v>139</v>
      </c>
    </row>
    <row r="106" spans="1:3" x14ac:dyDescent="0.45">
      <c r="A106" s="2">
        <v>17319</v>
      </c>
      <c r="B106" s="7">
        <v>43810</v>
      </c>
      <c r="C106" s="4">
        <v>172</v>
      </c>
    </row>
    <row r="107" spans="1:3" x14ac:dyDescent="0.45">
      <c r="A107" s="2">
        <v>17349</v>
      </c>
      <c r="B107" s="7">
        <v>43743</v>
      </c>
      <c r="C107" s="4">
        <v>-67</v>
      </c>
    </row>
    <row r="108" spans="1:3" x14ac:dyDescent="0.45">
      <c r="A108" s="2">
        <v>17380</v>
      </c>
      <c r="B108" s="7">
        <v>43960</v>
      </c>
      <c r="C108" s="4">
        <v>217</v>
      </c>
    </row>
    <row r="109" spans="1:3" x14ac:dyDescent="0.45">
      <c r="A109" s="2">
        <v>17411</v>
      </c>
      <c r="B109" s="7">
        <v>44203</v>
      </c>
      <c r="C109" s="4">
        <v>243</v>
      </c>
    </row>
    <row r="110" spans="1:3" x14ac:dyDescent="0.45">
      <c r="A110" s="2">
        <v>17441</v>
      </c>
      <c r="B110" s="7">
        <v>44411</v>
      </c>
      <c r="C110" s="4">
        <v>208</v>
      </c>
    </row>
    <row r="111" spans="1:3" x14ac:dyDescent="0.45">
      <c r="A111" s="2">
        <v>17472</v>
      </c>
      <c r="B111" s="7">
        <v>44484</v>
      </c>
      <c r="C111" s="4">
        <v>73</v>
      </c>
    </row>
    <row r="112" spans="1:3" x14ac:dyDescent="0.45">
      <c r="A112" s="2">
        <v>17502</v>
      </c>
      <c r="B112" s="7">
        <v>44581</v>
      </c>
      <c r="C112" s="4">
        <v>97</v>
      </c>
    </row>
    <row r="113" spans="1:3" x14ac:dyDescent="0.45">
      <c r="A113" s="2">
        <v>17533</v>
      </c>
      <c r="B113" s="7">
        <v>44679</v>
      </c>
      <c r="C113" s="4">
        <v>98</v>
      </c>
    </row>
    <row r="114" spans="1:3" x14ac:dyDescent="0.45">
      <c r="A114" s="2">
        <v>17564</v>
      </c>
      <c r="B114" s="7">
        <v>44533</v>
      </c>
      <c r="C114" s="4">
        <v>-146</v>
      </c>
    </row>
    <row r="115" spans="1:3" x14ac:dyDescent="0.45">
      <c r="A115" s="2">
        <v>17593</v>
      </c>
      <c r="B115" s="7">
        <v>44683</v>
      </c>
      <c r="C115" s="4">
        <v>150</v>
      </c>
    </row>
    <row r="116" spans="1:3" x14ac:dyDescent="0.45">
      <c r="A116" s="2">
        <v>17624</v>
      </c>
      <c r="B116" s="7">
        <v>44379</v>
      </c>
      <c r="C116" s="4">
        <v>-304</v>
      </c>
    </row>
    <row r="117" spans="1:3" x14ac:dyDescent="0.45">
      <c r="A117" s="2">
        <v>17654</v>
      </c>
      <c r="B117" s="7">
        <v>44796</v>
      </c>
      <c r="C117" s="4">
        <v>417</v>
      </c>
    </row>
    <row r="118" spans="1:3" x14ac:dyDescent="0.45">
      <c r="A118" s="2">
        <v>17685</v>
      </c>
      <c r="B118" s="7">
        <v>45034</v>
      </c>
      <c r="C118" s="4">
        <v>238</v>
      </c>
    </row>
    <row r="119" spans="1:3" x14ac:dyDescent="0.45">
      <c r="A119" s="2">
        <v>17715</v>
      </c>
      <c r="B119" s="7">
        <v>45160</v>
      </c>
      <c r="C119" s="4">
        <v>126</v>
      </c>
    </row>
    <row r="120" spans="1:3" x14ac:dyDescent="0.45">
      <c r="A120" s="2">
        <v>17746</v>
      </c>
      <c r="B120" s="7">
        <v>45178</v>
      </c>
      <c r="C120" s="4">
        <v>18</v>
      </c>
    </row>
    <row r="121" spans="1:3" x14ac:dyDescent="0.45">
      <c r="A121" s="2">
        <v>17777</v>
      </c>
      <c r="B121" s="7">
        <v>45294</v>
      </c>
      <c r="C121" s="4">
        <v>116</v>
      </c>
    </row>
    <row r="122" spans="1:3" x14ac:dyDescent="0.45">
      <c r="A122" s="2">
        <v>17807</v>
      </c>
      <c r="B122" s="7">
        <v>45245</v>
      </c>
      <c r="C122" s="4">
        <v>-49</v>
      </c>
    </row>
    <row r="123" spans="1:3" x14ac:dyDescent="0.45">
      <c r="A123" s="2">
        <v>17838</v>
      </c>
      <c r="B123" s="7">
        <v>45192</v>
      </c>
      <c r="C123" s="4">
        <v>-53</v>
      </c>
    </row>
    <row r="124" spans="1:3" x14ac:dyDescent="0.45">
      <c r="A124" s="2">
        <v>17868</v>
      </c>
      <c r="B124" s="7">
        <v>45032</v>
      </c>
      <c r="C124" s="4">
        <v>-160</v>
      </c>
    </row>
    <row r="125" spans="1:3" x14ac:dyDescent="0.45">
      <c r="A125" s="2">
        <v>17899</v>
      </c>
      <c r="B125" s="7">
        <v>44668</v>
      </c>
      <c r="C125" s="4">
        <v>-364</v>
      </c>
    </row>
    <row r="126" spans="1:3" x14ac:dyDescent="0.45">
      <c r="A126" s="2">
        <v>17930</v>
      </c>
      <c r="B126" s="7">
        <v>44497</v>
      </c>
      <c r="C126" s="4">
        <v>-171</v>
      </c>
    </row>
    <row r="127" spans="1:3" x14ac:dyDescent="0.45">
      <c r="A127" s="2">
        <v>17958</v>
      </c>
      <c r="B127" s="7">
        <v>44240</v>
      </c>
      <c r="C127" s="4">
        <v>-257</v>
      </c>
    </row>
    <row r="128" spans="1:3" x14ac:dyDescent="0.45">
      <c r="A128" s="2">
        <v>17989</v>
      </c>
      <c r="B128" s="7">
        <v>44236</v>
      </c>
      <c r="C128" s="4">
        <v>-4</v>
      </c>
    </row>
    <row r="129" spans="1:3" x14ac:dyDescent="0.45">
      <c r="A129" s="2">
        <v>18019</v>
      </c>
      <c r="B129" s="7">
        <v>43984</v>
      </c>
      <c r="C129" s="4">
        <v>-252</v>
      </c>
    </row>
    <row r="130" spans="1:3" x14ac:dyDescent="0.45">
      <c r="A130" s="2">
        <v>18050</v>
      </c>
      <c r="B130" s="7">
        <v>43739</v>
      </c>
      <c r="C130" s="4">
        <v>-245</v>
      </c>
    </row>
    <row r="131" spans="1:3" x14ac:dyDescent="0.45">
      <c r="A131" s="2">
        <v>18080</v>
      </c>
      <c r="B131" s="7">
        <v>43531</v>
      </c>
      <c r="C131" s="4">
        <v>-208</v>
      </c>
    </row>
    <row r="132" spans="1:3" x14ac:dyDescent="0.45">
      <c r="A132" s="2">
        <v>18111</v>
      </c>
      <c r="B132" s="7">
        <v>43624</v>
      </c>
      <c r="C132" s="4">
        <v>93</v>
      </c>
    </row>
    <row r="133" spans="1:3" x14ac:dyDescent="0.45">
      <c r="A133" s="2">
        <v>18142</v>
      </c>
      <c r="B133" s="7">
        <v>43780</v>
      </c>
      <c r="C133" s="4">
        <v>156</v>
      </c>
    </row>
    <row r="134" spans="1:3" x14ac:dyDescent="0.45">
      <c r="A134" s="2">
        <v>18172</v>
      </c>
      <c r="B134" s="7">
        <v>42942</v>
      </c>
      <c r="C134" s="4">
        <v>-838</v>
      </c>
    </row>
    <row r="135" spans="1:3" x14ac:dyDescent="0.45">
      <c r="A135" s="2">
        <v>18203</v>
      </c>
      <c r="B135" s="7">
        <v>43242</v>
      </c>
      <c r="C135" s="4">
        <v>300</v>
      </c>
    </row>
    <row r="136" spans="1:3" x14ac:dyDescent="0.45">
      <c r="A136" s="2">
        <v>18233</v>
      </c>
      <c r="B136" s="7">
        <v>43522</v>
      </c>
      <c r="C136" s="4">
        <v>280</v>
      </c>
    </row>
    <row r="137" spans="1:3" x14ac:dyDescent="0.45">
      <c r="A137" s="2">
        <v>18264</v>
      </c>
      <c r="B137" s="7">
        <v>43526</v>
      </c>
      <c r="C137" s="4">
        <v>4</v>
      </c>
    </row>
    <row r="138" spans="1:3" x14ac:dyDescent="0.45">
      <c r="A138" s="2">
        <v>18295</v>
      </c>
      <c r="B138" s="7">
        <v>43297</v>
      </c>
      <c r="C138" s="4">
        <v>-229</v>
      </c>
    </row>
    <row r="139" spans="1:3" x14ac:dyDescent="0.45">
      <c r="A139" s="2">
        <v>18323</v>
      </c>
      <c r="B139" s="7">
        <v>43954</v>
      </c>
      <c r="C139" s="4">
        <v>657</v>
      </c>
    </row>
    <row r="140" spans="1:3" x14ac:dyDescent="0.45">
      <c r="A140" s="2">
        <v>18354</v>
      </c>
      <c r="B140" s="7">
        <v>44382</v>
      </c>
      <c r="C140" s="4">
        <v>428</v>
      </c>
    </row>
    <row r="141" spans="1:3" x14ac:dyDescent="0.45">
      <c r="A141" s="2">
        <v>18384</v>
      </c>
      <c r="B141" s="7">
        <v>44718</v>
      </c>
      <c r="C141" s="4">
        <v>336</v>
      </c>
    </row>
    <row r="142" spans="1:3" x14ac:dyDescent="0.45">
      <c r="A142" s="2">
        <v>18415</v>
      </c>
      <c r="B142" s="7">
        <v>45083</v>
      </c>
      <c r="C142" s="4">
        <v>365</v>
      </c>
    </row>
    <row r="143" spans="1:3" x14ac:dyDescent="0.45">
      <c r="A143" s="2">
        <v>18445</v>
      </c>
      <c r="B143" s="7">
        <v>45454</v>
      </c>
      <c r="C143" s="4">
        <v>371</v>
      </c>
    </row>
    <row r="144" spans="1:3" x14ac:dyDescent="0.45">
      <c r="A144" s="2">
        <v>18476</v>
      </c>
      <c r="B144" s="7">
        <v>46192</v>
      </c>
      <c r="C144" s="4">
        <v>738</v>
      </c>
    </row>
    <row r="145" spans="1:3" x14ac:dyDescent="0.45">
      <c r="A145" s="2">
        <v>18507</v>
      </c>
      <c r="B145" s="7">
        <v>46438</v>
      </c>
      <c r="C145" s="4">
        <v>246</v>
      </c>
    </row>
    <row r="146" spans="1:3" x14ac:dyDescent="0.45">
      <c r="A146" s="2">
        <v>18537</v>
      </c>
      <c r="B146" s="7">
        <v>46706</v>
      </c>
      <c r="C146" s="4">
        <v>268</v>
      </c>
    </row>
    <row r="147" spans="1:3" x14ac:dyDescent="0.45">
      <c r="A147" s="2">
        <v>18568</v>
      </c>
      <c r="B147" s="7">
        <v>46776</v>
      </c>
      <c r="C147" s="4">
        <v>70</v>
      </c>
    </row>
    <row r="148" spans="1:3" x14ac:dyDescent="0.45">
      <c r="A148" s="2">
        <v>18598</v>
      </c>
      <c r="B148" s="7">
        <v>46861</v>
      </c>
      <c r="C148" s="4">
        <v>85</v>
      </c>
    </row>
    <row r="149" spans="1:3" x14ac:dyDescent="0.45">
      <c r="A149" s="2">
        <v>18629</v>
      </c>
      <c r="B149" s="7">
        <v>47288</v>
      </c>
      <c r="C149" s="4">
        <v>427</v>
      </c>
    </row>
    <row r="150" spans="1:3" x14ac:dyDescent="0.45">
      <c r="A150" s="2">
        <v>18660</v>
      </c>
      <c r="B150" s="7">
        <v>47577</v>
      </c>
      <c r="C150" s="4">
        <v>289</v>
      </c>
    </row>
    <row r="151" spans="1:3" x14ac:dyDescent="0.45">
      <c r="A151" s="2">
        <v>18688</v>
      </c>
      <c r="B151" s="7">
        <v>47873</v>
      </c>
      <c r="C151" s="4">
        <v>296</v>
      </c>
    </row>
    <row r="152" spans="1:3" x14ac:dyDescent="0.45">
      <c r="A152" s="2">
        <v>18719</v>
      </c>
      <c r="B152" s="7">
        <v>47861</v>
      </c>
      <c r="C152" s="4">
        <v>-12</v>
      </c>
    </row>
    <row r="153" spans="1:3" x14ac:dyDescent="0.45">
      <c r="A153" s="2">
        <v>18749</v>
      </c>
      <c r="B153" s="7">
        <v>47952</v>
      </c>
      <c r="C153" s="4">
        <v>91</v>
      </c>
    </row>
    <row r="154" spans="1:3" x14ac:dyDescent="0.45">
      <c r="A154" s="2">
        <v>18780</v>
      </c>
      <c r="B154" s="7">
        <v>48064</v>
      </c>
      <c r="C154" s="4">
        <v>112</v>
      </c>
    </row>
    <row r="155" spans="1:3" x14ac:dyDescent="0.45">
      <c r="A155" s="2">
        <v>18810</v>
      </c>
      <c r="B155" s="7">
        <v>48061</v>
      </c>
      <c r="C155" s="4">
        <v>-3</v>
      </c>
    </row>
    <row r="156" spans="1:3" x14ac:dyDescent="0.45">
      <c r="A156" s="2">
        <v>18841</v>
      </c>
      <c r="B156" s="7">
        <v>48012</v>
      </c>
      <c r="C156" s="4">
        <v>-49</v>
      </c>
    </row>
    <row r="157" spans="1:3" x14ac:dyDescent="0.45">
      <c r="A157" s="2">
        <v>18872</v>
      </c>
      <c r="B157" s="7">
        <v>47954</v>
      </c>
      <c r="C157" s="4">
        <v>-58</v>
      </c>
    </row>
    <row r="158" spans="1:3" x14ac:dyDescent="0.45">
      <c r="A158" s="2">
        <v>18902</v>
      </c>
      <c r="B158" s="7">
        <v>48006</v>
      </c>
      <c r="C158" s="4">
        <v>52</v>
      </c>
    </row>
    <row r="159" spans="1:3" x14ac:dyDescent="0.45">
      <c r="A159" s="2">
        <v>18933</v>
      </c>
      <c r="B159" s="7">
        <v>48147</v>
      </c>
      <c r="C159" s="4">
        <v>141</v>
      </c>
    </row>
    <row r="160" spans="1:3" x14ac:dyDescent="0.45">
      <c r="A160" s="2">
        <v>18963</v>
      </c>
      <c r="B160" s="7">
        <v>48314</v>
      </c>
      <c r="C160" s="4">
        <v>167</v>
      </c>
    </row>
    <row r="161" spans="1:3" x14ac:dyDescent="0.45">
      <c r="A161" s="2">
        <v>18994</v>
      </c>
      <c r="B161" s="7">
        <v>48296</v>
      </c>
      <c r="C161" s="4">
        <v>-18</v>
      </c>
    </row>
    <row r="162" spans="1:3" x14ac:dyDescent="0.45">
      <c r="A162" s="2">
        <v>19025</v>
      </c>
      <c r="B162" s="7">
        <v>48522</v>
      </c>
      <c r="C162" s="4">
        <v>226</v>
      </c>
    </row>
    <row r="163" spans="1:3" x14ac:dyDescent="0.45">
      <c r="A163" s="2">
        <v>19054</v>
      </c>
      <c r="B163" s="7">
        <v>48504</v>
      </c>
      <c r="C163" s="4">
        <v>-18</v>
      </c>
    </row>
    <row r="164" spans="1:3" x14ac:dyDescent="0.45">
      <c r="A164" s="2">
        <v>19085</v>
      </c>
      <c r="B164" s="7">
        <v>48620</v>
      </c>
      <c r="C164" s="4">
        <v>116</v>
      </c>
    </row>
    <row r="165" spans="1:3" x14ac:dyDescent="0.45">
      <c r="A165" s="2">
        <v>19115</v>
      </c>
      <c r="B165" s="7">
        <v>48642</v>
      </c>
      <c r="C165" s="4">
        <v>22</v>
      </c>
    </row>
    <row r="166" spans="1:3" x14ac:dyDescent="0.45">
      <c r="A166" s="2">
        <v>19146</v>
      </c>
      <c r="B166" s="7">
        <v>48282</v>
      </c>
      <c r="C166" s="4">
        <v>-360</v>
      </c>
    </row>
    <row r="167" spans="1:3" x14ac:dyDescent="0.45">
      <c r="A167" s="2">
        <v>19176</v>
      </c>
      <c r="B167" s="7">
        <v>48143</v>
      </c>
      <c r="C167" s="4">
        <v>-139</v>
      </c>
    </row>
    <row r="168" spans="1:3" x14ac:dyDescent="0.45">
      <c r="A168" s="2">
        <v>19207</v>
      </c>
      <c r="B168" s="7">
        <v>48924</v>
      </c>
      <c r="C168" s="4">
        <v>781</v>
      </c>
    </row>
    <row r="169" spans="1:3" x14ac:dyDescent="0.45">
      <c r="A169" s="2">
        <v>19238</v>
      </c>
      <c r="B169" s="7">
        <v>49320</v>
      </c>
      <c r="C169" s="4">
        <v>396</v>
      </c>
    </row>
    <row r="170" spans="1:3" x14ac:dyDescent="0.45">
      <c r="A170" s="2">
        <v>19268</v>
      </c>
      <c r="B170" s="7">
        <v>49597</v>
      </c>
      <c r="C170" s="4">
        <v>277</v>
      </c>
    </row>
    <row r="171" spans="1:3" x14ac:dyDescent="0.45">
      <c r="A171" s="2">
        <v>19299</v>
      </c>
      <c r="B171" s="7">
        <v>49816</v>
      </c>
      <c r="C171" s="4">
        <v>219</v>
      </c>
    </row>
    <row r="172" spans="1:3" x14ac:dyDescent="0.45">
      <c r="A172" s="2">
        <v>19329</v>
      </c>
      <c r="B172" s="7">
        <v>50166</v>
      </c>
      <c r="C172" s="4">
        <v>350</v>
      </c>
    </row>
    <row r="173" spans="1:3" x14ac:dyDescent="0.45">
      <c r="A173" s="2">
        <v>19360</v>
      </c>
      <c r="B173" s="7">
        <v>50144</v>
      </c>
      <c r="C173" s="4">
        <v>-22</v>
      </c>
    </row>
    <row r="174" spans="1:3" x14ac:dyDescent="0.45">
      <c r="A174" s="2">
        <v>19391</v>
      </c>
      <c r="B174" s="7">
        <v>50339</v>
      </c>
      <c r="C174" s="4">
        <v>195</v>
      </c>
    </row>
    <row r="175" spans="1:3" x14ac:dyDescent="0.45">
      <c r="A175" s="2">
        <v>19419</v>
      </c>
      <c r="B175" s="7">
        <v>50473</v>
      </c>
      <c r="C175" s="4">
        <v>134</v>
      </c>
    </row>
    <row r="176" spans="1:3" x14ac:dyDescent="0.45">
      <c r="A176" s="2">
        <v>19450</v>
      </c>
      <c r="B176" s="7">
        <v>50435</v>
      </c>
      <c r="C176" s="4">
        <v>-38</v>
      </c>
    </row>
    <row r="177" spans="1:3" x14ac:dyDescent="0.45">
      <c r="A177" s="2">
        <v>19480</v>
      </c>
      <c r="B177" s="7">
        <v>50490</v>
      </c>
      <c r="C177" s="4">
        <v>55</v>
      </c>
    </row>
    <row r="178" spans="1:3" x14ac:dyDescent="0.45">
      <c r="A178" s="2">
        <v>19511</v>
      </c>
      <c r="B178" s="7">
        <v>50519</v>
      </c>
      <c r="C178" s="4">
        <v>29</v>
      </c>
    </row>
    <row r="179" spans="1:3" x14ac:dyDescent="0.45">
      <c r="A179" s="2">
        <v>19541</v>
      </c>
      <c r="B179" s="7">
        <v>50536</v>
      </c>
      <c r="C179" s="4">
        <v>17</v>
      </c>
    </row>
    <row r="180" spans="1:3" x14ac:dyDescent="0.45">
      <c r="A180" s="2">
        <v>19572</v>
      </c>
      <c r="B180" s="7">
        <v>50489</v>
      </c>
      <c r="C180" s="4">
        <v>-47</v>
      </c>
    </row>
    <row r="181" spans="1:3" x14ac:dyDescent="0.45">
      <c r="A181" s="2">
        <v>19603</v>
      </c>
      <c r="B181" s="7">
        <v>50368</v>
      </c>
      <c r="C181" s="4">
        <v>-121</v>
      </c>
    </row>
    <row r="182" spans="1:3" x14ac:dyDescent="0.45">
      <c r="A182" s="2">
        <v>19633</v>
      </c>
      <c r="B182" s="7">
        <v>50240</v>
      </c>
      <c r="C182" s="4">
        <v>-128</v>
      </c>
    </row>
    <row r="183" spans="1:3" x14ac:dyDescent="0.45">
      <c r="A183" s="2">
        <v>19664</v>
      </c>
      <c r="B183" s="7">
        <v>49908</v>
      </c>
      <c r="C183" s="4">
        <v>-332</v>
      </c>
    </row>
    <row r="184" spans="1:3" x14ac:dyDescent="0.45">
      <c r="A184" s="2">
        <v>19694</v>
      </c>
      <c r="B184" s="7">
        <v>49703</v>
      </c>
      <c r="C184" s="4">
        <v>-205</v>
      </c>
    </row>
    <row r="185" spans="1:3" x14ac:dyDescent="0.45">
      <c r="A185" s="2">
        <v>19725</v>
      </c>
      <c r="B185" s="7">
        <v>49469</v>
      </c>
      <c r="C185" s="4">
        <v>-234</v>
      </c>
    </row>
    <row r="186" spans="1:3" x14ac:dyDescent="0.45">
      <c r="A186" s="2">
        <v>19756</v>
      </c>
      <c r="B186" s="7">
        <v>49382</v>
      </c>
      <c r="C186" s="4">
        <v>-87</v>
      </c>
    </row>
    <row r="187" spans="1:3" x14ac:dyDescent="0.45">
      <c r="A187" s="2">
        <v>19784</v>
      </c>
      <c r="B187" s="7">
        <v>49157</v>
      </c>
      <c r="C187" s="4">
        <v>-225</v>
      </c>
    </row>
    <row r="188" spans="1:3" x14ac:dyDescent="0.45">
      <c r="A188" s="2">
        <v>19815</v>
      </c>
      <c r="B188" s="7">
        <v>49179</v>
      </c>
      <c r="C188" s="4">
        <v>22</v>
      </c>
    </row>
    <row r="189" spans="1:3" x14ac:dyDescent="0.45">
      <c r="A189" s="2">
        <v>19845</v>
      </c>
      <c r="B189" s="7">
        <v>48965</v>
      </c>
      <c r="C189" s="4">
        <v>-214</v>
      </c>
    </row>
    <row r="190" spans="1:3" x14ac:dyDescent="0.45">
      <c r="A190" s="2">
        <v>19876</v>
      </c>
      <c r="B190" s="7">
        <v>48895</v>
      </c>
      <c r="C190" s="4">
        <v>-70</v>
      </c>
    </row>
    <row r="191" spans="1:3" x14ac:dyDescent="0.45">
      <c r="A191" s="2">
        <v>19906</v>
      </c>
      <c r="B191" s="7">
        <v>48835</v>
      </c>
      <c r="C191" s="4">
        <v>-60</v>
      </c>
    </row>
    <row r="192" spans="1:3" x14ac:dyDescent="0.45">
      <c r="A192" s="2">
        <v>19937</v>
      </c>
      <c r="B192" s="7">
        <v>48826</v>
      </c>
      <c r="C192" s="4">
        <v>-9</v>
      </c>
    </row>
    <row r="193" spans="1:3" x14ac:dyDescent="0.45">
      <c r="A193" s="2">
        <v>19968</v>
      </c>
      <c r="B193" s="7">
        <v>48886</v>
      </c>
      <c r="C193" s="4">
        <v>60</v>
      </c>
    </row>
    <row r="194" spans="1:3" x14ac:dyDescent="0.45">
      <c r="A194" s="2">
        <v>19998</v>
      </c>
      <c r="B194" s="7">
        <v>48942</v>
      </c>
      <c r="C194" s="4">
        <v>56</v>
      </c>
    </row>
    <row r="195" spans="1:3" x14ac:dyDescent="0.45">
      <c r="A195" s="2">
        <v>20029</v>
      </c>
      <c r="B195" s="7">
        <v>49180</v>
      </c>
      <c r="C195" s="4">
        <v>238</v>
      </c>
    </row>
    <row r="196" spans="1:3" x14ac:dyDescent="0.45">
      <c r="A196" s="2">
        <v>20059</v>
      </c>
      <c r="B196" s="7">
        <v>49331</v>
      </c>
      <c r="C196" s="4">
        <v>151</v>
      </c>
    </row>
    <row r="197" spans="1:3" x14ac:dyDescent="0.45">
      <c r="A197" s="2">
        <v>20090</v>
      </c>
      <c r="B197" s="7">
        <v>49496</v>
      </c>
      <c r="C197" s="4">
        <v>165</v>
      </c>
    </row>
    <row r="198" spans="1:3" x14ac:dyDescent="0.45">
      <c r="A198" s="2">
        <v>20121</v>
      </c>
      <c r="B198" s="7">
        <v>49644</v>
      </c>
      <c r="C198" s="4">
        <v>148</v>
      </c>
    </row>
    <row r="199" spans="1:3" x14ac:dyDescent="0.45">
      <c r="A199" s="2">
        <v>20149</v>
      </c>
      <c r="B199" s="7">
        <v>49962</v>
      </c>
      <c r="C199" s="4">
        <v>318</v>
      </c>
    </row>
    <row r="200" spans="1:3" x14ac:dyDescent="0.45">
      <c r="A200" s="2">
        <v>20180</v>
      </c>
      <c r="B200" s="7">
        <v>50248</v>
      </c>
      <c r="C200" s="4">
        <v>286</v>
      </c>
    </row>
    <row r="201" spans="1:3" x14ac:dyDescent="0.45">
      <c r="A201" s="2">
        <v>20210</v>
      </c>
      <c r="B201" s="7">
        <v>50512</v>
      </c>
      <c r="C201" s="4">
        <v>264</v>
      </c>
    </row>
    <row r="202" spans="1:3" x14ac:dyDescent="0.45">
      <c r="A202" s="2">
        <v>20241</v>
      </c>
      <c r="B202" s="7">
        <v>50790</v>
      </c>
      <c r="C202" s="4">
        <v>278</v>
      </c>
    </row>
    <row r="203" spans="1:3" x14ac:dyDescent="0.45">
      <c r="A203" s="2">
        <v>20271</v>
      </c>
      <c r="B203" s="7">
        <v>50987</v>
      </c>
      <c r="C203" s="4">
        <v>197</v>
      </c>
    </row>
    <row r="204" spans="1:3" x14ac:dyDescent="0.45">
      <c r="A204" s="2">
        <v>20302</v>
      </c>
      <c r="B204" s="7">
        <v>51111</v>
      </c>
      <c r="C204" s="4">
        <v>124</v>
      </c>
    </row>
    <row r="205" spans="1:3" x14ac:dyDescent="0.45">
      <c r="A205" s="2">
        <v>20333</v>
      </c>
      <c r="B205" s="7">
        <v>51266</v>
      </c>
      <c r="C205" s="4">
        <v>155</v>
      </c>
    </row>
    <row r="206" spans="1:3" x14ac:dyDescent="0.45">
      <c r="A206" s="2">
        <v>20363</v>
      </c>
      <c r="B206" s="7">
        <v>51429</v>
      </c>
      <c r="C206" s="4">
        <v>163</v>
      </c>
    </row>
    <row r="207" spans="1:3" x14ac:dyDescent="0.45">
      <c r="A207" s="2">
        <v>20394</v>
      </c>
      <c r="B207" s="7">
        <v>51592</v>
      </c>
      <c r="C207" s="4">
        <v>163</v>
      </c>
    </row>
    <row r="208" spans="1:3" x14ac:dyDescent="0.45">
      <c r="A208" s="2">
        <v>20424</v>
      </c>
      <c r="B208" s="7">
        <v>51805</v>
      </c>
      <c r="C208" s="4">
        <v>213</v>
      </c>
    </row>
    <row r="209" spans="1:3" x14ac:dyDescent="0.45">
      <c r="A209" s="2">
        <v>20455</v>
      </c>
      <c r="B209" s="7">
        <v>51975</v>
      </c>
      <c r="C209" s="4">
        <v>170</v>
      </c>
    </row>
    <row r="210" spans="1:3" x14ac:dyDescent="0.45">
      <c r="A210" s="2">
        <v>20486</v>
      </c>
      <c r="B210" s="7">
        <v>52167</v>
      </c>
      <c r="C210" s="4">
        <v>192</v>
      </c>
    </row>
    <row r="211" spans="1:3" x14ac:dyDescent="0.45">
      <c r="A211" s="2">
        <v>20515</v>
      </c>
      <c r="B211" s="7">
        <v>52294</v>
      </c>
      <c r="C211" s="4">
        <v>127</v>
      </c>
    </row>
    <row r="212" spans="1:3" x14ac:dyDescent="0.45">
      <c r="A212" s="2">
        <v>20546</v>
      </c>
      <c r="B212" s="7">
        <v>52375</v>
      </c>
      <c r="C212" s="4">
        <v>81</v>
      </c>
    </row>
    <row r="213" spans="1:3" x14ac:dyDescent="0.45">
      <c r="A213" s="2">
        <v>20576</v>
      </c>
      <c r="B213" s="7">
        <v>52506</v>
      </c>
      <c r="C213" s="4">
        <v>131</v>
      </c>
    </row>
    <row r="214" spans="1:3" x14ac:dyDescent="0.45">
      <c r="A214" s="2">
        <v>20607</v>
      </c>
      <c r="B214" s="7">
        <v>52586</v>
      </c>
      <c r="C214" s="4">
        <v>80</v>
      </c>
    </row>
    <row r="215" spans="1:3" x14ac:dyDescent="0.45">
      <c r="A215" s="2">
        <v>20637</v>
      </c>
      <c r="B215" s="7">
        <v>51955</v>
      </c>
      <c r="C215" s="4">
        <v>-631</v>
      </c>
    </row>
    <row r="216" spans="1:3" x14ac:dyDescent="0.45">
      <c r="A216" s="2">
        <v>20668</v>
      </c>
      <c r="B216" s="7">
        <v>52631</v>
      </c>
      <c r="C216" s="4">
        <v>676</v>
      </c>
    </row>
    <row r="217" spans="1:3" x14ac:dyDescent="0.45">
      <c r="A217" s="2">
        <v>20699</v>
      </c>
      <c r="B217" s="7">
        <v>52604</v>
      </c>
      <c r="C217" s="4">
        <v>-27</v>
      </c>
    </row>
    <row r="218" spans="1:3" x14ac:dyDescent="0.45">
      <c r="A218" s="2">
        <v>20729</v>
      </c>
      <c r="B218" s="7">
        <v>52777</v>
      </c>
      <c r="C218" s="4">
        <v>173</v>
      </c>
    </row>
    <row r="219" spans="1:3" x14ac:dyDescent="0.45">
      <c r="A219" s="2">
        <v>20760</v>
      </c>
      <c r="B219" s="7">
        <v>52821</v>
      </c>
      <c r="C219" s="4">
        <v>44</v>
      </c>
    </row>
    <row r="220" spans="1:3" x14ac:dyDescent="0.45">
      <c r="A220" s="2">
        <v>20790</v>
      </c>
      <c r="B220" s="7">
        <v>52929</v>
      </c>
      <c r="C220" s="4">
        <v>108</v>
      </c>
    </row>
    <row r="221" spans="1:3" x14ac:dyDescent="0.45">
      <c r="A221" s="2">
        <v>20821</v>
      </c>
      <c r="B221" s="7">
        <v>52887</v>
      </c>
      <c r="C221" s="4">
        <v>-42</v>
      </c>
    </row>
    <row r="222" spans="1:3" x14ac:dyDescent="0.45">
      <c r="A222" s="2">
        <v>20852</v>
      </c>
      <c r="B222" s="7">
        <v>53097</v>
      </c>
      <c r="C222" s="4">
        <v>210</v>
      </c>
    </row>
    <row r="223" spans="1:3" x14ac:dyDescent="0.45">
      <c r="A223" s="2">
        <v>20880</v>
      </c>
      <c r="B223" s="7">
        <v>53156</v>
      </c>
      <c r="C223" s="4">
        <v>59</v>
      </c>
    </row>
    <row r="224" spans="1:3" x14ac:dyDescent="0.45">
      <c r="A224" s="2">
        <v>20911</v>
      </c>
      <c r="B224" s="7">
        <v>53238</v>
      </c>
      <c r="C224" s="4">
        <v>82</v>
      </c>
    </row>
    <row r="225" spans="1:3" x14ac:dyDescent="0.45">
      <c r="A225" s="2">
        <v>20941</v>
      </c>
      <c r="B225" s="7">
        <v>53150</v>
      </c>
      <c r="C225" s="4">
        <v>-88</v>
      </c>
    </row>
    <row r="226" spans="1:3" x14ac:dyDescent="0.45">
      <c r="A226" s="2">
        <v>20972</v>
      </c>
      <c r="B226" s="7">
        <v>53067</v>
      </c>
      <c r="C226" s="4">
        <v>-83</v>
      </c>
    </row>
    <row r="227" spans="1:3" x14ac:dyDescent="0.45">
      <c r="A227" s="2">
        <v>21002</v>
      </c>
      <c r="B227" s="7">
        <v>53123</v>
      </c>
      <c r="C227" s="4">
        <v>56</v>
      </c>
    </row>
    <row r="228" spans="1:3" x14ac:dyDescent="0.45">
      <c r="A228" s="2">
        <v>21033</v>
      </c>
      <c r="B228" s="7">
        <v>53128</v>
      </c>
      <c r="C228" s="4">
        <v>5</v>
      </c>
    </row>
    <row r="229" spans="1:3" x14ac:dyDescent="0.45">
      <c r="A229" s="2">
        <v>21064</v>
      </c>
      <c r="B229" s="7">
        <v>52934</v>
      </c>
      <c r="C229" s="4">
        <v>-194</v>
      </c>
    </row>
    <row r="230" spans="1:3" x14ac:dyDescent="0.45">
      <c r="A230" s="2">
        <v>21094</v>
      </c>
      <c r="B230" s="7">
        <v>52763</v>
      </c>
      <c r="C230" s="4">
        <v>-171</v>
      </c>
    </row>
    <row r="231" spans="1:3" x14ac:dyDescent="0.45">
      <c r="A231" s="2">
        <v>21125</v>
      </c>
      <c r="B231" s="7">
        <v>52558</v>
      </c>
      <c r="C231" s="4">
        <v>-205</v>
      </c>
    </row>
    <row r="232" spans="1:3" x14ac:dyDescent="0.45">
      <c r="A232" s="2">
        <v>21155</v>
      </c>
      <c r="B232" s="7">
        <v>52384</v>
      </c>
      <c r="C232" s="4">
        <v>-174</v>
      </c>
    </row>
    <row r="233" spans="1:3" x14ac:dyDescent="0.45">
      <c r="A233" s="2">
        <v>21186</v>
      </c>
      <c r="B233" s="7">
        <v>52076</v>
      </c>
      <c r="C233" s="4">
        <v>-308</v>
      </c>
    </row>
    <row r="234" spans="1:3" x14ac:dyDescent="0.45">
      <c r="A234" s="2">
        <v>21217</v>
      </c>
      <c r="B234" s="7">
        <v>51576</v>
      </c>
      <c r="C234" s="4">
        <v>-500</v>
      </c>
    </row>
    <row r="235" spans="1:3" x14ac:dyDescent="0.45">
      <c r="A235" s="2">
        <v>21245</v>
      </c>
      <c r="B235" s="7">
        <v>51299</v>
      </c>
      <c r="C235" s="4">
        <v>-277</v>
      </c>
    </row>
    <row r="236" spans="1:3" x14ac:dyDescent="0.45">
      <c r="A236" s="2">
        <v>21276</v>
      </c>
      <c r="B236" s="7">
        <v>51027</v>
      </c>
      <c r="C236" s="4">
        <v>-272</v>
      </c>
    </row>
    <row r="237" spans="1:3" x14ac:dyDescent="0.45">
      <c r="A237" s="2">
        <v>21306</v>
      </c>
      <c r="B237" s="7">
        <v>50914</v>
      </c>
      <c r="C237" s="4">
        <v>-113</v>
      </c>
    </row>
    <row r="238" spans="1:3" x14ac:dyDescent="0.45">
      <c r="A238" s="2">
        <v>21337</v>
      </c>
      <c r="B238" s="7">
        <v>50914</v>
      </c>
      <c r="C238" s="4">
        <v>0</v>
      </c>
    </row>
    <row r="239" spans="1:3" x14ac:dyDescent="0.45">
      <c r="A239" s="2">
        <v>21367</v>
      </c>
      <c r="B239" s="7">
        <v>51039</v>
      </c>
      <c r="C239" s="4">
        <v>125</v>
      </c>
    </row>
    <row r="240" spans="1:3" x14ac:dyDescent="0.45">
      <c r="A240" s="2">
        <v>21398</v>
      </c>
      <c r="B240" s="7">
        <v>51233</v>
      </c>
      <c r="C240" s="4">
        <v>194</v>
      </c>
    </row>
    <row r="241" spans="1:3" x14ac:dyDescent="0.45">
      <c r="A241" s="2">
        <v>21429</v>
      </c>
      <c r="B241" s="7">
        <v>51506</v>
      </c>
      <c r="C241" s="4">
        <v>273</v>
      </c>
    </row>
    <row r="242" spans="1:3" x14ac:dyDescent="0.45">
      <c r="A242" s="2">
        <v>21459</v>
      </c>
      <c r="B242" s="7">
        <v>51485</v>
      </c>
      <c r="C242" s="4">
        <v>-21</v>
      </c>
    </row>
    <row r="243" spans="1:3" x14ac:dyDescent="0.45">
      <c r="A243" s="2">
        <v>21490</v>
      </c>
      <c r="B243" s="7">
        <v>51944</v>
      </c>
      <c r="C243" s="4">
        <v>459</v>
      </c>
    </row>
    <row r="244" spans="1:3" x14ac:dyDescent="0.45">
      <c r="A244" s="2">
        <v>21520</v>
      </c>
      <c r="B244" s="7">
        <v>52085</v>
      </c>
      <c r="C244" s="4">
        <v>141</v>
      </c>
    </row>
    <row r="245" spans="1:3" x14ac:dyDescent="0.45">
      <c r="A245" s="2">
        <v>21551</v>
      </c>
      <c r="B245" s="7">
        <v>52478</v>
      </c>
      <c r="C245" s="4">
        <v>393</v>
      </c>
    </row>
    <row r="246" spans="1:3" x14ac:dyDescent="0.45">
      <c r="A246" s="2">
        <v>21582</v>
      </c>
      <c r="B246" s="7">
        <v>52688</v>
      </c>
      <c r="C246" s="4">
        <v>210</v>
      </c>
    </row>
    <row r="247" spans="1:3" x14ac:dyDescent="0.45">
      <c r="A247" s="2">
        <v>21610</v>
      </c>
      <c r="B247" s="7">
        <v>53014</v>
      </c>
      <c r="C247" s="4">
        <v>326</v>
      </c>
    </row>
    <row r="248" spans="1:3" x14ac:dyDescent="0.45">
      <c r="A248" s="2">
        <v>21641</v>
      </c>
      <c r="B248" s="7">
        <v>53321</v>
      </c>
      <c r="C248" s="4">
        <v>307</v>
      </c>
    </row>
    <row r="249" spans="1:3" x14ac:dyDescent="0.45">
      <c r="A249" s="2">
        <v>21671</v>
      </c>
      <c r="B249" s="7">
        <v>53550</v>
      </c>
      <c r="C249" s="4">
        <v>229</v>
      </c>
    </row>
    <row r="250" spans="1:3" x14ac:dyDescent="0.45">
      <c r="A250" s="2">
        <v>21702</v>
      </c>
      <c r="B250" s="7">
        <v>53681</v>
      </c>
      <c r="C250" s="4">
        <v>131</v>
      </c>
    </row>
    <row r="251" spans="1:3" x14ac:dyDescent="0.45">
      <c r="A251" s="2">
        <v>21732</v>
      </c>
      <c r="B251" s="7">
        <v>53804</v>
      </c>
      <c r="C251" s="4">
        <v>123</v>
      </c>
    </row>
    <row r="252" spans="1:3" x14ac:dyDescent="0.45">
      <c r="A252" s="2">
        <v>21763</v>
      </c>
      <c r="B252" s="7">
        <v>53336</v>
      </c>
      <c r="C252" s="4">
        <v>-468</v>
      </c>
    </row>
    <row r="253" spans="1:3" x14ac:dyDescent="0.45">
      <c r="A253" s="2">
        <v>21794</v>
      </c>
      <c r="B253" s="7">
        <v>53428</v>
      </c>
      <c r="C253" s="4">
        <v>92</v>
      </c>
    </row>
    <row r="254" spans="1:3" x14ac:dyDescent="0.45">
      <c r="A254" s="2">
        <v>21824</v>
      </c>
      <c r="B254" s="7">
        <v>53358</v>
      </c>
      <c r="C254" s="4">
        <v>-70</v>
      </c>
    </row>
    <row r="255" spans="1:3" x14ac:dyDescent="0.45">
      <c r="A255" s="2">
        <v>21855</v>
      </c>
      <c r="B255" s="7">
        <v>53634</v>
      </c>
      <c r="C255" s="4">
        <v>276</v>
      </c>
    </row>
    <row r="256" spans="1:3" x14ac:dyDescent="0.45">
      <c r="A256" s="2">
        <v>21885</v>
      </c>
      <c r="B256" s="7">
        <v>54174</v>
      </c>
      <c r="C256" s="4">
        <v>540</v>
      </c>
    </row>
    <row r="257" spans="1:3" x14ac:dyDescent="0.45">
      <c r="A257" s="2">
        <v>21916</v>
      </c>
      <c r="B257" s="7">
        <v>54274</v>
      </c>
      <c r="C257" s="4">
        <v>100</v>
      </c>
    </row>
    <row r="258" spans="1:3" x14ac:dyDescent="0.45">
      <c r="A258" s="2">
        <v>21947</v>
      </c>
      <c r="B258" s="7">
        <v>54513</v>
      </c>
      <c r="C258" s="4">
        <v>239</v>
      </c>
    </row>
    <row r="259" spans="1:3" x14ac:dyDescent="0.45">
      <c r="A259" s="2">
        <v>21976</v>
      </c>
      <c r="B259" s="7">
        <v>54454</v>
      </c>
      <c r="C259" s="4">
        <v>-59</v>
      </c>
    </row>
    <row r="260" spans="1:3" x14ac:dyDescent="0.45">
      <c r="A260" s="2">
        <v>22007</v>
      </c>
      <c r="B260" s="7">
        <v>54813</v>
      </c>
      <c r="C260" s="4">
        <v>359</v>
      </c>
    </row>
    <row r="261" spans="1:3" x14ac:dyDescent="0.45">
      <c r="A261" s="2">
        <v>22037</v>
      </c>
      <c r="B261" s="7">
        <v>54475</v>
      </c>
      <c r="C261" s="4">
        <v>-338</v>
      </c>
    </row>
    <row r="262" spans="1:3" x14ac:dyDescent="0.45">
      <c r="A262" s="2">
        <v>22068</v>
      </c>
      <c r="B262" s="7">
        <v>54348</v>
      </c>
      <c r="C262" s="4">
        <v>-127</v>
      </c>
    </row>
    <row r="263" spans="1:3" x14ac:dyDescent="0.45">
      <c r="A263" s="2">
        <v>22098</v>
      </c>
      <c r="B263" s="7">
        <v>54306</v>
      </c>
      <c r="C263" s="4">
        <v>-42</v>
      </c>
    </row>
    <row r="264" spans="1:3" x14ac:dyDescent="0.45">
      <c r="A264" s="2">
        <v>22129</v>
      </c>
      <c r="B264" s="7">
        <v>54272</v>
      </c>
      <c r="C264" s="4">
        <v>-34</v>
      </c>
    </row>
    <row r="265" spans="1:3" x14ac:dyDescent="0.45">
      <c r="A265" s="2">
        <v>22160</v>
      </c>
      <c r="B265" s="7">
        <v>54227</v>
      </c>
      <c r="C265" s="4">
        <v>-45</v>
      </c>
    </row>
    <row r="266" spans="1:3" x14ac:dyDescent="0.45">
      <c r="A266" s="2">
        <v>22190</v>
      </c>
      <c r="B266" s="7">
        <v>54142</v>
      </c>
      <c r="C266" s="4">
        <v>-85</v>
      </c>
    </row>
    <row r="267" spans="1:3" x14ac:dyDescent="0.45">
      <c r="A267" s="2">
        <v>22221</v>
      </c>
      <c r="B267" s="7">
        <v>53961</v>
      </c>
      <c r="C267" s="4">
        <v>-181</v>
      </c>
    </row>
    <row r="268" spans="1:3" x14ac:dyDescent="0.45">
      <c r="A268" s="2">
        <v>22251</v>
      </c>
      <c r="B268" s="7">
        <v>53742</v>
      </c>
      <c r="C268" s="4">
        <v>-219</v>
      </c>
    </row>
    <row r="269" spans="1:3" x14ac:dyDescent="0.45">
      <c r="A269" s="2">
        <v>22282</v>
      </c>
      <c r="B269" s="7">
        <v>53683</v>
      </c>
      <c r="C269" s="4">
        <v>-59</v>
      </c>
    </row>
    <row r="270" spans="1:3" x14ac:dyDescent="0.45">
      <c r="A270" s="2">
        <v>22313</v>
      </c>
      <c r="B270" s="7">
        <v>53557</v>
      </c>
      <c r="C270" s="4">
        <v>-126</v>
      </c>
    </row>
    <row r="271" spans="1:3" x14ac:dyDescent="0.45">
      <c r="A271" s="2">
        <v>22341</v>
      </c>
      <c r="B271" s="7">
        <v>53659</v>
      </c>
      <c r="C271" s="4">
        <v>102</v>
      </c>
    </row>
    <row r="272" spans="1:3" x14ac:dyDescent="0.45">
      <c r="A272" s="2">
        <v>22372</v>
      </c>
      <c r="B272" s="7">
        <v>53627</v>
      </c>
      <c r="C272" s="4">
        <v>-32</v>
      </c>
    </row>
    <row r="273" spans="1:3" x14ac:dyDescent="0.45">
      <c r="A273" s="2">
        <v>22402</v>
      </c>
      <c r="B273" s="7">
        <v>53786</v>
      </c>
      <c r="C273" s="4">
        <v>159</v>
      </c>
    </row>
    <row r="274" spans="1:3" x14ac:dyDescent="0.45">
      <c r="A274" s="2">
        <v>22433</v>
      </c>
      <c r="B274" s="7">
        <v>53977</v>
      </c>
      <c r="C274" s="4">
        <v>191</v>
      </c>
    </row>
    <row r="275" spans="1:3" x14ac:dyDescent="0.45">
      <c r="A275" s="2">
        <v>22463</v>
      </c>
      <c r="B275" s="7">
        <v>54123</v>
      </c>
      <c r="C275" s="4">
        <v>146</v>
      </c>
    </row>
    <row r="276" spans="1:3" x14ac:dyDescent="0.45">
      <c r="A276" s="2">
        <v>22494</v>
      </c>
      <c r="B276" s="7">
        <v>54298</v>
      </c>
      <c r="C276" s="4">
        <v>175</v>
      </c>
    </row>
    <row r="277" spans="1:3" x14ac:dyDescent="0.45">
      <c r="A277" s="2">
        <v>22525</v>
      </c>
      <c r="B277" s="7">
        <v>54388</v>
      </c>
      <c r="C277" s="4">
        <v>90</v>
      </c>
    </row>
    <row r="278" spans="1:3" x14ac:dyDescent="0.45">
      <c r="A278" s="2">
        <v>22555</v>
      </c>
      <c r="B278" s="7">
        <v>54522</v>
      </c>
      <c r="C278" s="4">
        <v>134</v>
      </c>
    </row>
    <row r="279" spans="1:3" x14ac:dyDescent="0.45">
      <c r="A279" s="2">
        <v>22586</v>
      </c>
      <c r="B279" s="7">
        <v>54742</v>
      </c>
      <c r="C279" s="4">
        <v>220</v>
      </c>
    </row>
    <row r="280" spans="1:3" x14ac:dyDescent="0.45">
      <c r="A280" s="2">
        <v>22616</v>
      </c>
      <c r="B280" s="7">
        <v>54872</v>
      </c>
      <c r="C280" s="4">
        <v>130</v>
      </c>
    </row>
    <row r="281" spans="1:3" x14ac:dyDescent="0.45">
      <c r="A281" s="2">
        <v>22647</v>
      </c>
      <c r="B281" s="7">
        <v>54891</v>
      </c>
      <c r="C281" s="4">
        <v>19</v>
      </c>
    </row>
    <row r="282" spans="1:3" x14ac:dyDescent="0.45">
      <c r="A282" s="2">
        <v>22678</v>
      </c>
      <c r="B282" s="7">
        <v>55188</v>
      </c>
      <c r="C282" s="4">
        <v>297</v>
      </c>
    </row>
    <row r="283" spans="1:3" x14ac:dyDescent="0.45">
      <c r="A283" s="2">
        <v>22706</v>
      </c>
      <c r="B283" s="7">
        <v>55275</v>
      </c>
      <c r="C283" s="4">
        <v>87</v>
      </c>
    </row>
    <row r="284" spans="1:3" x14ac:dyDescent="0.45">
      <c r="A284" s="2">
        <v>22737</v>
      </c>
      <c r="B284" s="7">
        <v>55602</v>
      </c>
      <c r="C284" s="4">
        <v>327</v>
      </c>
    </row>
    <row r="285" spans="1:3" x14ac:dyDescent="0.45">
      <c r="A285" s="2">
        <v>22767</v>
      </c>
      <c r="B285" s="7">
        <v>55628</v>
      </c>
      <c r="C285" s="4">
        <v>26</v>
      </c>
    </row>
    <row r="286" spans="1:3" x14ac:dyDescent="0.45">
      <c r="A286" s="2">
        <v>22798</v>
      </c>
      <c r="B286" s="7">
        <v>55644</v>
      </c>
      <c r="C286" s="4">
        <v>16</v>
      </c>
    </row>
    <row r="287" spans="1:3" x14ac:dyDescent="0.45">
      <c r="A287" s="2">
        <v>22828</v>
      </c>
      <c r="B287" s="7">
        <v>55746</v>
      </c>
      <c r="C287" s="4">
        <v>102</v>
      </c>
    </row>
    <row r="288" spans="1:3" x14ac:dyDescent="0.45">
      <c r="A288" s="2">
        <v>22859</v>
      </c>
      <c r="B288" s="7">
        <v>55838</v>
      </c>
      <c r="C288" s="4">
        <v>92</v>
      </c>
    </row>
    <row r="289" spans="1:3" x14ac:dyDescent="0.45">
      <c r="A289" s="2">
        <v>22890</v>
      </c>
      <c r="B289" s="7">
        <v>55978</v>
      </c>
      <c r="C289" s="4">
        <v>140</v>
      </c>
    </row>
    <row r="290" spans="1:3" x14ac:dyDescent="0.45">
      <c r="A290" s="2">
        <v>22920</v>
      </c>
      <c r="B290" s="7">
        <v>56041</v>
      </c>
      <c r="C290" s="4">
        <v>63</v>
      </c>
    </row>
    <row r="291" spans="1:3" x14ac:dyDescent="0.45">
      <c r="A291" s="2">
        <v>22951</v>
      </c>
      <c r="B291" s="7">
        <v>56056</v>
      </c>
      <c r="C291" s="4">
        <v>15</v>
      </c>
    </row>
    <row r="292" spans="1:3" x14ac:dyDescent="0.45">
      <c r="A292" s="2">
        <v>22981</v>
      </c>
      <c r="B292" s="7">
        <v>56028</v>
      </c>
      <c r="C292" s="4">
        <v>-28</v>
      </c>
    </row>
    <row r="293" spans="1:3" x14ac:dyDescent="0.45">
      <c r="A293" s="2">
        <v>23012</v>
      </c>
      <c r="B293" s="7">
        <v>56115</v>
      </c>
      <c r="C293" s="4">
        <v>87</v>
      </c>
    </row>
    <row r="294" spans="1:3" x14ac:dyDescent="0.45">
      <c r="A294" s="2">
        <v>23043</v>
      </c>
      <c r="B294" s="7">
        <v>56230</v>
      </c>
      <c r="C294" s="4">
        <v>115</v>
      </c>
    </row>
    <row r="295" spans="1:3" x14ac:dyDescent="0.45">
      <c r="A295" s="2">
        <v>23071</v>
      </c>
      <c r="B295" s="7">
        <v>56320</v>
      </c>
      <c r="C295" s="4">
        <v>90</v>
      </c>
    </row>
    <row r="296" spans="1:3" x14ac:dyDescent="0.45">
      <c r="A296" s="2">
        <v>23102</v>
      </c>
      <c r="B296" s="7">
        <v>56580</v>
      </c>
      <c r="C296" s="4">
        <v>260</v>
      </c>
    </row>
    <row r="297" spans="1:3" x14ac:dyDescent="0.45">
      <c r="A297" s="2">
        <v>23132</v>
      </c>
      <c r="B297" s="7">
        <v>56616</v>
      </c>
      <c r="C297" s="4">
        <v>36</v>
      </c>
    </row>
    <row r="298" spans="1:3" x14ac:dyDescent="0.45">
      <c r="A298" s="2">
        <v>23163</v>
      </c>
      <c r="B298" s="7">
        <v>56659</v>
      </c>
      <c r="C298" s="4">
        <v>43</v>
      </c>
    </row>
    <row r="299" spans="1:3" x14ac:dyDescent="0.45">
      <c r="A299" s="2">
        <v>23193</v>
      </c>
      <c r="B299" s="7">
        <v>56794</v>
      </c>
      <c r="C299" s="4">
        <v>135</v>
      </c>
    </row>
    <row r="300" spans="1:3" x14ac:dyDescent="0.45">
      <c r="A300" s="2">
        <v>23224</v>
      </c>
      <c r="B300" s="7">
        <v>56910</v>
      </c>
      <c r="C300" s="4">
        <v>116</v>
      </c>
    </row>
    <row r="301" spans="1:3" x14ac:dyDescent="0.45">
      <c r="A301" s="2">
        <v>23255</v>
      </c>
      <c r="B301" s="7">
        <v>57078</v>
      </c>
      <c r="C301" s="4">
        <v>168</v>
      </c>
    </row>
    <row r="302" spans="1:3" x14ac:dyDescent="0.45">
      <c r="A302" s="2">
        <v>23285</v>
      </c>
      <c r="B302" s="7">
        <v>57283</v>
      </c>
      <c r="C302" s="4">
        <v>205</v>
      </c>
    </row>
    <row r="303" spans="1:3" x14ac:dyDescent="0.45">
      <c r="A303" s="2">
        <v>23316</v>
      </c>
      <c r="B303" s="7">
        <v>57255</v>
      </c>
      <c r="C303" s="4">
        <v>-28</v>
      </c>
    </row>
    <row r="304" spans="1:3" x14ac:dyDescent="0.45">
      <c r="A304" s="2">
        <v>23346</v>
      </c>
      <c r="B304" s="7">
        <v>57361</v>
      </c>
      <c r="C304" s="4">
        <v>106</v>
      </c>
    </row>
    <row r="305" spans="1:3" x14ac:dyDescent="0.45">
      <c r="A305" s="2">
        <v>23377</v>
      </c>
      <c r="B305" s="7">
        <v>57487</v>
      </c>
      <c r="C305" s="4">
        <v>126</v>
      </c>
    </row>
    <row r="306" spans="1:3" x14ac:dyDescent="0.45">
      <c r="A306" s="2">
        <v>23408</v>
      </c>
      <c r="B306" s="7">
        <v>57753</v>
      </c>
      <c r="C306" s="4">
        <v>266</v>
      </c>
    </row>
    <row r="307" spans="1:3" x14ac:dyDescent="0.45">
      <c r="A307" s="2">
        <v>23437</v>
      </c>
      <c r="B307" s="7">
        <v>57897</v>
      </c>
      <c r="C307" s="4">
        <v>144</v>
      </c>
    </row>
    <row r="308" spans="1:3" x14ac:dyDescent="0.45">
      <c r="A308" s="2">
        <v>23468</v>
      </c>
      <c r="B308" s="7">
        <v>57922</v>
      </c>
      <c r="C308" s="4">
        <v>25</v>
      </c>
    </row>
    <row r="309" spans="1:3" x14ac:dyDescent="0.45">
      <c r="A309" s="2">
        <v>23498</v>
      </c>
      <c r="B309" s="7">
        <v>58089</v>
      </c>
      <c r="C309" s="4">
        <v>167</v>
      </c>
    </row>
    <row r="310" spans="1:3" x14ac:dyDescent="0.45">
      <c r="A310" s="2">
        <v>23529</v>
      </c>
      <c r="B310" s="7">
        <v>58219</v>
      </c>
      <c r="C310" s="4">
        <v>130</v>
      </c>
    </row>
    <row r="311" spans="1:3" x14ac:dyDescent="0.45">
      <c r="A311" s="2">
        <v>23559</v>
      </c>
      <c r="B311" s="7">
        <v>58412</v>
      </c>
      <c r="C311" s="4">
        <v>193</v>
      </c>
    </row>
    <row r="312" spans="1:3" x14ac:dyDescent="0.45">
      <c r="A312" s="2">
        <v>23590</v>
      </c>
      <c r="B312" s="7">
        <v>58619</v>
      </c>
      <c r="C312" s="4">
        <v>207</v>
      </c>
    </row>
    <row r="313" spans="1:3" x14ac:dyDescent="0.45">
      <c r="A313" s="2">
        <v>23621</v>
      </c>
      <c r="B313" s="7">
        <v>58903</v>
      </c>
      <c r="C313" s="4">
        <v>284</v>
      </c>
    </row>
    <row r="314" spans="1:3" x14ac:dyDescent="0.45">
      <c r="A314" s="2">
        <v>23651</v>
      </c>
      <c r="B314" s="7">
        <v>58793</v>
      </c>
      <c r="C314" s="4">
        <v>-110</v>
      </c>
    </row>
    <row r="315" spans="1:3" x14ac:dyDescent="0.45">
      <c r="A315" s="2">
        <v>23682</v>
      </c>
      <c r="B315" s="7">
        <v>59218</v>
      </c>
      <c r="C315" s="4">
        <v>425</v>
      </c>
    </row>
    <row r="316" spans="1:3" x14ac:dyDescent="0.45">
      <c r="A316" s="2">
        <v>23712</v>
      </c>
      <c r="B316" s="7">
        <v>59421</v>
      </c>
      <c r="C316" s="4">
        <v>203</v>
      </c>
    </row>
    <row r="317" spans="1:3" x14ac:dyDescent="0.45">
      <c r="A317" s="2">
        <v>23743</v>
      </c>
      <c r="B317" s="7">
        <v>59582</v>
      </c>
      <c r="C317" s="4">
        <v>161</v>
      </c>
    </row>
    <row r="318" spans="1:3" x14ac:dyDescent="0.45">
      <c r="A318" s="2">
        <v>23774</v>
      </c>
      <c r="B318" s="7">
        <v>59800</v>
      </c>
      <c r="C318" s="4">
        <v>218</v>
      </c>
    </row>
    <row r="319" spans="1:3" x14ac:dyDescent="0.45">
      <c r="A319" s="2">
        <v>23802</v>
      </c>
      <c r="B319" s="7">
        <v>60003</v>
      </c>
      <c r="C319" s="4">
        <v>203</v>
      </c>
    </row>
    <row r="320" spans="1:3" x14ac:dyDescent="0.45">
      <c r="A320" s="2">
        <v>23833</v>
      </c>
      <c r="B320" s="7">
        <v>60259</v>
      </c>
      <c r="C320" s="4">
        <v>256</v>
      </c>
    </row>
    <row r="321" spans="1:3" x14ac:dyDescent="0.45">
      <c r="A321" s="2">
        <v>23863</v>
      </c>
      <c r="B321" s="7">
        <v>60491</v>
      </c>
      <c r="C321" s="4">
        <v>232</v>
      </c>
    </row>
    <row r="322" spans="1:3" x14ac:dyDescent="0.45">
      <c r="A322" s="2">
        <v>23894</v>
      </c>
      <c r="B322" s="7">
        <v>60690</v>
      </c>
      <c r="C322" s="4">
        <v>199</v>
      </c>
    </row>
    <row r="323" spans="1:3" x14ac:dyDescent="0.45">
      <c r="A323" s="2">
        <v>23924</v>
      </c>
      <c r="B323" s="7">
        <v>60965</v>
      </c>
      <c r="C323" s="4">
        <v>275</v>
      </c>
    </row>
    <row r="324" spans="1:3" x14ac:dyDescent="0.45">
      <c r="A324" s="2">
        <v>23955</v>
      </c>
      <c r="B324" s="7">
        <v>61228</v>
      </c>
      <c r="C324" s="4">
        <v>263</v>
      </c>
    </row>
    <row r="325" spans="1:3" x14ac:dyDescent="0.45">
      <c r="A325" s="2">
        <v>23986</v>
      </c>
      <c r="B325" s="7">
        <v>61490</v>
      </c>
      <c r="C325" s="4">
        <v>262</v>
      </c>
    </row>
    <row r="326" spans="1:3" x14ac:dyDescent="0.45">
      <c r="A326" s="2">
        <v>24016</v>
      </c>
      <c r="B326" s="7">
        <v>61719</v>
      </c>
      <c r="C326" s="4">
        <v>229</v>
      </c>
    </row>
    <row r="327" spans="1:3" x14ac:dyDescent="0.45">
      <c r="A327" s="2">
        <v>24047</v>
      </c>
      <c r="B327" s="7">
        <v>61996</v>
      </c>
      <c r="C327" s="4">
        <v>277</v>
      </c>
    </row>
    <row r="328" spans="1:3" x14ac:dyDescent="0.45">
      <c r="A328" s="2">
        <v>24077</v>
      </c>
      <c r="B328" s="7">
        <v>62322</v>
      </c>
      <c r="C328" s="4">
        <v>326</v>
      </c>
    </row>
    <row r="329" spans="1:3" x14ac:dyDescent="0.45">
      <c r="A329" s="2">
        <v>24108</v>
      </c>
      <c r="B329" s="7">
        <v>62529</v>
      </c>
      <c r="C329" s="4">
        <v>207</v>
      </c>
    </row>
    <row r="330" spans="1:3" x14ac:dyDescent="0.45">
      <c r="A330" s="2">
        <v>24139</v>
      </c>
      <c r="B330" s="7">
        <v>62796</v>
      </c>
      <c r="C330" s="4">
        <v>267</v>
      </c>
    </row>
    <row r="331" spans="1:3" x14ac:dyDescent="0.45">
      <c r="A331" s="2">
        <v>24167</v>
      </c>
      <c r="B331" s="7">
        <v>63192</v>
      </c>
      <c r="C331" s="4">
        <v>396</v>
      </c>
    </row>
    <row r="332" spans="1:3" x14ac:dyDescent="0.45">
      <c r="A332" s="2">
        <v>24198</v>
      </c>
      <c r="B332" s="7">
        <v>63437</v>
      </c>
      <c r="C332" s="4">
        <v>245</v>
      </c>
    </row>
    <row r="333" spans="1:3" x14ac:dyDescent="0.45">
      <c r="A333" s="2">
        <v>24228</v>
      </c>
      <c r="B333" s="7">
        <v>63712</v>
      </c>
      <c r="C333" s="4">
        <v>275</v>
      </c>
    </row>
    <row r="334" spans="1:3" x14ac:dyDescent="0.45">
      <c r="A334" s="2">
        <v>24259</v>
      </c>
      <c r="B334" s="7">
        <v>64111</v>
      </c>
      <c r="C334" s="4">
        <v>399</v>
      </c>
    </row>
    <row r="335" spans="1:3" x14ac:dyDescent="0.45">
      <c r="A335" s="2">
        <v>24289</v>
      </c>
      <c r="B335" s="7">
        <v>64301</v>
      </c>
      <c r="C335" s="4">
        <v>190</v>
      </c>
    </row>
    <row r="336" spans="1:3" x14ac:dyDescent="0.45">
      <c r="A336" s="2">
        <v>24320</v>
      </c>
      <c r="B336" s="7">
        <v>64507</v>
      </c>
      <c r="C336" s="4">
        <v>206</v>
      </c>
    </row>
    <row r="337" spans="1:3" x14ac:dyDescent="0.45">
      <c r="A337" s="2">
        <v>24351</v>
      </c>
      <c r="B337" s="7">
        <v>64643</v>
      </c>
      <c r="C337" s="4">
        <v>136</v>
      </c>
    </row>
    <row r="338" spans="1:3" x14ac:dyDescent="0.45">
      <c r="A338" s="2">
        <v>24381</v>
      </c>
      <c r="B338" s="7">
        <v>64854</v>
      </c>
      <c r="C338" s="4">
        <v>211</v>
      </c>
    </row>
    <row r="339" spans="1:3" x14ac:dyDescent="0.45">
      <c r="A339" s="2">
        <v>24412</v>
      </c>
      <c r="B339" s="7">
        <v>65019</v>
      </c>
      <c r="C339" s="4">
        <v>165</v>
      </c>
    </row>
    <row r="340" spans="1:3" x14ac:dyDescent="0.45">
      <c r="A340" s="2">
        <v>24442</v>
      </c>
      <c r="B340" s="7">
        <v>65199</v>
      </c>
      <c r="C340" s="4">
        <v>180</v>
      </c>
    </row>
    <row r="341" spans="1:3" x14ac:dyDescent="0.45">
      <c r="A341" s="2">
        <v>24473</v>
      </c>
      <c r="B341" s="7">
        <v>65407</v>
      </c>
      <c r="C341" s="4">
        <v>208</v>
      </c>
    </row>
    <row r="342" spans="1:3" x14ac:dyDescent="0.45">
      <c r="A342" s="2">
        <v>24504</v>
      </c>
      <c r="B342" s="7">
        <v>65429</v>
      </c>
      <c r="C342" s="4">
        <v>22</v>
      </c>
    </row>
    <row r="343" spans="1:3" x14ac:dyDescent="0.45">
      <c r="A343" s="2">
        <v>24532</v>
      </c>
      <c r="B343" s="7">
        <v>65530</v>
      </c>
      <c r="C343" s="4">
        <v>101</v>
      </c>
    </row>
    <row r="344" spans="1:3" x14ac:dyDescent="0.45">
      <c r="A344" s="2">
        <v>24563</v>
      </c>
      <c r="B344" s="7">
        <v>65466</v>
      </c>
      <c r="C344" s="4">
        <v>-64</v>
      </c>
    </row>
    <row r="345" spans="1:3" x14ac:dyDescent="0.45">
      <c r="A345" s="2">
        <v>24593</v>
      </c>
      <c r="B345" s="7">
        <v>65620</v>
      </c>
      <c r="C345" s="4">
        <v>154</v>
      </c>
    </row>
    <row r="346" spans="1:3" x14ac:dyDescent="0.45">
      <c r="A346" s="2">
        <v>24624</v>
      </c>
      <c r="B346" s="7">
        <v>65750</v>
      </c>
      <c r="C346" s="4">
        <v>130</v>
      </c>
    </row>
    <row r="347" spans="1:3" x14ac:dyDescent="0.45">
      <c r="A347" s="2">
        <v>24654</v>
      </c>
      <c r="B347" s="7">
        <v>65888</v>
      </c>
      <c r="C347" s="4">
        <v>138</v>
      </c>
    </row>
    <row r="348" spans="1:3" x14ac:dyDescent="0.45">
      <c r="A348" s="2">
        <v>24685</v>
      </c>
      <c r="B348" s="7">
        <v>66143</v>
      </c>
      <c r="C348" s="4">
        <v>255</v>
      </c>
    </row>
    <row r="349" spans="1:3" x14ac:dyDescent="0.45">
      <c r="A349" s="2">
        <v>24716</v>
      </c>
      <c r="B349" s="7">
        <v>66164</v>
      </c>
      <c r="C349" s="4">
        <v>21</v>
      </c>
    </row>
    <row r="350" spans="1:3" x14ac:dyDescent="0.45">
      <c r="A350" s="2">
        <v>24746</v>
      </c>
      <c r="B350" s="7">
        <v>66225</v>
      </c>
      <c r="C350" s="4">
        <v>61</v>
      </c>
    </row>
    <row r="351" spans="1:3" x14ac:dyDescent="0.45">
      <c r="A351" s="2">
        <v>24777</v>
      </c>
      <c r="B351" s="7">
        <v>66703</v>
      </c>
      <c r="C351" s="4">
        <v>478</v>
      </c>
    </row>
    <row r="352" spans="1:3" x14ac:dyDescent="0.45">
      <c r="A352" s="2">
        <v>24807</v>
      </c>
      <c r="B352" s="7">
        <v>66900</v>
      </c>
      <c r="C352" s="4">
        <v>197</v>
      </c>
    </row>
    <row r="353" spans="1:3" x14ac:dyDescent="0.45">
      <c r="A353" s="2">
        <v>24838</v>
      </c>
      <c r="B353" s="7">
        <v>66804</v>
      </c>
      <c r="C353" s="4">
        <v>-96</v>
      </c>
    </row>
    <row r="354" spans="1:3" x14ac:dyDescent="0.45">
      <c r="A354" s="2">
        <v>24869</v>
      </c>
      <c r="B354" s="7">
        <v>67215</v>
      </c>
      <c r="C354" s="4">
        <v>411</v>
      </c>
    </row>
    <row r="355" spans="1:3" x14ac:dyDescent="0.45">
      <c r="A355" s="2">
        <v>24898</v>
      </c>
      <c r="B355" s="7">
        <v>67295</v>
      </c>
      <c r="C355" s="4">
        <v>80</v>
      </c>
    </row>
    <row r="356" spans="1:3" x14ac:dyDescent="0.45">
      <c r="A356" s="2">
        <v>24929</v>
      </c>
      <c r="B356" s="7">
        <v>67556</v>
      </c>
      <c r="C356" s="4">
        <v>261</v>
      </c>
    </row>
    <row r="357" spans="1:3" x14ac:dyDescent="0.45">
      <c r="A357" s="2">
        <v>24959</v>
      </c>
      <c r="B357" s="7">
        <v>67652</v>
      </c>
      <c r="C357" s="4">
        <v>96</v>
      </c>
    </row>
    <row r="358" spans="1:3" x14ac:dyDescent="0.45">
      <c r="A358" s="2">
        <v>24990</v>
      </c>
      <c r="B358" s="7">
        <v>67905</v>
      </c>
      <c r="C358" s="4">
        <v>253</v>
      </c>
    </row>
    <row r="359" spans="1:3" x14ac:dyDescent="0.45">
      <c r="A359" s="2">
        <v>25020</v>
      </c>
      <c r="B359" s="7">
        <v>68126</v>
      </c>
      <c r="C359" s="4">
        <v>221</v>
      </c>
    </row>
    <row r="360" spans="1:3" x14ac:dyDescent="0.45">
      <c r="A360" s="2">
        <v>25051</v>
      </c>
      <c r="B360" s="7">
        <v>68330</v>
      </c>
      <c r="C360" s="4">
        <v>204</v>
      </c>
    </row>
    <row r="361" spans="1:3" x14ac:dyDescent="0.45">
      <c r="A361" s="2">
        <v>25082</v>
      </c>
      <c r="B361" s="7">
        <v>68484</v>
      </c>
      <c r="C361" s="4">
        <v>154</v>
      </c>
    </row>
    <row r="362" spans="1:3" x14ac:dyDescent="0.45">
      <c r="A362" s="2">
        <v>25112</v>
      </c>
      <c r="B362" s="7">
        <v>68721</v>
      </c>
      <c r="C362" s="4">
        <v>237</v>
      </c>
    </row>
    <row r="363" spans="1:3" x14ac:dyDescent="0.45">
      <c r="A363" s="2">
        <v>25143</v>
      </c>
      <c r="B363" s="7">
        <v>68984</v>
      </c>
      <c r="C363" s="4">
        <v>263</v>
      </c>
    </row>
    <row r="364" spans="1:3" x14ac:dyDescent="0.45">
      <c r="A364" s="2">
        <v>25173</v>
      </c>
      <c r="B364" s="7">
        <v>69248</v>
      </c>
      <c r="C364" s="4">
        <v>264</v>
      </c>
    </row>
    <row r="365" spans="1:3" x14ac:dyDescent="0.45">
      <c r="A365" s="2">
        <v>25204</v>
      </c>
      <c r="B365" s="7">
        <v>69439</v>
      </c>
      <c r="C365" s="4">
        <v>191</v>
      </c>
    </row>
    <row r="366" spans="1:3" x14ac:dyDescent="0.45">
      <c r="A366" s="2">
        <v>25235</v>
      </c>
      <c r="B366" s="7">
        <v>69699</v>
      </c>
      <c r="C366" s="4">
        <v>260</v>
      </c>
    </row>
    <row r="367" spans="1:3" x14ac:dyDescent="0.45">
      <c r="A367" s="2">
        <v>25263</v>
      </c>
      <c r="B367" s="7">
        <v>69905</v>
      </c>
      <c r="C367" s="4">
        <v>206</v>
      </c>
    </row>
    <row r="368" spans="1:3" x14ac:dyDescent="0.45">
      <c r="A368" s="2">
        <v>25294</v>
      </c>
      <c r="B368" s="7">
        <v>70072</v>
      </c>
      <c r="C368" s="4">
        <v>167</v>
      </c>
    </row>
    <row r="369" spans="1:3" x14ac:dyDescent="0.45">
      <c r="A369" s="2">
        <v>25324</v>
      </c>
      <c r="B369" s="7">
        <v>70328</v>
      </c>
      <c r="C369" s="4">
        <v>256</v>
      </c>
    </row>
    <row r="370" spans="1:3" x14ac:dyDescent="0.45">
      <c r="A370" s="2">
        <v>25355</v>
      </c>
      <c r="B370" s="7">
        <v>70636</v>
      </c>
      <c r="C370" s="4">
        <v>308</v>
      </c>
    </row>
    <row r="371" spans="1:3" x14ac:dyDescent="0.45">
      <c r="A371" s="2">
        <v>25385</v>
      </c>
      <c r="B371" s="7">
        <v>70729</v>
      </c>
      <c r="C371" s="4">
        <v>93</v>
      </c>
    </row>
    <row r="372" spans="1:3" x14ac:dyDescent="0.45">
      <c r="A372" s="2">
        <v>25416</v>
      </c>
      <c r="B372" s="7">
        <v>71008</v>
      </c>
      <c r="C372" s="4">
        <v>279</v>
      </c>
    </row>
    <row r="373" spans="1:3" x14ac:dyDescent="0.45">
      <c r="A373" s="2">
        <v>25447</v>
      </c>
      <c r="B373" s="7">
        <v>70914</v>
      </c>
      <c r="C373" s="4">
        <v>-94</v>
      </c>
    </row>
    <row r="374" spans="1:3" x14ac:dyDescent="0.45">
      <c r="A374" s="2">
        <v>25477</v>
      </c>
      <c r="B374" s="7">
        <v>71121</v>
      </c>
      <c r="C374" s="4">
        <v>207</v>
      </c>
    </row>
    <row r="375" spans="1:3" x14ac:dyDescent="0.45">
      <c r="A375" s="2">
        <v>25508</v>
      </c>
      <c r="B375" s="7">
        <v>71086</v>
      </c>
      <c r="C375" s="4">
        <v>-35</v>
      </c>
    </row>
    <row r="376" spans="1:3" x14ac:dyDescent="0.45">
      <c r="A376" s="2">
        <v>25538</v>
      </c>
      <c r="B376" s="7">
        <v>71241</v>
      </c>
      <c r="C376" s="4">
        <v>155</v>
      </c>
    </row>
    <row r="377" spans="1:3" x14ac:dyDescent="0.45">
      <c r="A377" s="2">
        <v>25569</v>
      </c>
      <c r="B377" s="7">
        <v>71176</v>
      </c>
      <c r="C377" s="4">
        <v>-65</v>
      </c>
    </row>
    <row r="378" spans="1:3" x14ac:dyDescent="0.45">
      <c r="A378" s="2">
        <v>25600</v>
      </c>
      <c r="B378" s="7">
        <v>71305</v>
      </c>
      <c r="C378" s="4">
        <v>129</v>
      </c>
    </row>
    <row r="379" spans="1:3" x14ac:dyDescent="0.45">
      <c r="A379" s="2">
        <v>25628</v>
      </c>
      <c r="B379" s="7">
        <v>71451</v>
      </c>
      <c r="C379" s="4">
        <v>146</v>
      </c>
    </row>
    <row r="380" spans="1:3" x14ac:dyDescent="0.45">
      <c r="A380" s="2">
        <v>25659</v>
      </c>
      <c r="B380" s="7">
        <v>71348</v>
      </c>
      <c r="C380" s="4">
        <v>-103</v>
      </c>
    </row>
    <row r="381" spans="1:3" x14ac:dyDescent="0.45">
      <c r="A381" s="2">
        <v>25689</v>
      </c>
      <c r="B381" s="7">
        <v>71124</v>
      </c>
      <c r="C381" s="4">
        <v>-224</v>
      </c>
    </row>
    <row r="382" spans="1:3" x14ac:dyDescent="0.45">
      <c r="A382" s="2">
        <v>25720</v>
      </c>
      <c r="B382" s="7">
        <v>71029</v>
      </c>
      <c r="C382" s="4">
        <v>-95</v>
      </c>
    </row>
    <row r="383" spans="1:3" x14ac:dyDescent="0.45">
      <c r="A383" s="2">
        <v>25750</v>
      </c>
      <c r="B383" s="7">
        <v>71053</v>
      </c>
      <c r="C383" s="4">
        <v>24</v>
      </c>
    </row>
    <row r="384" spans="1:3" x14ac:dyDescent="0.45">
      <c r="A384" s="2">
        <v>25781</v>
      </c>
      <c r="B384" s="7">
        <v>70937</v>
      </c>
      <c r="C384" s="4">
        <v>-116</v>
      </c>
    </row>
    <row r="385" spans="1:3" x14ac:dyDescent="0.45">
      <c r="A385" s="2">
        <v>25812</v>
      </c>
      <c r="B385" s="7">
        <v>70944</v>
      </c>
      <c r="C385" s="4">
        <v>7</v>
      </c>
    </row>
    <row r="386" spans="1:3" x14ac:dyDescent="0.45">
      <c r="A386" s="2">
        <v>25842</v>
      </c>
      <c r="B386" s="7">
        <v>70521</v>
      </c>
      <c r="C386" s="4">
        <v>-423</v>
      </c>
    </row>
    <row r="387" spans="1:3" x14ac:dyDescent="0.45">
      <c r="A387" s="2">
        <v>25873</v>
      </c>
      <c r="B387" s="7">
        <v>70409</v>
      </c>
      <c r="C387" s="4">
        <v>-112</v>
      </c>
    </row>
    <row r="388" spans="1:3" x14ac:dyDescent="0.45">
      <c r="A388" s="2">
        <v>25903</v>
      </c>
      <c r="B388" s="7">
        <v>70792</v>
      </c>
      <c r="C388" s="4">
        <v>383</v>
      </c>
    </row>
    <row r="389" spans="1:3" x14ac:dyDescent="0.45">
      <c r="A389" s="2">
        <v>25934</v>
      </c>
      <c r="B389" s="7">
        <v>70865</v>
      </c>
      <c r="C389" s="4">
        <v>73</v>
      </c>
    </row>
    <row r="390" spans="1:3" x14ac:dyDescent="0.45">
      <c r="A390" s="2">
        <v>25965</v>
      </c>
      <c r="B390" s="7">
        <v>70807</v>
      </c>
      <c r="C390" s="4">
        <v>-58</v>
      </c>
    </row>
    <row r="391" spans="1:3" x14ac:dyDescent="0.45">
      <c r="A391" s="2">
        <v>25993</v>
      </c>
      <c r="B391" s="7">
        <v>70860</v>
      </c>
      <c r="C391" s="4">
        <v>53</v>
      </c>
    </row>
    <row r="392" spans="1:3" x14ac:dyDescent="0.45">
      <c r="A392" s="2">
        <v>26024</v>
      </c>
      <c r="B392" s="7">
        <v>71036</v>
      </c>
      <c r="C392" s="4">
        <v>176</v>
      </c>
    </row>
    <row r="393" spans="1:3" x14ac:dyDescent="0.45">
      <c r="A393" s="2">
        <v>26054</v>
      </c>
      <c r="B393" s="7">
        <v>71247</v>
      </c>
      <c r="C393" s="4">
        <v>211</v>
      </c>
    </row>
    <row r="394" spans="1:3" x14ac:dyDescent="0.45">
      <c r="A394" s="2">
        <v>26085</v>
      </c>
      <c r="B394" s="7">
        <v>71254</v>
      </c>
      <c r="C394" s="4">
        <v>7</v>
      </c>
    </row>
    <row r="395" spans="1:3" x14ac:dyDescent="0.45">
      <c r="A395" s="2">
        <v>26115</v>
      </c>
      <c r="B395" s="7">
        <v>71315</v>
      </c>
      <c r="C395" s="4">
        <v>61</v>
      </c>
    </row>
    <row r="396" spans="1:3" x14ac:dyDescent="0.45">
      <c r="A396" s="2">
        <v>26146</v>
      </c>
      <c r="B396" s="7">
        <v>71373</v>
      </c>
      <c r="C396" s="4">
        <v>58</v>
      </c>
    </row>
    <row r="397" spans="1:3" x14ac:dyDescent="0.45">
      <c r="A397" s="2">
        <v>26177</v>
      </c>
      <c r="B397" s="7">
        <v>71614</v>
      </c>
      <c r="C397" s="4">
        <v>241</v>
      </c>
    </row>
    <row r="398" spans="1:3" x14ac:dyDescent="0.45">
      <c r="A398" s="2">
        <v>26207</v>
      </c>
      <c r="B398" s="7">
        <v>71642</v>
      </c>
      <c r="C398" s="4">
        <v>28</v>
      </c>
    </row>
    <row r="399" spans="1:3" x14ac:dyDescent="0.45">
      <c r="A399" s="2">
        <v>26238</v>
      </c>
      <c r="B399" s="7">
        <v>71847</v>
      </c>
      <c r="C399" s="4">
        <v>205</v>
      </c>
    </row>
    <row r="400" spans="1:3" x14ac:dyDescent="0.45">
      <c r="A400" s="2">
        <v>26268</v>
      </c>
      <c r="B400" s="7">
        <v>72109</v>
      </c>
      <c r="C400" s="4">
        <v>262</v>
      </c>
    </row>
    <row r="401" spans="1:3" x14ac:dyDescent="0.45">
      <c r="A401" s="2">
        <v>26299</v>
      </c>
      <c r="B401" s="7">
        <v>72441</v>
      </c>
      <c r="C401" s="4">
        <v>332</v>
      </c>
    </row>
    <row r="402" spans="1:3" x14ac:dyDescent="0.45">
      <c r="A402" s="2">
        <v>26330</v>
      </c>
      <c r="B402" s="7">
        <v>72648</v>
      </c>
      <c r="C402" s="4">
        <v>207</v>
      </c>
    </row>
    <row r="403" spans="1:3" x14ac:dyDescent="0.45">
      <c r="A403" s="2">
        <v>26359</v>
      </c>
      <c r="B403" s="7">
        <v>72944</v>
      </c>
      <c r="C403" s="4">
        <v>296</v>
      </c>
    </row>
    <row r="404" spans="1:3" x14ac:dyDescent="0.45">
      <c r="A404" s="2">
        <v>26390</v>
      </c>
      <c r="B404" s="7">
        <v>73162</v>
      </c>
      <c r="C404" s="4">
        <v>218</v>
      </c>
    </row>
    <row r="405" spans="1:3" x14ac:dyDescent="0.45">
      <c r="A405" s="2">
        <v>26420</v>
      </c>
      <c r="B405" s="7">
        <v>73469</v>
      </c>
      <c r="C405" s="4">
        <v>307</v>
      </c>
    </row>
    <row r="406" spans="1:3" x14ac:dyDescent="0.45">
      <c r="A406" s="2">
        <v>26451</v>
      </c>
      <c r="B406" s="7">
        <v>73758</v>
      </c>
      <c r="C406" s="4">
        <v>289</v>
      </c>
    </row>
    <row r="407" spans="1:3" x14ac:dyDescent="0.45">
      <c r="A407" s="2">
        <v>26481</v>
      </c>
      <c r="B407" s="7">
        <v>73709</v>
      </c>
      <c r="C407" s="4">
        <v>-49</v>
      </c>
    </row>
    <row r="408" spans="1:3" x14ac:dyDescent="0.45">
      <c r="A408" s="2">
        <v>26512</v>
      </c>
      <c r="B408" s="7">
        <v>74141</v>
      </c>
      <c r="C408" s="4">
        <v>432</v>
      </c>
    </row>
    <row r="409" spans="1:3" x14ac:dyDescent="0.45">
      <c r="A409" s="2">
        <v>26543</v>
      </c>
      <c r="B409" s="7">
        <v>74264</v>
      </c>
      <c r="C409" s="4">
        <v>123</v>
      </c>
    </row>
    <row r="410" spans="1:3" x14ac:dyDescent="0.45">
      <c r="A410" s="2">
        <v>26573</v>
      </c>
      <c r="B410" s="7">
        <v>74674</v>
      </c>
      <c r="C410" s="4">
        <v>410</v>
      </c>
    </row>
    <row r="411" spans="1:3" x14ac:dyDescent="0.45">
      <c r="A411" s="2">
        <v>26604</v>
      </c>
      <c r="B411" s="7">
        <v>74973</v>
      </c>
      <c r="C411" s="4">
        <v>299</v>
      </c>
    </row>
    <row r="412" spans="1:3" x14ac:dyDescent="0.45">
      <c r="A412" s="2">
        <v>26634</v>
      </c>
      <c r="B412" s="7">
        <v>75268</v>
      </c>
      <c r="C412" s="4">
        <v>295</v>
      </c>
    </row>
    <row r="413" spans="1:3" x14ac:dyDescent="0.45">
      <c r="A413" s="2">
        <v>26665</v>
      </c>
      <c r="B413" s="7">
        <v>75617</v>
      </c>
      <c r="C413" s="4">
        <v>349</v>
      </c>
    </row>
    <row r="414" spans="1:3" x14ac:dyDescent="0.45">
      <c r="A414" s="2">
        <v>26696</v>
      </c>
      <c r="B414" s="7">
        <v>76014</v>
      </c>
      <c r="C414" s="4">
        <v>397</v>
      </c>
    </row>
    <row r="415" spans="1:3" x14ac:dyDescent="0.45">
      <c r="A415" s="2">
        <v>26724</v>
      </c>
      <c r="B415" s="7">
        <v>76284</v>
      </c>
      <c r="C415" s="4">
        <v>270</v>
      </c>
    </row>
    <row r="416" spans="1:3" x14ac:dyDescent="0.45">
      <c r="A416" s="2">
        <v>26755</v>
      </c>
      <c r="B416" s="7">
        <v>76455</v>
      </c>
      <c r="C416" s="4">
        <v>171</v>
      </c>
    </row>
    <row r="417" spans="1:3" x14ac:dyDescent="0.45">
      <c r="A417" s="2">
        <v>26785</v>
      </c>
      <c r="B417" s="7">
        <v>76648</v>
      </c>
      <c r="C417" s="4">
        <v>193</v>
      </c>
    </row>
    <row r="418" spans="1:3" x14ac:dyDescent="0.45">
      <c r="A418" s="2">
        <v>26816</v>
      </c>
      <c r="B418" s="7">
        <v>76887</v>
      </c>
      <c r="C418" s="4">
        <v>239</v>
      </c>
    </row>
    <row r="419" spans="1:3" x14ac:dyDescent="0.45">
      <c r="A419" s="2">
        <v>26846</v>
      </c>
      <c r="B419" s="7">
        <v>76913</v>
      </c>
      <c r="C419" s="4">
        <v>26</v>
      </c>
    </row>
    <row r="420" spans="1:3" x14ac:dyDescent="0.45">
      <c r="A420" s="2">
        <v>26877</v>
      </c>
      <c r="B420" s="7">
        <v>77168</v>
      </c>
      <c r="C420" s="4">
        <v>255</v>
      </c>
    </row>
    <row r="421" spans="1:3" x14ac:dyDescent="0.45">
      <c r="A421" s="2">
        <v>26908</v>
      </c>
      <c r="B421" s="7">
        <v>77276</v>
      </c>
      <c r="C421" s="4">
        <v>108</v>
      </c>
    </row>
    <row r="422" spans="1:3" x14ac:dyDescent="0.45">
      <c r="A422" s="2">
        <v>26938</v>
      </c>
      <c r="B422" s="7">
        <v>77607</v>
      </c>
      <c r="C422" s="4">
        <v>331</v>
      </c>
    </row>
    <row r="423" spans="1:3" x14ac:dyDescent="0.45">
      <c r="A423" s="2">
        <v>26969</v>
      </c>
      <c r="B423" s="7">
        <v>77920</v>
      </c>
      <c r="C423" s="4">
        <v>313</v>
      </c>
    </row>
    <row r="424" spans="1:3" x14ac:dyDescent="0.45">
      <c r="A424" s="2">
        <v>26999</v>
      </c>
      <c r="B424" s="7">
        <v>78031</v>
      </c>
      <c r="C424" s="4">
        <v>111</v>
      </c>
    </row>
    <row r="425" spans="1:3" x14ac:dyDescent="0.45">
      <c r="A425" s="2">
        <v>27030</v>
      </c>
      <c r="B425" s="7">
        <v>78100</v>
      </c>
      <c r="C425" s="4">
        <v>69</v>
      </c>
    </row>
    <row r="426" spans="1:3" x14ac:dyDescent="0.45">
      <c r="A426" s="2">
        <v>27061</v>
      </c>
      <c r="B426" s="7">
        <v>78254</v>
      </c>
      <c r="C426" s="4">
        <v>154</v>
      </c>
    </row>
    <row r="427" spans="1:3" x14ac:dyDescent="0.45">
      <c r="A427" s="2">
        <v>27089</v>
      </c>
      <c r="B427" s="7">
        <v>78296</v>
      </c>
      <c r="C427" s="4">
        <v>42</v>
      </c>
    </row>
    <row r="428" spans="1:3" x14ac:dyDescent="0.45">
      <c r="A428" s="2">
        <v>27120</v>
      </c>
      <c r="B428" s="7">
        <v>78382</v>
      </c>
      <c r="C428" s="4">
        <v>86</v>
      </c>
    </row>
    <row r="429" spans="1:3" x14ac:dyDescent="0.45">
      <c r="A429" s="2">
        <v>27150</v>
      </c>
      <c r="B429" s="7">
        <v>78549</v>
      </c>
      <c r="C429" s="4">
        <v>167</v>
      </c>
    </row>
    <row r="430" spans="1:3" x14ac:dyDescent="0.45">
      <c r="A430" s="2">
        <v>27181</v>
      </c>
      <c r="B430" s="7">
        <v>78604</v>
      </c>
      <c r="C430" s="4">
        <v>55</v>
      </c>
    </row>
    <row r="431" spans="1:3" x14ac:dyDescent="0.45">
      <c r="A431" s="2">
        <v>27211</v>
      </c>
      <c r="B431" s="7">
        <v>78636</v>
      </c>
      <c r="C431" s="4">
        <v>32</v>
      </c>
    </row>
    <row r="432" spans="1:3" x14ac:dyDescent="0.45">
      <c r="A432" s="2">
        <v>27242</v>
      </c>
      <c r="B432" s="7">
        <v>78619</v>
      </c>
      <c r="C432" s="4">
        <v>-17</v>
      </c>
    </row>
    <row r="433" spans="1:3" x14ac:dyDescent="0.45">
      <c r="A433" s="2">
        <v>27273</v>
      </c>
      <c r="B433" s="7">
        <v>78610</v>
      </c>
      <c r="C433" s="4">
        <v>-9</v>
      </c>
    </row>
    <row r="434" spans="1:3" x14ac:dyDescent="0.45">
      <c r="A434" s="2">
        <v>27303</v>
      </c>
      <c r="B434" s="7">
        <v>78630</v>
      </c>
      <c r="C434" s="4">
        <v>20</v>
      </c>
    </row>
    <row r="435" spans="1:3" x14ac:dyDescent="0.45">
      <c r="A435" s="2">
        <v>27334</v>
      </c>
      <c r="B435" s="7">
        <v>78265</v>
      </c>
      <c r="C435" s="4">
        <v>-365</v>
      </c>
    </row>
    <row r="436" spans="1:3" x14ac:dyDescent="0.45">
      <c r="A436" s="2">
        <v>27364</v>
      </c>
      <c r="B436" s="7">
        <v>77652</v>
      </c>
      <c r="C436" s="4">
        <v>-613</v>
      </c>
    </row>
    <row r="437" spans="1:3" x14ac:dyDescent="0.45">
      <c r="A437" s="2">
        <v>27395</v>
      </c>
      <c r="B437" s="7">
        <v>77293</v>
      </c>
      <c r="C437" s="4">
        <v>-359</v>
      </c>
    </row>
    <row r="438" spans="1:3" x14ac:dyDescent="0.45">
      <c r="A438" s="2">
        <v>27426</v>
      </c>
      <c r="B438" s="7">
        <v>76918</v>
      </c>
      <c r="C438" s="4">
        <v>-375</v>
      </c>
    </row>
    <row r="439" spans="1:3" x14ac:dyDescent="0.45">
      <c r="A439" s="2">
        <v>27454</v>
      </c>
      <c r="B439" s="7">
        <v>76648</v>
      </c>
      <c r="C439" s="4">
        <v>-270</v>
      </c>
    </row>
    <row r="440" spans="1:3" x14ac:dyDescent="0.45">
      <c r="A440" s="2">
        <v>27485</v>
      </c>
      <c r="B440" s="7">
        <v>76460</v>
      </c>
      <c r="C440" s="4">
        <v>-188</v>
      </c>
    </row>
    <row r="441" spans="1:3" x14ac:dyDescent="0.45">
      <c r="A441" s="2">
        <v>27515</v>
      </c>
      <c r="B441" s="7">
        <v>76624</v>
      </c>
      <c r="C441" s="4">
        <v>164</v>
      </c>
    </row>
    <row r="442" spans="1:3" x14ac:dyDescent="0.45">
      <c r="A442" s="2">
        <v>27546</v>
      </c>
      <c r="B442" s="7">
        <v>76521</v>
      </c>
      <c r="C442" s="4">
        <v>-103</v>
      </c>
    </row>
    <row r="443" spans="1:3" x14ac:dyDescent="0.45">
      <c r="A443" s="2">
        <v>27576</v>
      </c>
      <c r="B443" s="7">
        <v>76770</v>
      </c>
      <c r="C443" s="4">
        <v>249</v>
      </c>
    </row>
    <row r="444" spans="1:3" x14ac:dyDescent="0.45">
      <c r="A444" s="2">
        <v>27607</v>
      </c>
      <c r="B444" s="7">
        <v>77153</v>
      </c>
      <c r="C444" s="4">
        <v>383</v>
      </c>
    </row>
    <row r="445" spans="1:3" x14ac:dyDescent="0.45">
      <c r="A445" s="2">
        <v>27638</v>
      </c>
      <c r="B445" s="7">
        <v>77228</v>
      </c>
      <c r="C445" s="4">
        <v>75</v>
      </c>
    </row>
    <row r="446" spans="1:3" x14ac:dyDescent="0.45">
      <c r="A446" s="2">
        <v>27668</v>
      </c>
      <c r="B446" s="7">
        <v>77540</v>
      </c>
      <c r="C446" s="4">
        <v>312</v>
      </c>
    </row>
    <row r="447" spans="1:3" x14ac:dyDescent="0.45">
      <c r="A447" s="2">
        <v>27699</v>
      </c>
      <c r="B447" s="7">
        <v>77685</v>
      </c>
      <c r="C447" s="4">
        <v>145</v>
      </c>
    </row>
    <row r="448" spans="1:3" x14ac:dyDescent="0.45">
      <c r="A448" s="2">
        <v>27729</v>
      </c>
      <c r="B448" s="7">
        <v>78017</v>
      </c>
      <c r="C448" s="4">
        <v>332</v>
      </c>
    </row>
    <row r="449" spans="1:3" x14ac:dyDescent="0.45">
      <c r="A449" s="2">
        <v>27760</v>
      </c>
      <c r="B449" s="7">
        <v>78503</v>
      </c>
      <c r="C449" s="4">
        <v>486</v>
      </c>
    </row>
    <row r="450" spans="1:3" x14ac:dyDescent="0.45">
      <c r="A450" s="2">
        <v>27791</v>
      </c>
      <c r="B450" s="7">
        <v>78816</v>
      </c>
      <c r="C450" s="4">
        <v>313</v>
      </c>
    </row>
    <row r="451" spans="1:3" x14ac:dyDescent="0.45">
      <c r="A451" s="2">
        <v>27820</v>
      </c>
      <c r="B451" s="7">
        <v>79048</v>
      </c>
      <c r="C451" s="4">
        <v>232</v>
      </c>
    </row>
    <row r="452" spans="1:3" x14ac:dyDescent="0.45">
      <c r="A452" s="2">
        <v>27851</v>
      </c>
      <c r="B452" s="7">
        <v>79292</v>
      </c>
      <c r="C452" s="4">
        <v>244</v>
      </c>
    </row>
    <row r="453" spans="1:3" x14ac:dyDescent="0.45">
      <c r="A453" s="2">
        <v>27881</v>
      </c>
      <c r="B453" s="7">
        <v>79312</v>
      </c>
      <c r="C453" s="4">
        <v>20</v>
      </c>
    </row>
    <row r="454" spans="1:3" x14ac:dyDescent="0.45">
      <c r="A454" s="2">
        <v>27912</v>
      </c>
      <c r="B454" s="7">
        <v>79376</v>
      </c>
      <c r="C454" s="4">
        <v>64</v>
      </c>
    </row>
    <row r="455" spans="1:3" x14ac:dyDescent="0.45">
      <c r="A455" s="2">
        <v>27942</v>
      </c>
      <c r="B455" s="7">
        <v>79547</v>
      </c>
      <c r="C455" s="4">
        <v>171</v>
      </c>
    </row>
    <row r="456" spans="1:3" x14ac:dyDescent="0.45">
      <c r="A456" s="2">
        <v>27973</v>
      </c>
      <c r="B456" s="7">
        <v>79704</v>
      </c>
      <c r="C456" s="4">
        <v>157</v>
      </c>
    </row>
    <row r="457" spans="1:3" x14ac:dyDescent="0.45">
      <c r="A457" s="2">
        <v>28004</v>
      </c>
      <c r="B457" s="7">
        <v>79892</v>
      </c>
      <c r="C457" s="4">
        <v>188</v>
      </c>
    </row>
    <row r="458" spans="1:3" x14ac:dyDescent="0.45">
      <c r="A458" s="2">
        <v>28034</v>
      </c>
      <c r="B458" s="7">
        <v>79911</v>
      </c>
      <c r="C458" s="4">
        <v>19</v>
      </c>
    </row>
    <row r="459" spans="1:3" x14ac:dyDescent="0.45">
      <c r="A459" s="2">
        <v>28065</v>
      </c>
      <c r="B459" s="7">
        <v>80240</v>
      </c>
      <c r="C459" s="4">
        <v>329</v>
      </c>
    </row>
    <row r="460" spans="1:3" x14ac:dyDescent="0.45">
      <c r="A460" s="2">
        <v>28095</v>
      </c>
      <c r="B460" s="7">
        <v>80448</v>
      </c>
      <c r="C460" s="4">
        <v>208</v>
      </c>
    </row>
    <row r="461" spans="1:3" x14ac:dyDescent="0.45">
      <c r="A461" s="2">
        <v>28126</v>
      </c>
      <c r="B461" s="7">
        <v>80690</v>
      </c>
      <c r="C461" s="4">
        <v>242</v>
      </c>
    </row>
    <row r="462" spans="1:3" x14ac:dyDescent="0.45">
      <c r="A462" s="2">
        <v>28157</v>
      </c>
      <c r="B462" s="7">
        <v>80988</v>
      </c>
      <c r="C462" s="4">
        <v>298</v>
      </c>
    </row>
    <row r="463" spans="1:3" x14ac:dyDescent="0.45">
      <c r="A463" s="2">
        <v>28185</v>
      </c>
      <c r="B463" s="7">
        <v>81391</v>
      </c>
      <c r="C463" s="4">
        <v>403</v>
      </c>
    </row>
    <row r="464" spans="1:3" x14ac:dyDescent="0.45">
      <c r="A464" s="2">
        <v>28216</v>
      </c>
      <c r="B464" s="7">
        <v>81728</v>
      </c>
      <c r="C464" s="4">
        <v>337</v>
      </c>
    </row>
    <row r="465" spans="1:3" x14ac:dyDescent="0.45">
      <c r="A465" s="2">
        <v>28246</v>
      </c>
      <c r="B465" s="7">
        <v>82088</v>
      </c>
      <c r="C465" s="4">
        <v>360</v>
      </c>
    </row>
    <row r="466" spans="1:3" x14ac:dyDescent="0.45">
      <c r="A466" s="2">
        <v>28277</v>
      </c>
      <c r="B466" s="7">
        <v>82488</v>
      </c>
      <c r="C466" s="4">
        <v>400</v>
      </c>
    </row>
    <row r="467" spans="1:3" x14ac:dyDescent="0.45">
      <c r="A467" s="2">
        <v>28307</v>
      </c>
      <c r="B467" s="7">
        <v>82834</v>
      </c>
      <c r="C467" s="4">
        <v>346</v>
      </c>
    </row>
    <row r="468" spans="1:3" x14ac:dyDescent="0.45">
      <c r="A468" s="2">
        <v>28338</v>
      </c>
      <c r="B468" s="7">
        <v>83075</v>
      </c>
      <c r="C468" s="4">
        <v>241</v>
      </c>
    </row>
    <row r="469" spans="1:3" x14ac:dyDescent="0.45">
      <c r="A469" s="2">
        <v>28369</v>
      </c>
      <c r="B469" s="7">
        <v>83532</v>
      </c>
      <c r="C469" s="4">
        <v>457</v>
      </c>
    </row>
    <row r="470" spans="1:3" x14ac:dyDescent="0.45">
      <c r="A470" s="2">
        <v>28399</v>
      </c>
      <c r="B470" s="7">
        <v>83800</v>
      </c>
      <c r="C470" s="4">
        <v>268</v>
      </c>
    </row>
    <row r="471" spans="1:3" x14ac:dyDescent="0.45">
      <c r="A471" s="2">
        <v>28430</v>
      </c>
      <c r="B471" s="7">
        <v>84173</v>
      </c>
      <c r="C471" s="4">
        <v>373</v>
      </c>
    </row>
    <row r="472" spans="1:3" x14ac:dyDescent="0.45">
      <c r="A472" s="2">
        <v>28460</v>
      </c>
      <c r="B472" s="7">
        <v>84410</v>
      </c>
      <c r="C472" s="4">
        <v>237</v>
      </c>
    </row>
    <row r="473" spans="1:3" x14ac:dyDescent="0.45">
      <c r="A473" s="2">
        <v>28491</v>
      </c>
      <c r="B473" s="7">
        <v>84594</v>
      </c>
      <c r="C473" s="4">
        <v>184</v>
      </c>
    </row>
    <row r="474" spans="1:3" x14ac:dyDescent="0.45">
      <c r="A474" s="2">
        <v>28522</v>
      </c>
      <c r="B474" s="7">
        <v>84948</v>
      </c>
      <c r="C474" s="4">
        <v>354</v>
      </c>
    </row>
    <row r="475" spans="1:3" x14ac:dyDescent="0.45">
      <c r="A475" s="2">
        <v>28550</v>
      </c>
      <c r="B475" s="7">
        <v>85460</v>
      </c>
      <c r="C475" s="4">
        <v>512</v>
      </c>
    </row>
    <row r="476" spans="1:3" x14ac:dyDescent="0.45">
      <c r="A476" s="2">
        <v>28581</v>
      </c>
      <c r="B476" s="7">
        <v>86162</v>
      </c>
      <c r="C476" s="4">
        <v>702</v>
      </c>
    </row>
    <row r="477" spans="1:3" x14ac:dyDescent="0.45">
      <c r="A477" s="2">
        <v>28611</v>
      </c>
      <c r="B477" s="7">
        <v>86509</v>
      </c>
      <c r="C477" s="4">
        <v>347</v>
      </c>
    </row>
    <row r="478" spans="1:3" x14ac:dyDescent="0.45">
      <c r="A478" s="2">
        <v>28642</v>
      </c>
      <c r="B478" s="7">
        <v>86950</v>
      </c>
      <c r="C478" s="4">
        <v>441</v>
      </c>
    </row>
    <row r="479" spans="1:3" x14ac:dyDescent="0.45">
      <c r="A479" s="2">
        <v>28672</v>
      </c>
      <c r="B479" s="7">
        <v>87204</v>
      </c>
      <c r="C479" s="4">
        <v>254</v>
      </c>
    </row>
    <row r="480" spans="1:3" x14ac:dyDescent="0.45">
      <c r="A480" s="2">
        <v>28703</v>
      </c>
      <c r="B480" s="7">
        <v>87483</v>
      </c>
      <c r="C480" s="4">
        <v>279</v>
      </c>
    </row>
    <row r="481" spans="1:3" x14ac:dyDescent="0.45">
      <c r="A481" s="2">
        <v>28734</v>
      </c>
      <c r="B481" s="7">
        <v>87621</v>
      </c>
      <c r="C481" s="4">
        <v>138</v>
      </c>
    </row>
    <row r="482" spans="1:3" x14ac:dyDescent="0.45">
      <c r="A482" s="2">
        <v>28764</v>
      </c>
      <c r="B482" s="7">
        <v>87956</v>
      </c>
      <c r="C482" s="4">
        <v>335</v>
      </c>
    </row>
    <row r="483" spans="1:3" x14ac:dyDescent="0.45">
      <c r="A483" s="2">
        <v>28795</v>
      </c>
      <c r="B483" s="7">
        <v>88391</v>
      </c>
      <c r="C483" s="4">
        <v>435</v>
      </c>
    </row>
    <row r="484" spans="1:3" x14ac:dyDescent="0.45">
      <c r="A484" s="2">
        <v>28825</v>
      </c>
      <c r="B484" s="7">
        <v>88671</v>
      </c>
      <c r="C484" s="4">
        <v>280</v>
      </c>
    </row>
    <row r="485" spans="1:3" x14ac:dyDescent="0.45">
      <c r="A485" s="2">
        <v>28856</v>
      </c>
      <c r="B485" s="7">
        <v>88808</v>
      </c>
      <c r="C485" s="4">
        <v>137</v>
      </c>
    </row>
    <row r="486" spans="1:3" x14ac:dyDescent="0.45">
      <c r="A486" s="2">
        <v>28887</v>
      </c>
      <c r="B486" s="7">
        <v>89055</v>
      </c>
      <c r="C486" s="4">
        <v>247</v>
      </c>
    </row>
    <row r="487" spans="1:3" x14ac:dyDescent="0.45">
      <c r="A487" s="2">
        <v>28915</v>
      </c>
      <c r="B487" s="7">
        <v>89479</v>
      </c>
      <c r="C487" s="4">
        <v>424</v>
      </c>
    </row>
    <row r="488" spans="1:3" x14ac:dyDescent="0.45">
      <c r="A488" s="2">
        <v>28946</v>
      </c>
      <c r="B488" s="7">
        <v>89417</v>
      </c>
      <c r="C488" s="4">
        <v>-62</v>
      </c>
    </row>
    <row r="489" spans="1:3" x14ac:dyDescent="0.45">
      <c r="A489" s="2">
        <v>28976</v>
      </c>
      <c r="B489" s="7">
        <v>89789</v>
      </c>
      <c r="C489" s="4">
        <v>372</v>
      </c>
    </row>
    <row r="490" spans="1:3" x14ac:dyDescent="0.45">
      <c r="A490" s="2">
        <v>29007</v>
      </c>
      <c r="B490" s="7">
        <v>90108</v>
      </c>
      <c r="C490" s="4">
        <v>319</v>
      </c>
    </row>
    <row r="491" spans="1:3" x14ac:dyDescent="0.45">
      <c r="A491" s="2">
        <v>29037</v>
      </c>
      <c r="B491" s="7">
        <v>90217</v>
      </c>
      <c r="C491" s="4">
        <v>109</v>
      </c>
    </row>
    <row r="492" spans="1:3" x14ac:dyDescent="0.45">
      <c r="A492" s="2">
        <v>29068</v>
      </c>
      <c r="B492" s="7">
        <v>90300</v>
      </c>
      <c r="C492" s="4">
        <v>83</v>
      </c>
    </row>
    <row r="493" spans="1:3" x14ac:dyDescent="0.45">
      <c r="A493" s="2">
        <v>29099</v>
      </c>
      <c r="B493" s="7">
        <v>90327</v>
      </c>
      <c r="C493" s="4">
        <v>27</v>
      </c>
    </row>
    <row r="494" spans="1:3" x14ac:dyDescent="0.45">
      <c r="A494" s="2">
        <v>29129</v>
      </c>
      <c r="B494" s="7">
        <v>90481</v>
      </c>
      <c r="C494" s="4">
        <v>154</v>
      </c>
    </row>
    <row r="495" spans="1:3" x14ac:dyDescent="0.45">
      <c r="A495" s="2">
        <v>29160</v>
      </c>
      <c r="B495" s="7">
        <v>90573</v>
      </c>
      <c r="C495" s="4">
        <v>92</v>
      </c>
    </row>
    <row r="496" spans="1:3" x14ac:dyDescent="0.45">
      <c r="A496" s="2">
        <v>29190</v>
      </c>
      <c r="B496" s="7">
        <v>90672</v>
      </c>
      <c r="C496" s="4">
        <v>99</v>
      </c>
    </row>
    <row r="497" spans="1:3" x14ac:dyDescent="0.45">
      <c r="A497" s="2">
        <v>29221</v>
      </c>
      <c r="B497" s="7">
        <v>90800</v>
      </c>
      <c r="C497" s="4">
        <v>128</v>
      </c>
    </row>
    <row r="498" spans="1:3" x14ac:dyDescent="0.45">
      <c r="A498" s="2">
        <v>29252</v>
      </c>
      <c r="B498" s="7">
        <v>90883</v>
      </c>
      <c r="C498" s="4">
        <v>83</v>
      </c>
    </row>
    <row r="499" spans="1:3" x14ac:dyDescent="0.45">
      <c r="A499" s="2">
        <v>29281</v>
      </c>
      <c r="B499" s="7">
        <v>90994</v>
      </c>
      <c r="C499" s="4">
        <v>111</v>
      </c>
    </row>
    <row r="500" spans="1:3" x14ac:dyDescent="0.45">
      <c r="A500" s="2">
        <v>29312</v>
      </c>
      <c r="B500" s="7">
        <v>90849</v>
      </c>
      <c r="C500" s="4">
        <v>-145</v>
      </c>
    </row>
    <row r="501" spans="1:3" x14ac:dyDescent="0.45">
      <c r="A501" s="2">
        <v>29342</v>
      </c>
      <c r="B501" s="7">
        <v>90420</v>
      </c>
      <c r="C501" s="4">
        <v>-429</v>
      </c>
    </row>
    <row r="502" spans="1:3" x14ac:dyDescent="0.45">
      <c r="A502" s="2">
        <v>29373</v>
      </c>
      <c r="B502" s="7">
        <v>90101</v>
      </c>
      <c r="C502" s="4">
        <v>-319</v>
      </c>
    </row>
    <row r="503" spans="1:3" x14ac:dyDescent="0.45">
      <c r="A503" s="2">
        <v>29403</v>
      </c>
      <c r="B503" s="7">
        <v>89840</v>
      </c>
      <c r="C503" s="4">
        <v>-261</v>
      </c>
    </row>
    <row r="504" spans="1:3" x14ac:dyDescent="0.45">
      <c r="A504" s="2">
        <v>29434</v>
      </c>
      <c r="B504" s="7">
        <v>90099</v>
      </c>
      <c r="C504" s="4">
        <v>259</v>
      </c>
    </row>
    <row r="505" spans="1:3" x14ac:dyDescent="0.45">
      <c r="A505" s="2">
        <v>29465</v>
      </c>
      <c r="B505" s="7">
        <v>90213</v>
      </c>
      <c r="C505" s="4">
        <v>114</v>
      </c>
    </row>
    <row r="506" spans="1:3" x14ac:dyDescent="0.45">
      <c r="A506" s="2">
        <v>29495</v>
      </c>
      <c r="B506" s="7">
        <v>90490</v>
      </c>
      <c r="C506" s="4">
        <v>277</v>
      </c>
    </row>
    <row r="507" spans="1:3" x14ac:dyDescent="0.45">
      <c r="A507" s="2">
        <v>29526</v>
      </c>
      <c r="B507" s="7">
        <v>90747</v>
      </c>
      <c r="C507" s="4">
        <v>257</v>
      </c>
    </row>
    <row r="508" spans="1:3" x14ac:dyDescent="0.45">
      <c r="A508" s="2">
        <v>29556</v>
      </c>
      <c r="B508" s="7">
        <v>90943</v>
      </c>
      <c r="C508" s="4">
        <v>196</v>
      </c>
    </row>
    <row r="509" spans="1:3" x14ac:dyDescent="0.45">
      <c r="A509" s="2">
        <v>29587</v>
      </c>
      <c r="B509" s="7">
        <v>91033</v>
      </c>
      <c r="C509" s="4">
        <v>90</v>
      </c>
    </row>
    <row r="510" spans="1:3" x14ac:dyDescent="0.45">
      <c r="A510" s="2">
        <v>29618</v>
      </c>
      <c r="B510" s="7">
        <v>91105</v>
      </c>
      <c r="C510" s="4">
        <v>72</v>
      </c>
    </row>
    <row r="511" spans="1:3" x14ac:dyDescent="0.45">
      <c r="A511" s="2">
        <v>29646</v>
      </c>
      <c r="B511" s="7">
        <v>91210</v>
      </c>
      <c r="C511" s="4">
        <v>105</v>
      </c>
    </row>
    <row r="512" spans="1:3" x14ac:dyDescent="0.45">
      <c r="A512" s="2">
        <v>29677</v>
      </c>
      <c r="B512" s="7">
        <v>91283</v>
      </c>
      <c r="C512" s="4">
        <v>73</v>
      </c>
    </row>
    <row r="513" spans="1:3" x14ac:dyDescent="0.45">
      <c r="A513" s="2">
        <v>29707</v>
      </c>
      <c r="B513" s="7">
        <v>91296</v>
      </c>
      <c r="C513" s="4">
        <v>13</v>
      </c>
    </row>
    <row r="514" spans="1:3" x14ac:dyDescent="0.45">
      <c r="A514" s="2">
        <v>29738</v>
      </c>
      <c r="B514" s="7">
        <v>91490</v>
      </c>
      <c r="C514" s="4">
        <v>194</v>
      </c>
    </row>
    <row r="515" spans="1:3" x14ac:dyDescent="0.45">
      <c r="A515" s="2">
        <v>29768</v>
      </c>
      <c r="B515" s="7">
        <v>91601</v>
      </c>
      <c r="C515" s="4">
        <v>111</v>
      </c>
    </row>
    <row r="516" spans="1:3" x14ac:dyDescent="0.45">
      <c r="A516" s="2">
        <v>29799</v>
      </c>
      <c r="B516" s="7">
        <v>91565</v>
      </c>
      <c r="C516" s="4">
        <v>-36</v>
      </c>
    </row>
    <row r="517" spans="1:3" x14ac:dyDescent="0.45">
      <c r="A517" s="2">
        <v>29830</v>
      </c>
      <c r="B517" s="7">
        <v>91477</v>
      </c>
      <c r="C517" s="4">
        <v>-88</v>
      </c>
    </row>
    <row r="518" spans="1:3" x14ac:dyDescent="0.45">
      <c r="A518" s="2">
        <v>29860</v>
      </c>
      <c r="B518" s="7">
        <v>91380</v>
      </c>
      <c r="C518" s="4">
        <v>-97</v>
      </c>
    </row>
    <row r="519" spans="1:3" x14ac:dyDescent="0.45">
      <c r="A519" s="2">
        <v>29891</v>
      </c>
      <c r="B519" s="7">
        <v>91171</v>
      </c>
      <c r="C519" s="4">
        <v>-209</v>
      </c>
    </row>
    <row r="520" spans="1:3" x14ac:dyDescent="0.45">
      <c r="A520" s="2">
        <v>29921</v>
      </c>
      <c r="B520" s="7">
        <v>90895</v>
      </c>
      <c r="C520" s="4">
        <v>-276</v>
      </c>
    </row>
    <row r="521" spans="1:3" x14ac:dyDescent="0.45">
      <c r="A521" s="2">
        <v>29952</v>
      </c>
      <c r="B521" s="7">
        <v>90565</v>
      </c>
      <c r="C521" s="4">
        <v>-330</v>
      </c>
    </row>
    <row r="522" spans="1:3" x14ac:dyDescent="0.45">
      <c r="A522" s="2">
        <v>29983</v>
      </c>
      <c r="B522" s="7">
        <v>90563</v>
      </c>
      <c r="C522" s="4">
        <v>-2</v>
      </c>
    </row>
    <row r="523" spans="1:3" x14ac:dyDescent="0.45">
      <c r="A523" s="2">
        <v>30011</v>
      </c>
      <c r="B523" s="7">
        <v>90434</v>
      </c>
      <c r="C523" s="4">
        <v>-129</v>
      </c>
    </row>
    <row r="524" spans="1:3" x14ac:dyDescent="0.45">
      <c r="A524" s="2">
        <v>30042</v>
      </c>
      <c r="B524" s="7">
        <v>90150</v>
      </c>
      <c r="C524" s="4">
        <v>-284</v>
      </c>
    </row>
    <row r="525" spans="1:3" x14ac:dyDescent="0.45">
      <c r="A525" s="2">
        <v>30072</v>
      </c>
      <c r="B525" s="7">
        <v>90107</v>
      </c>
      <c r="C525" s="4">
        <v>-43</v>
      </c>
    </row>
    <row r="526" spans="1:3" x14ac:dyDescent="0.45">
      <c r="A526" s="2">
        <v>30103</v>
      </c>
      <c r="B526" s="7">
        <v>89865</v>
      </c>
      <c r="C526" s="4">
        <v>-242</v>
      </c>
    </row>
    <row r="527" spans="1:3" x14ac:dyDescent="0.45">
      <c r="A527" s="2">
        <v>30133</v>
      </c>
      <c r="B527" s="7">
        <v>89521</v>
      </c>
      <c r="C527" s="4">
        <v>-344</v>
      </c>
    </row>
    <row r="528" spans="1:3" x14ac:dyDescent="0.45">
      <c r="A528" s="2">
        <v>30164</v>
      </c>
      <c r="B528" s="7">
        <v>89363</v>
      </c>
      <c r="C528" s="4">
        <v>-158</v>
      </c>
    </row>
    <row r="529" spans="1:3" x14ac:dyDescent="0.45">
      <c r="A529" s="2">
        <v>30195</v>
      </c>
      <c r="B529" s="7">
        <v>89183</v>
      </c>
      <c r="C529" s="4">
        <v>-180</v>
      </c>
    </row>
    <row r="530" spans="1:3" x14ac:dyDescent="0.45">
      <c r="A530" s="2">
        <v>30225</v>
      </c>
      <c r="B530" s="7">
        <v>88907</v>
      </c>
      <c r="C530" s="4">
        <v>-276</v>
      </c>
    </row>
    <row r="531" spans="1:3" x14ac:dyDescent="0.45">
      <c r="A531" s="2">
        <v>30256</v>
      </c>
      <c r="B531" s="7">
        <v>88786</v>
      </c>
      <c r="C531" s="4">
        <v>-121</v>
      </c>
    </row>
    <row r="532" spans="1:3" x14ac:dyDescent="0.45">
      <c r="A532" s="2">
        <v>30286</v>
      </c>
      <c r="B532" s="7">
        <v>88771</v>
      </c>
      <c r="C532" s="4">
        <v>-15</v>
      </c>
    </row>
    <row r="533" spans="1:3" x14ac:dyDescent="0.45">
      <c r="A533" s="2">
        <v>30317</v>
      </c>
      <c r="B533" s="7">
        <v>88990</v>
      </c>
      <c r="C533" s="4">
        <v>219</v>
      </c>
    </row>
    <row r="534" spans="1:3" x14ac:dyDescent="0.45">
      <c r="A534" s="2">
        <v>30348</v>
      </c>
      <c r="B534" s="7">
        <v>88917</v>
      </c>
      <c r="C534" s="4">
        <v>-73</v>
      </c>
    </row>
    <row r="535" spans="1:3" x14ac:dyDescent="0.45">
      <c r="A535" s="2">
        <v>30376</v>
      </c>
      <c r="B535" s="7">
        <v>89090</v>
      </c>
      <c r="C535" s="4">
        <v>173</v>
      </c>
    </row>
    <row r="536" spans="1:3" x14ac:dyDescent="0.45">
      <c r="A536" s="2">
        <v>30407</v>
      </c>
      <c r="B536" s="7">
        <v>89364</v>
      </c>
      <c r="C536" s="4">
        <v>274</v>
      </c>
    </row>
    <row r="537" spans="1:3" x14ac:dyDescent="0.45">
      <c r="A537" s="2">
        <v>30437</v>
      </c>
      <c r="B537" s="7">
        <v>89644</v>
      </c>
      <c r="C537" s="4">
        <v>280</v>
      </c>
    </row>
    <row r="538" spans="1:3" x14ac:dyDescent="0.45">
      <c r="A538" s="2">
        <v>30468</v>
      </c>
      <c r="B538" s="7">
        <v>90021</v>
      </c>
      <c r="C538" s="4">
        <v>377</v>
      </c>
    </row>
    <row r="539" spans="1:3" x14ac:dyDescent="0.45">
      <c r="A539" s="2">
        <v>30498</v>
      </c>
      <c r="B539" s="7">
        <v>90437</v>
      </c>
      <c r="C539" s="4">
        <v>416</v>
      </c>
    </row>
    <row r="540" spans="1:3" x14ac:dyDescent="0.45">
      <c r="A540" s="2">
        <v>30529</v>
      </c>
      <c r="B540" s="7">
        <v>90129</v>
      </c>
      <c r="C540" s="4">
        <v>-308</v>
      </c>
    </row>
    <row r="541" spans="1:3" x14ac:dyDescent="0.45">
      <c r="A541" s="2">
        <v>30560</v>
      </c>
      <c r="B541" s="7">
        <v>91247</v>
      </c>
      <c r="C541" s="4">
        <v>1118</v>
      </c>
    </row>
    <row r="542" spans="1:3" x14ac:dyDescent="0.45">
      <c r="A542" s="2">
        <v>30590</v>
      </c>
      <c r="B542" s="7">
        <v>91520</v>
      </c>
      <c r="C542" s="4">
        <v>273</v>
      </c>
    </row>
    <row r="543" spans="1:3" x14ac:dyDescent="0.45">
      <c r="A543" s="2">
        <v>30621</v>
      </c>
      <c r="B543" s="7">
        <v>91875</v>
      </c>
      <c r="C543" s="4">
        <v>355</v>
      </c>
    </row>
    <row r="544" spans="1:3" x14ac:dyDescent="0.45">
      <c r="A544" s="2">
        <v>30651</v>
      </c>
      <c r="B544" s="7">
        <v>92230</v>
      </c>
      <c r="C544" s="4">
        <v>355</v>
      </c>
    </row>
    <row r="545" spans="1:3" x14ac:dyDescent="0.45">
      <c r="A545" s="2">
        <v>30682</v>
      </c>
      <c r="B545" s="7">
        <v>92673</v>
      </c>
      <c r="C545" s="4">
        <v>443</v>
      </c>
    </row>
    <row r="546" spans="1:3" x14ac:dyDescent="0.45">
      <c r="A546" s="2">
        <v>30713</v>
      </c>
      <c r="B546" s="7">
        <v>93157</v>
      </c>
      <c r="C546" s="4">
        <v>484</v>
      </c>
    </row>
    <row r="547" spans="1:3" x14ac:dyDescent="0.45">
      <c r="A547" s="2">
        <v>30742</v>
      </c>
      <c r="B547" s="7">
        <v>93429</v>
      </c>
      <c r="C547" s="4">
        <v>272</v>
      </c>
    </row>
    <row r="548" spans="1:3" x14ac:dyDescent="0.45">
      <c r="A548" s="2">
        <v>30773</v>
      </c>
      <c r="B548" s="7">
        <v>93792</v>
      </c>
      <c r="C548" s="4">
        <v>363</v>
      </c>
    </row>
    <row r="549" spans="1:3" x14ac:dyDescent="0.45">
      <c r="A549" s="2">
        <v>30803</v>
      </c>
      <c r="B549" s="7">
        <v>94098</v>
      </c>
      <c r="C549" s="4">
        <v>306</v>
      </c>
    </row>
    <row r="550" spans="1:3" x14ac:dyDescent="0.45">
      <c r="A550" s="2">
        <v>30834</v>
      </c>
      <c r="B550" s="7">
        <v>94479</v>
      </c>
      <c r="C550" s="4">
        <v>381</v>
      </c>
    </row>
    <row r="551" spans="1:3" x14ac:dyDescent="0.45">
      <c r="A551" s="2">
        <v>30864</v>
      </c>
      <c r="B551" s="7">
        <v>94789</v>
      </c>
      <c r="C551" s="4">
        <v>310</v>
      </c>
    </row>
    <row r="552" spans="1:3" x14ac:dyDescent="0.45">
      <c r="A552" s="2">
        <v>30895</v>
      </c>
      <c r="B552" s="7">
        <v>95032</v>
      </c>
      <c r="C552" s="4">
        <v>243</v>
      </c>
    </row>
    <row r="553" spans="1:3" x14ac:dyDescent="0.45">
      <c r="A553" s="2">
        <v>30926</v>
      </c>
      <c r="B553" s="7">
        <v>95344</v>
      </c>
      <c r="C553" s="4">
        <v>312</v>
      </c>
    </row>
    <row r="554" spans="1:3" x14ac:dyDescent="0.45">
      <c r="A554" s="2">
        <v>30956</v>
      </c>
      <c r="B554" s="7">
        <v>95629</v>
      </c>
      <c r="C554" s="4">
        <v>285</v>
      </c>
    </row>
    <row r="555" spans="1:3" x14ac:dyDescent="0.45">
      <c r="A555" s="2">
        <v>30987</v>
      </c>
      <c r="B555" s="7">
        <v>95982</v>
      </c>
      <c r="C555" s="4">
        <v>353</v>
      </c>
    </row>
    <row r="556" spans="1:3" x14ac:dyDescent="0.45">
      <c r="A556" s="2">
        <v>31017</v>
      </c>
      <c r="B556" s="7">
        <v>96107</v>
      </c>
      <c r="C556" s="4">
        <v>125</v>
      </c>
    </row>
    <row r="557" spans="1:3" x14ac:dyDescent="0.45">
      <c r="A557" s="2">
        <v>31048</v>
      </c>
      <c r="B557" s="7">
        <v>96372</v>
      </c>
      <c r="C557" s="4">
        <v>265</v>
      </c>
    </row>
    <row r="558" spans="1:3" x14ac:dyDescent="0.45">
      <c r="A558" s="2">
        <v>31079</v>
      </c>
      <c r="B558" s="7">
        <v>96503</v>
      </c>
      <c r="C558" s="4">
        <v>131</v>
      </c>
    </row>
    <row r="559" spans="1:3" x14ac:dyDescent="0.45">
      <c r="A559" s="2">
        <v>31107</v>
      </c>
      <c r="B559" s="7">
        <v>96842</v>
      </c>
      <c r="C559" s="4">
        <v>339</v>
      </c>
    </row>
    <row r="560" spans="1:3" x14ac:dyDescent="0.45">
      <c r="A560" s="2">
        <v>31138</v>
      </c>
      <c r="B560" s="7">
        <v>97038</v>
      </c>
      <c r="C560" s="4">
        <v>196</v>
      </c>
    </row>
    <row r="561" spans="1:3" x14ac:dyDescent="0.45">
      <c r="A561" s="2">
        <v>31168</v>
      </c>
      <c r="B561" s="7">
        <v>97312</v>
      </c>
      <c r="C561" s="4">
        <v>274</v>
      </c>
    </row>
    <row r="562" spans="1:3" x14ac:dyDescent="0.45">
      <c r="A562" s="2">
        <v>31199</v>
      </c>
      <c r="B562" s="7">
        <v>97459</v>
      </c>
      <c r="C562" s="4">
        <v>147</v>
      </c>
    </row>
    <row r="563" spans="1:3" x14ac:dyDescent="0.45">
      <c r="A563" s="2">
        <v>31229</v>
      </c>
      <c r="B563" s="7">
        <v>97648</v>
      </c>
      <c r="C563" s="4">
        <v>189</v>
      </c>
    </row>
    <row r="564" spans="1:3" x14ac:dyDescent="0.45">
      <c r="A564" s="2">
        <v>31260</v>
      </c>
      <c r="B564" s="7">
        <v>97840</v>
      </c>
      <c r="C564" s="4">
        <v>192</v>
      </c>
    </row>
    <row r="565" spans="1:3" x14ac:dyDescent="0.45">
      <c r="A565" s="2">
        <v>31291</v>
      </c>
      <c r="B565" s="7">
        <v>98045</v>
      </c>
      <c r="C565" s="4">
        <v>205</v>
      </c>
    </row>
    <row r="566" spans="1:3" x14ac:dyDescent="0.45">
      <c r="A566" s="2">
        <v>31321</v>
      </c>
      <c r="B566" s="7">
        <v>98233</v>
      </c>
      <c r="C566" s="4">
        <v>188</v>
      </c>
    </row>
    <row r="567" spans="1:3" x14ac:dyDescent="0.45">
      <c r="A567" s="2">
        <v>31352</v>
      </c>
      <c r="B567" s="7">
        <v>98443</v>
      </c>
      <c r="C567" s="4">
        <v>210</v>
      </c>
    </row>
    <row r="568" spans="1:3" x14ac:dyDescent="0.45">
      <c r="A568" s="2">
        <v>31382</v>
      </c>
      <c r="B568" s="7">
        <v>98609</v>
      </c>
      <c r="C568" s="4">
        <v>166</v>
      </c>
    </row>
    <row r="569" spans="1:3" x14ac:dyDescent="0.45">
      <c r="A569" s="2">
        <v>31413</v>
      </c>
      <c r="B569" s="7">
        <v>98732</v>
      </c>
      <c r="C569" s="4">
        <v>123</v>
      </c>
    </row>
    <row r="570" spans="1:3" x14ac:dyDescent="0.45">
      <c r="A570" s="2">
        <v>31444</v>
      </c>
      <c r="B570" s="7">
        <v>98847</v>
      </c>
      <c r="C570" s="4">
        <v>115</v>
      </c>
    </row>
    <row r="571" spans="1:3" x14ac:dyDescent="0.45">
      <c r="A571" s="2">
        <v>31472</v>
      </c>
      <c r="B571" s="7">
        <v>98934</v>
      </c>
      <c r="C571" s="4">
        <v>87</v>
      </c>
    </row>
    <row r="572" spans="1:3" x14ac:dyDescent="0.45">
      <c r="A572" s="2">
        <v>31503</v>
      </c>
      <c r="B572" s="7">
        <v>99121</v>
      </c>
      <c r="C572" s="4">
        <v>187</v>
      </c>
    </row>
    <row r="573" spans="1:3" x14ac:dyDescent="0.45">
      <c r="A573" s="2">
        <v>31533</v>
      </c>
      <c r="B573" s="7">
        <v>99248</v>
      </c>
      <c r="C573" s="4">
        <v>127</v>
      </c>
    </row>
    <row r="574" spans="1:3" x14ac:dyDescent="0.45">
      <c r="A574" s="2">
        <v>31564</v>
      </c>
      <c r="B574" s="7">
        <v>99155</v>
      </c>
      <c r="C574" s="4">
        <v>-93</v>
      </c>
    </row>
    <row r="575" spans="1:3" x14ac:dyDescent="0.45">
      <c r="A575" s="2">
        <v>31594</v>
      </c>
      <c r="B575" s="7">
        <v>99473</v>
      </c>
      <c r="C575" s="4">
        <v>318</v>
      </c>
    </row>
    <row r="576" spans="1:3" x14ac:dyDescent="0.45">
      <c r="A576" s="2">
        <v>31625</v>
      </c>
      <c r="B576" s="7">
        <v>99588</v>
      </c>
      <c r="C576" s="4">
        <v>115</v>
      </c>
    </row>
    <row r="577" spans="1:3" x14ac:dyDescent="0.45">
      <c r="A577" s="2">
        <v>31656</v>
      </c>
      <c r="B577" s="7">
        <v>99934</v>
      </c>
      <c r="C577" s="4">
        <v>346</v>
      </c>
    </row>
    <row r="578" spans="1:3" x14ac:dyDescent="0.45">
      <c r="A578" s="2">
        <v>31686</v>
      </c>
      <c r="B578" s="7">
        <v>100121</v>
      </c>
      <c r="C578" s="4">
        <v>187</v>
      </c>
    </row>
    <row r="579" spans="1:3" x14ac:dyDescent="0.45">
      <c r="A579" s="2">
        <v>31717</v>
      </c>
      <c r="B579" s="7">
        <v>100308</v>
      </c>
      <c r="C579" s="4">
        <v>187</v>
      </c>
    </row>
    <row r="580" spans="1:3" x14ac:dyDescent="0.45">
      <c r="A580" s="2">
        <v>31747</v>
      </c>
      <c r="B580" s="7">
        <v>100509</v>
      </c>
      <c r="C580" s="4">
        <v>201</v>
      </c>
    </row>
    <row r="581" spans="1:3" x14ac:dyDescent="0.45">
      <c r="A581" s="2">
        <v>31778</v>
      </c>
      <c r="B581" s="7">
        <v>100678</v>
      </c>
      <c r="C581" s="4">
        <v>169</v>
      </c>
    </row>
    <row r="582" spans="1:3" x14ac:dyDescent="0.45">
      <c r="A582" s="2">
        <v>31809</v>
      </c>
      <c r="B582" s="7">
        <v>100919</v>
      </c>
      <c r="C582" s="4">
        <v>241</v>
      </c>
    </row>
    <row r="583" spans="1:3" x14ac:dyDescent="0.45">
      <c r="A583" s="2">
        <v>31837</v>
      </c>
      <c r="B583" s="7">
        <v>101164</v>
      </c>
      <c r="C583" s="4">
        <v>245</v>
      </c>
    </row>
    <row r="584" spans="1:3" x14ac:dyDescent="0.45">
      <c r="A584" s="2">
        <v>31868</v>
      </c>
      <c r="B584" s="7">
        <v>101499</v>
      </c>
      <c r="C584" s="4">
        <v>335</v>
      </c>
    </row>
    <row r="585" spans="1:3" x14ac:dyDescent="0.45">
      <c r="A585" s="2">
        <v>31898</v>
      </c>
      <c r="B585" s="7">
        <v>101728</v>
      </c>
      <c r="C585" s="4">
        <v>229</v>
      </c>
    </row>
    <row r="586" spans="1:3" x14ac:dyDescent="0.45">
      <c r="A586" s="2">
        <v>31929</v>
      </c>
      <c r="B586" s="7">
        <v>101900</v>
      </c>
      <c r="C586" s="4">
        <v>172</v>
      </c>
    </row>
    <row r="587" spans="1:3" x14ac:dyDescent="0.45">
      <c r="A587" s="2">
        <v>31959</v>
      </c>
      <c r="B587" s="7">
        <v>102247</v>
      </c>
      <c r="C587" s="4">
        <v>347</v>
      </c>
    </row>
    <row r="588" spans="1:3" x14ac:dyDescent="0.45">
      <c r="A588" s="2">
        <v>31990</v>
      </c>
      <c r="B588" s="7">
        <v>102420</v>
      </c>
      <c r="C588" s="4">
        <v>173</v>
      </c>
    </row>
    <row r="589" spans="1:3" x14ac:dyDescent="0.45">
      <c r="A589" s="2">
        <v>32021</v>
      </c>
      <c r="B589" s="7">
        <v>102647</v>
      </c>
      <c r="C589" s="4">
        <v>227</v>
      </c>
    </row>
    <row r="590" spans="1:3" x14ac:dyDescent="0.45">
      <c r="A590" s="2">
        <v>32051</v>
      </c>
      <c r="B590" s="7">
        <v>103138</v>
      </c>
      <c r="C590" s="4">
        <v>491</v>
      </c>
    </row>
    <row r="591" spans="1:3" x14ac:dyDescent="0.45">
      <c r="A591" s="2">
        <v>32082</v>
      </c>
      <c r="B591" s="7">
        <v>103372</v>
      </c>
      <c r="C591" s="4">
        <v>234</v>
      </c>
    </row>
    <row r="592" spans="1:3" x14ac:dyDescent="0.45">
      <c r="A592" s="2">
        <v>32112</v>
      </c>
      <c r="B592" s="7">
        <v>103661</v>
      </c>
      <c r="C592" s="4">
        <v>289</v>
      </c>
    </row>
    <row r="593" spans="1:3" x14ac:dyDescent="0.45">
      <c r="A593" s="2">
        <v>32143</v>
      </c>
      <c r="B593" s="7">
        <v>103753</v>
      </c>
      <c r="C593" s="4">
        <v>92</v>
      </c>
    </row>
    <row r="594" spans="1:3" x14ac:dyDescent="0.45">
      <c r="A594" s="2">
        <v>32174</v>
      </c>
      <c r="B594" s="7">
        <v>104214</v>
      </c>
      <c r="C594" s="4">
        <v>461</v>
      </c>
    </row>
    <row r="595" spans="1:3" x14ac:dyDescent="0.45">
      <c r="A595" s="2">
        <v>32203</v>
      </c>
      <c r="B595" s="7">
        <v>104489</v>
      </c>
      <c r="C595" s="4">
        <v>275</v>
      </c>
    </row>
    <row r="596" spans="1:3" x14ac:dyDescent="0.45">
      <c r="A596" s="2">
        <v>32234</v>
      </c>
      <c r="B596" s="7">
        <v>104732</v>
      </c>
      <c r="C596" s="4">
        <v>243</v>
      </c>
    </row>
    <row r="597" spans="1:3" x14ac:dyDescent="0.45">
      <c r="A597" s="2">
        <v>32264</v>
      </c>
      <c r="B597" s="7">
        <v>104962</v>
      </c>
      <c r="C597" s="4">
        <v>230</v>
      </c>
    </row>
    <row r="598" spans="1:3" x14ac:dyDescent="0.45">
      <c r="A598" s="2">
        <v>32295</v>
      </c>
      <c r="B598" s="7">
        <v>105326</v>
      </c>
      <c r="C598" s="4">
        <v>364</v>
      </c>
    </row>
    <row r="599" spans="1:3" x14ac:dyDescent="0.45">
      <c r="A599" s="2">
        <v>32325</v>
      </c>
      <c r="B599" s="7">
        <v>105550</v>
      </c>
      <c r="C599" s="4">
        <v>224</v>
      </c>
    </row>
    <row r="600" spans="1:3" x14ac:dyDescent="0.45">
      <c r="A600" s="2">
        <v>32356</v>
      </c>
      <c r="B600" s="7">
        <v>105674</v>
      </c>
      <c r="C600" s="4">
        <v>124</v>
      </c>
    </row>
    <row r="601" spans="1:3" x14ac:dyDescent="0.45">
      <c r="A601" s="2">
        <v>32387</v>
      </c>
      <c r="B601" s="7">
        <v>106013</v>
      </c>
      <c r="C601" s="4">
        <v>339</v>
      </c>
    </row>
    <row r="602" spans="1:3" x14ac:dyDescent="0.45">
      <c r="A602" s="2">
        <v>32417</v>
      </c>
      <c r="B602" s="7">
        <v>106276</v>
      </c>
      <c r="C602" s="4">
        <v>263</v>
      </c>
    </row>
    <row r="603" spans="1:3" x14ac:dyDescent="0.45">
      <c r="A603" s="2">
        <v>32448</v>
      </c>
      <c r="B603" s="7">
        <v>106617</v>
      </c>
      <c r="C603" s="4">
        <v>341</v>
      </c>
    </row>
    <row r="604" spans="1:3" x14ac:dyDescent="0.45">
      <c r="A604" s="2">
        <v>32478</v>
      </c>
      <c r="B604" s="7">
        <v>106898</v>
      </c>
      <c r="C604" s="4">
        <v>281</v>
      </c>
    </row>
    <row r="605" spans="1:3" x14ac:dyDescent="0.45">
      <c r="A605" s="2">
        <v>32509</v>
      </c>
      <c r="B605" s="7">
        <v>107161</v>
      </c>
      <c r="C605" s="4">
        <v>263</v>
      </c>
    </row>
    <row r="606" spans="1:3" x14ac:dyDescent="0.45">
      <c r="A606" s="2">
        <v>32540</v>
      </c>
      <c r="B606" s="7">
        <v>107427</v>
      </c>
      <c r="C606" s="4">
        <v>266</v>
      </c>
    </row>
    <row r="607" spans="1:3" x14ac:dyDescent="0.45">
      <c r="A607" s="2">
        <v>32568</v>
      </c>
      <c r="B607" s="7">
        <v>107621</v>
      </c>
      <c r="C607" s="4">
        <v>194</v>
      </c>
    </row>
    <row r="608" spans="1:3" x14ac:dyDescent="0.45">
      <c r="A608" s="2">
        <v>32599</v>
      </c>
      <c r="B608" s="7">
        <v>107791</v>
      </c>
      <c r="C608" s="4">
        <v>170</v>
      </c>
    </row>
    <row r="609" spans="1:3" x14ac:dyDescent="0.45">
      <c r="A609" s="2">
        <v>32629</v>
      </c>
      <c r="B609" s="7">
        <v>107913</v>
      </c>
      <c r="C609" s="4">
        <v>122</v>
      </c>
    </row>
    <row r="610" spans="1:3" x14ac:dyDescent="0.45">
      <c r="A610" s="2">
        <v>32660</v>
      </c>
      <c r="B610" s="7">
        <v>108027</v>
      </c>
      <c r="C610" s="4">
        <v>114</v>
      </c>
    </row>
    <row r="611" spans="1:3" x14ac:dyDescent="0.45">
      <c r="A611" s="2">
        <v>32690</v>
      </c>
      <c r="B611" s="7">
        <v>108069</v>
      </c>
      <c r="C611" s="4">
        <v>42</v>
      </c>
    </row>
    <row r="612" spans="1:3" x14ac:dyDescent="0.45">
      <c r="A612" s="2">
        <v>32721</v>
      </c>
      <c r="B612" s="7">
        <v>108120</v>
      </c>
      <c r="C612" s="4">
        <v>51</v>
      </c>
    </row>
    <row r="613" spans="1:3" x14ac:dyDescent="0.45">
      <c r="A613" s="2">
        <v>32752</v>
      </c>
      <c r="B613" s="7">
        <v>108369</v>
      </c>
      <c r="C613" s="4">
        <v>249</v>
      </c>
    </row>
    <row r="614" spans="1:3" x14ac:dyDescent="0.45">
      <c r="A614" s="2">
        <v>32782</v>
      </c>
      <c r="B614" s="7">
        <v>108476</v>
      </c>
      <c r="C614" s="4">
        <v>107</v>
      </c>
    </row>
    <row r="615" spans="1:3" x14ac:dyDescent="0.45">
      <c r="A615" s="2">
        <v>32813</v>
      </c>
      <c r="B615" s="7">
        <v>108752</v>
      </c>
      <c r="C615" s="4">
        <v>276</v>
      </c>
    </row>
    <row r="616" spans="1:3" x14ac:dyDescent="0.45">
      <c r="A616" s="2">
        <v>32843</v>
      </c>
      <c r="B616" s="7">
        <v>108836</v>
      </c>
      <c r="C616" s="4">
        <v>84</v>
      </c>
    </row>
    <row r="617" spans="1:3" x14ac:dyDescent="0.45">
      <c r="A617" s="2">
        <v>32874</v>
      </c>
      <c r="B617" s="7">
        <v>109196</v>
      </c>
      <c r="C617" s="4">
        <v>360</v>
      </c>
    </row>
    <row r="618" spans="1:3" x14ac:dyDescent="0.45">
      <c r="A618" s="2">
        <v>32905</v>
      </c>
      <c r="B618" s="7">
        <v>109436</v>
      </c>
      <c r="C618" s="4">
        <v>240</v>
      </c>
    </row>
    <row r="619" spans="1:3" x14ac:dyDescent="0.45">
      <c r="A619" s="2">
        <v>32933</v>
      </c>
      <c r="B619" s="7">
        <v>109640</v>
      </c>
      <c r="C619" s="4">
        <v>204</v>
      </c>
    </row>
    <row r="620" spans="1:3" x14ac:dyDescent="0.45">
      <c r="A620" s="2">
        <v>32964</v>
      </c>
      <c r="B620" s="7">
        <v>109674</v>
      </c>
      <c r="C620" s="4">
        <v>34</v>
      </c>
    </row>
    <row r="621" spans="1:3" x14ac:dyDescent="0.45">
      <c r="A621" s="2">
        <v>32994</v>
      </c>
      <c r="B621" s="7">
        <v>109828</v>
      </c>
      <c r="C621" s="4">
        <v>154</v>
      </c>
    </row>
    <row r="622" spans="1:3" x14ac:dyDescent="0.45">
      <c r="A622" s="2">
        <v>33025</v>
      </c>
      <c r="B622" s="7">
        <v>109850</v>
      </c>
      <c r="C622" s="4">
        <v>22</v>
      </c>
    </row>
    <row r="623" spans="1:3" x14ac:dyDescent="0.45">
      <c r="A623" s="2">
        <v>33055</v>
      </c>
      <c r="B623" s="7">
        <v>109815</v>
      </c>
      <c r="C623" s="4">
        <v>-35</v>
      </c>
    </row>
    <row r="624" spans="1:3" x14ac:dyDescent="0.45">
      <c r="A624" s="2">
        <v>33086</v>
      </c>
      <c r="B624" s="7">
        <v>109607</v>
      </c>
      <c r="C624" s="4">
        <v>-208</v>
      </c>
    </row>
    <row r="625" spans="1:3" x14ac:dyDescent="0.45">
      <c r="A625" s="2">
        <v>33117</v>
      </c>
      <c r="B625" s="7">
        <v>109522</v>
      </c>
      <c r="C625" s="4">
        <v>-85</v>
      </c>
    </row>
    <row r="626" spans="1:3" x14ac:dyDescent="0.45">
      <c r="A626" s="2">
        <v>33147</v>
      </c>
      <c r="B626" s="7">
        <v>109377</v>
      </c>
      <c r="C626" s="4">
        <v>-145</v>
      </c>
    </row>
    <row r="627" spans="1:3" x14ac:dyDescent="0.45">
      <c r="A627" s="2">
        <v>33178</v>
      </c>
      <c r="B627" s="7">
        <v>109222</v>
      </c>
      <c r="C627" s="4">
        <v>-155</v>
      </c>
    </row>
    <row r="628" spans="1:3" x14ac:dyDescent="0.45">
      <c r="A628" s="2">
        <v>33208</v>
      </c>
      <c r="B628" s="7">
        <v>109168</v>
      </c>
      <c r="C628" s="4">
        <v>-54</v>
      </c>
    </row>
    <row r="629" spans="1:3" x14ac:dyDescent="0.45">
      <c r="A629" s="2">
        <v>33239</v>
      </c>
      <c r="B629" s="7">
        <v>109058</v>
      </c>
      <c r="C629" s="4">
        <v>-110</v>
      </c>
    </row>
    <row r="630" spans="1:3" x14ac:dyDescent="0.45">
      <c r="A630" s="2">
        <v>33270</v>
      </c>
      <c r="B630" s="7">
        <v>108735</v>
      </c>
      <c r="C630" s="4">
        <v>-323</v>
      </c>
    </row>
    <row r="631" spans="1:3" x14ac:dyDescent="0.45">
      <c r="A631" s="2">
        <v>33298</v>
      </c>
      <c r="B631" s="7">
        <v>108568</v>
      </c>
      <c r="C631" s="4">
        <v>-167</v>
      </c>
    </row>
    <row r="632" spans="1:3" x14ac:dyDescent="0.45">
      <c r="A632" s="2">
        <v>33329</v>
      </c>
      <c r="B632" s="7">
        <v>108350</v>
      </c>
      <c r="C632" s="4">
        <v>-218</v>
      </c>
    </row>
    <row r="633" spans="1:3" x14ac:dyDescent="0.45">
      <c r="A633" s="2">
        <v>33359</v>
      </c>
      <c r="B633" s="7">
        <v>108253</v>
      </c>
      <c r="C633" s="4">
        <v>-97</v>
      </c>
    </row>
    <row r="634" spans="1:3" x14ac:dyDescent="0.45">
      <c r="A634" s="2">
        <v>33390</v>
      </c>
      <c r="B634" s="7">
        <v>108330</v>
      </c>
      <c r="C634" s="4">
        <v>77</v>
      </c>
    </row>
    <row r="635" spans="1:3" x14ac:dyDescent="0.45">
      <c r="A635" s="2">
        <v>33420</v>
      </c>
      <c r="B635" s="7">
        <v>108290</v>
      </c>
      <c r="C635" s="4">
        <v>-40</v>
      </c>
    </row>
    <row r="636" spans="1:3" x14ac:dyDescent="0.45">
      <c r="A636" s="2">
        <v>33451</v>
      </c>
      <c r="B636" s="7">
        <v>108300</v>
      </c>
      <c r="C636" s="4">
        <v>10</v>
      </c>
    </row>
    <row r="637" spans="1:3" x14ac:dyDescent="0.45">
      <c r="A637" s="2">
        <v>33482</v>
      </c>
      <c r="B637" s="7">
        <v>108335</v>
      </c>
      <c r="C637" s="4">
        <v>35</v>
      </c>
    </row>
    <row r="638" spans="1:3" x14ac:dyDescent="0.45">
      <c r="A638" s="2">
        <v>33512</v>
      </c>
      <c r="B638" s="7">
        <v>108361</v>
      </c>
      <c r="C638" s="4">
        <v>26</v>
      </c>
    </row>
    <row r="639" spans="1:3" x14ac:dyDescent="0.45">
      <c r="A639" s="2">
        <v>33543</v>
      </c>
      <c r="B639" s="7">
        <v>108300</v>
      </c>
      <c r="C639" s="4">
        <v>-61</v>
      </c>
    </row>
    <row r="640" spans="1:3" x14ac:dyDescent="0.45">
      <c r="A640" s="2">
        <v>33573</v>
      </c>
      <c r="B640" s="7">
        <v>108330</v>
      </c>
      <c r="C640" s="4">
        <v>30</v>
      </c>
    </row>
    <row r="641" spans="1:3" x14ac:dyDescent="0.45">
      <c r="A641" s="2">
        <v>33604</v>
      </c>
      <c r="B641" s="7">
        <v>108365</v>
      </c>
      <c r="C641" s="4">
        <v>35</v>
      </c>
    </row>
    <row r="642" spans="1:3" x14ac:dyDescent="0.45">
      <c r="A642" s="2">
        <v>33635</v>
      </c>
      <c r="B642" s="7">
        <v>108312</v>
      </c>
      <c r="C642" s="4">
        <v>-53</v>
      </c>
    </row>
    <row r="643" spans="1:3" x14ac:dyDescent="0.45">
      <c r="A643" s="2">
        <v>33664</v>
      </c>
      <c r="B643" s="7">
        <v>108367</v>
      </c>
      <c r="C643" s="4">
        <v>55</v>
      </c>
    </row>
    <row r="644" spans="1:3" x14ac:dyDescent="0.45">
      <c r="A644" s="2">
        <v>33695</v>
      </c>
      <c r="B644" s="7">
        <v>108516</v>
      </c>
      <c r="C644" s="4">
        <v>149</v>
      </c>
    </row>
    <row r="645" spans="1:3" x14ac:dyDescent="0.45">
      <c r="A645" s="2">
        <v>33725</v>
      </c>
      <c r="B645" s="7">
        <v>108646</v>
      </c>
      <c r="C645" s="4">
        <v>130</v>
      </c>
    </row>
    <row r="646" spans="1:3" x14ac:dyDescent="0.45">
      <c r="A646" s="2">
        <v>33756</v>
      </c>
      <c r="B646" s="7">
        <v>108706</v>
      </c>
      <c r="C646" s="4">
        <v>60</v>
      </c>
    </row>
    <row r="647" spans="1:3" x14ac:dyDescent="0.45">
      <c r="A647" s="2">
        <v>33786</v>
      </c>
      <c r="B647" s="7">
        <v>108793</v>
      </c>
      <c r="C647" s="4">
        <v>87</v>
      </c>
    </row>
    <row r="648" spans="1:3" x14ac:dyDescent="0.45">
      <c r="A648" s="2">
        <v>33817</v>
      </c>
      <c r="B648" s="7">
        <v>108916</v>
      </c>
      <c r="C648" s="4">
        <v>123</v>
      </c>
    </row>
    <row r="649" spans="1:3" x14ac:dyDescent="0.45">
      <c r="A649" s="2">
        <v>33848</v>
      </c>
      <c r="B649" s="7">
        <v>108951</v>
      </c>
      <c r="C649" s="4">
        <v>35</v>
      </c>
    </row>
    <row r="650" spans="1:3" x14ac:dyDescent="0.45">
      <c r="A650" s="2">
        <v>33878</v>
      </c>
      <c r="B650" s="7">
        <v>109139</v>
      </c>
      <c r="C650" s="4">
        <v>188</v>
      </c>
    </row>
    <row r="651" spans="1:3" x14ac:dyDescent="0.45">
      <c r="A651" s="2">
        <v>33909</v>
      </c>
      <c r="B651" s="7">
        <v>109283</v>
      </c>
      <c r="C651" s="4">
        <v>144</v>
      </c>
    </row>
    <row r="652" spans="1:3" x14ac:dyDescent="0.45">
      <c r="A652" s="2">
        <v>33939</v>
      </c>
      <c r="B652" s="7">
        <v>109502</v>
      </c>
      <c r="C652" s="4">
        <v>219</v>
      </c>
    </row>
    <row r="653" spans="1:3" x14ac:dyDescent="0.45">
      <c r="A653" s="2">
        <v>33970</v>
      </c>
      <c r="B653" s="7">
        <v>109790</v>
      </c>
      <c r="C653" s="4">
        <v>288</v>
      </c>
    </row>
    <row r="654" spans="1:3" x14ac:dyDescent="0.45">
      <c r="A654" s="2">
        <v>34001</v>
      </c>
      <c r="B654" s="7">
        <v>110047</v>
      </c>
      <c r="C654" s="4">
        <v>257</v>
      </c>
    </row>
    <row r="655" spans="1:3" x14ac:dyDescent="0.45">
      <c r="A655" s="2">
        <v>34029</v>
      </c>
      <c r="B655" s="7">
        <v>110004</v>
      </c>
      <c r="C655" s="4">
        <v>-43</v>
      </c>
    </row>
    <row r="656" spans="1:3" x14ac:dyDescent="0.45">
      <c r="A656" s="2">
        <v>34060</v>
      </c>
      <c r="B656" s="7">
        <v>110300</v>
      </c>
      <c r="C656" s="4">
        <v>296</v>
      </c>
    </row>
    <row r="657" spans="1:3" x14ac:dyDescent="0.45">
      <c r="A657" s="2">
        <v>34090</v>
      </c>
      <c r="B657" s="7">
        <v>110571</v>
      </c>
      <c r="C657" s="4">
        <v>271</v>
      </c>
    </row>
    <row r="658" spans="1:3" x14ac:dyDescent="0.45">
      <c r="A658" s="2">
        <v>34121</v>
      </c>
      <c r="B658" s="7">
        <v>110742</v>
      </c>
      <c r="C658" s="4">
        <v>171</v>
      </c>
    </row>
    <row r="659" spans="1:3" x14ac:dyDescent="0.45">
      <c r="A659" s="2">
        <v>34151</v>
      </c>
      <c r="B659" s="7">
        <v>111054</v>
      </c>
      <c r="C659" s="4">
        <v>312</v>
      </c>
    </row>
    <row r="660" spans="1:3" x14ac:dyDescent="0.45">
      <c r="A660" s="2">
        <v>34182</v>
      </c>
      <c r="B660" s="7">
        <v>111200</v>
      </c>
      <c r="C660" s="4">
        <v>146</v>
      </c>
    </row>
    <row r="661" spans="1:3" x14ac:dyDescent="0.45">
      <c r="A661" s="2">
        <v>34213</v>
      </c>
      <c r="B661" s="7">
        <v>111448</v>
      </c>
      <c r="C661" s="4">
        <v>248</v>
      </c>
    </row>
    <row r="662" spans="1:3" x14ac:dyDescent="0.45">
      <c r="A662" s="2">
        <v>34243</v>
      </c>
      <c r="B662" s="7">
        <v>111734</v>
      </c>
      <c r="C662" s="4">
        <v>286</v>
      </c>
    </row>
    <row r="663" spans="1:3" x14ac:dyDescent="0.45">
      <c r="A663" s="2">
        <v>34274</v>
      </c>
      <c r="B663" s="7">
        <v>111987</v>
      </c>
      <c r="C663" s="4">
        <v>253</v>
      </c>
    </row>
    <row r="664" spans="1:3" x14ac:dyDescent="0.45">
      <c r="A664" s="2">
        <v>34304</v>
      </c>
      <c r="B664" s="7">
        <v>112325</v>
      </c>
      <c r="C664" s="4">
        <v>338</v>
      </c>
    </row>
    <row r="665" spans="1:3" x14ac:dyDescent="0.45">
      <c r="A665" s="2">
        <v>34335</v>
      </c>
      <c r="B665" s="7">
        <v>112601</v>
      </c>
      <c r="C665" s="4">
        <v>276</v>
      </c>
    </row>
    <row r="666" spans="1:3" x14ac:dyDescent="0.45">
      <c r="A666" s="2">
        <v>34366</v>
      </c>
      <c r="B666" s="7">
        <v>112782</v>
      </c>
      <c r="C666" s="4">
        <v>181</v>
      </c>
    </row>
    <row r="667" spans="1:3" x14ac:dyDescent="0.45">
      <c r="A667" s="2">
        <v>34394</v>
      </c>
      <c r="B667" s="7">
        <v>113245</v>
      </c>
      <c r="C667" s="4">
        <v>463</v>
      </c>
    </row>
    <row r="668" spans="1:3" x14ac:dyDescent="0.45">
      <c r="A668" s="2">
        <v>34425</v>
      </c>
      <c r="B668" s="7">
        <v>113589</v>
      </c>
      <c r="C668" s="4">
        <v>344</v>
      </c>
    </row>
    <row r="669" spans="1:3" x14ac:dyDescent="0.45">
      <c r="A669" s="2">
        <v>34455</v>
      </c>
      <c r="B669" s="7">
        <v>113922</v>
      </c>
      <c r="C669" s="4">
        <v>333</v>
      </c>
    </row>
    <row r="670" spans="1:3" x14ac:dyDescent="0.45">
      <c r="A670" s="2">
        <v>34486</v>
      </c>
      <c r="B670" s="7">
        <v>114239</v>
      </c>
      <c r="C670" s="4">
        <v>317</v>
      </c>
    </row>
    <row r="671" spans="1:3" x14ac:dyDescent="0.45">
      <c r="A671" s="2">
        <v>34516</v>
      </c>
      <c r="B671" s="7">
        <v>114608</v>
      </c>
      <c r="C671" s="4">
        <v>369</v>
      </c>
    </row>
    <row r="672" spans="1:3" x14ac:dyDescent="0.45">
      <c r="A672" s="2">
        <v>34547</v>
      </c>
      <c r="B672" s="7">
        <v>114902</v>
      </c>
      <c r="C672" s="4">
        <v>294</v>
      </c>
    </row>
    <row r="673" spans="1:3" x14ac:dyDescent="0.45">
      <c r="A673" s="2">
        <v>34578</v>
      </c>
      <c r="B673" s="7">
        <v>115246</v>
      </c>
      <c r="C673" s="4">
        <v>344</v>
      </c>
    </row>
    <row r="674" spans="1:3" x14ac:dyDescent="0.45">
      <c r="A674" s="2">
        <v>34608</v>
      </c>
      <c r="B674" s="7">
        <v>115457</v>
      </c>
      <c r="C674" s="4">
        <v>211</v>
      </c>
    </row>
    <row r="675" spans="1:3" x14ac:dyDescent="0.45">
      <c r="A675" s="2">
        <v>34639</v>
      </c>
      <c r="B675" s="7">
        <v>115867</v>
      </c>
      <c r="C675" s="4">
        <v>410</v>
      </c>
    </row>
    <row r="676" spans="1:3" x14ac:dyDescent="0.45">
      <c r="A676" s="2">
        <v>34669</v>
      </c>
      <c r="B676" s="7">
        <v>116174</v>
      </c>
      <c r="C676" s="4">
        <v>307</v>
      </c>
    </row>
    <row r="677" spans="1:3" x14ac:dyDescent="0.45">
      <c r="A677" s="2">
        <v>34700</v>
      </c>
      <c r="B677" s="7">
        <v>116505</v>
      </c>
      <c r="C677" s="4">
        <v>331</v>
      </c>
    </row>
    <row r="678" spans="1:3" x14ac:dyDescent="0.45">
      <c r="A678" s="2">
        <v>34731</v>
      </c>
      <c r="B678" s="7">
        <v>116694</v>
      </c>
      <c r="C678" s="4">
        <v>189</v>
      </c>
    </row>
    <row r="679" spans="1:3" x14ac:dyDescent="0.45">
      <c r="A679" s="2">
        <v>34759</v>
      </c>
      <c r="B679" s="7">
        <v>116908</v>
      </c>
      <c r="C679" s="4">
        <v>214</v>
      </c>
    </row>
    <row r="680" spans="1:3" x14ac:dyDescent="0.45">
      <c r="A680" s="2">
        <v>34790</v>
      </c>
      <c r="B680" s="7">
        <v>117066</v>
      </c>
      <c r="C680" s="4">
        <v>158</v>
      </c>
    </row>
    <row r="681" spans="1:3" x14ac:dyDescent="0.45">
      <c r="A681" s="2">
        <v>34820</v>
      </c>
      <c r="B681" s="7">
        <v>117046</v>
      </c>
      <c r="C681" s="4">
        <v>-20</v>
      </c>
    </row>
    <row r="682" spans="1:3" x14ac:dyDescent="0.45">
      <c r="A682" s="2">
        <v>34851</v>
      </c>
      <c r="B682" s="7">
        <v>117291</v>
      </c>
      <c r="C682" s="4">
        <v>245</v>
      </c>
    </row>
    <row r="683" spans="1:3" x14ac:dyDescent="0.45">
      <c r="A683" s="2">
        <v>34881</v>
      </c>
      <c r="B683" s="7">
        <v>117382</v>
      </c>
      <c r="C683" s="4">
        <v>91</v>
      </c>
    </row>
    <row r="684" spans="1:3" x14ac:dyDescent="0.45">
      <c r="A684" s="2">
        <v>34912</v>
      </c>
      <c r="B684" s="7">
        <v>117646</v>
      </c>
      <c r="C684" s="4">
        <v>264</v>
      </c>
    </row>
    <row r="685" spans="1:3" x14ac:dyDescent="0.45">
      <c r="A685" s="2">
        <v>34943</v>
      </c>
      <c r="B685" s="7">
        <v>117873</v>
      </c>
      <c r="C685" s="4">
        <v>227</v>
      </c>
    </row>
    <row r="686" spans="1:3" x14ac:dyDescent="0.45">
      <c r="A686" s="2">
        <v>34973</v>
      </c>
      <c r="B686" s="7">
        <v>118026</v>
      </c>
      <c r="C686" s="4">
        <v>153</v>
      </c>
    </row>
    <row r="687" spans="1:3" x14ac:dyDescent="0.45">
      <c r="A687" s="2">
        <v>35004</v>
      </c>
      <c r="B687" s="7">
        <v>118165</v>
      </c>
      <c r="C687" s="4">
        <v>139</v>
      </c>
    </row>
    <row r="688" spans="1:3" x14ac:dyDescent="0.45">
      <c r="A688" s="2">
        <v>35034</v>
      </c>
      <c r="B688" s="7">
        <v>118325</v>
      </c>
      <c r="C688" s="4">
        <v>160</v>
      </c>
    </row>
    <row r="689" spans="1:3" x14ac:dyDescent="0.45">
      <c r="A689" s="2">
        <v>35065</v>
      </c>
      <c r="B689" s="7">
        <v>118317</v>
      </c>
      <c r="C689" s="4">
        <v>-8</v>
      </c>
    </row>
    <row r="690" spans="1:3" x14ac:dyDescent="0.45">
      <c r="A690" s="2">
        <v>35096</v>
      </c>
      <c r="B690" s="7">
        <v>118738</v>
      </c>
      <c r="C690" s="4">
        <v>421</v>
      </c>
    </row>
    <row r="691" spans="1:3" x14ac:dyDescent="0.45">
      <c r="A691" s="2">
        <v>35125</v>
      </c>
      <c r="B691" s="7">
        <v>118992</v>
      </c>
      <c r="C691" s="4">
        <v>254</v>
      </c>
    </row>
    <row r="692" spans="1:3" x14ac:dyDescent="0.45">
      <c r="A692" s="2">
        <v>35156</v>
      </c>
      <c r="B692" s="7">
        <v>119158</v>
      </c>
      <c r="C692" s="4">
        <v>166</v>
      </c>
    </row>
    <row r="693" spans="1:3" x14ac:dyDescent="0.45">
      <c r="A693" s="2">
        <v>35186</v>
      </c>
      <c r="B693" s="7">
        <v>119497</v>
      </c>
      <c r="C693" s="4">
        <v>339</v>
      </c>
    </row>
    <row r="694" spans="1:3" x14ac:dyDescent="0.45">
      <c r="A694" s="2">
        <v>35217</v>
      </c>
      <c r="B694" s="7">
        <v>119770</v>
      </c>
      <c r="C694" s="4">
        <v>273</v>
      </c>
    </row>
    <row r="695" spans="1:3" x14ac:dyDescent="0.45">
      <c r="A695" s="2">
        <v>35247</v>
      </c>
      <c r="B695" s="7">
        <v>120019</v>
      </c>
      <c r="C695" s="4">
        <v>249</v>
      </c>
    </row>
    <row r="696" spans="1:3" x14ac:dyDescent="0.45">
      <c r="A696" s="2">
        <v>35278</v>
      </c>
      <c r="B696" s="7">
        <v>120198</v>
      </c>
      <c r="C696" s="4">
        <v>179</v>
      </c>
    </row>
    <row r="697" spans="1:3" x14ac:dyDescent="0.45">
      <c r="A697" s="2">
        <v>35309</v>
      </c>
      <c r="B697" s="7">
        <v>120400</v>
      </c>
      <c r="C697" s="4">
        <v>202</v>
      </c>
    </row>
    <row r="698" spans="1:3" x14ac:dyDescent="0.45">
      <c r="A698" s="2">
        <v>35339</v>
      </c>
      <c r="B698" s="7">
        <v>120665</v>
      </c>
      <c r="C698" s="4">
        <v>265</v>
      </c>
    </row>
    <row r="699" spans="1:3" x14ac:dyDescent="0.45">
      <c r="A699" s="2">
        <v>35370</v>
      </c>
      <c r="B699" s="7">
        <v>120947</v>
      </c>
      <c r="C699" s="4">
        <v>282</v>
      </c>
    </row>
    <row r="700" spans="1:3" x14ac:dyDescent="0.45">
      <c r="A700" s="2">
        <v>35400</v>
      </c>
      <c r="B700" s="7">
        <v>121143</v>
      </c>
      <c r="C700" s="4">
        <v>196</v>
      </c>
    </row>
    <row r="701" spans="1:3" x14ac:dyDescent="0.45">
      <c r="A701" s="2">
        <v>35431</v>
      </c>
      <c r="B701" s="7">
        <v>121356</v>
      </c>
      <c r="C701" s="4">
        <v>213</v>
      </c>
    </row>
    <row r="702" spans="1:3" x14ac:dyDescent="0.45">
      <c r="A702" s="2">
        <v>35462</v>
      </c>
      <c r="B702" s="7">
        <v>121673</v>
      </c>
      <c r="C702" s="4">
        <v>317</v>
      </c>
    </row>
    <row r="703" spans="1:3" x14ac:dyDescent="0.45">
      <c r="A703" s="2">
        <v>35490</v>
      </c>
      <c r="B703" s="7">
        <v>121991</v>
      </c>
      <c r="C703" s="4">
        <v>318</v>
      </c>
    </row>
    <row r="704" spans="1:3" x14ac:dyDescent="0.45">
      <c r="A704" s="2">
        <v>35521</v>
      </c>
      <c r="B704" s="7">
        <v>122289</v>
      </c>
      <c r="C704" s="4">
        <v>298</v>
      </c>
    </row>
    <row r="705" spans="1:3" x14ac:dyDescent="0.45">
      <c r="A705" s="2">
        <v>35551</v>
      </c>
      <c r="B705" s="7">
        <v>122560</v>
      </c>
      <c r="C705" s="4">
        <v>271</v>
      </c>
    </row>
    <row r="706" spans="1:3" x14ac:dyDescent="0.45">
      <c r="A706" s="2">
        <v>35582</v>
      </c>
      <c r="B706" s="7">
        <v>122816</v>
      </c>
      <c r="C706" s="4">
        <v>256</v>
      </c>
    </row>
    <row r="707" spans="1:3" x14ac:dyDescent="0.45">
      <c r="A707" s="2">
        <v>35612</v>
      </c>
      <c r="B707" s="7">
        <v>123114</v>
      </c>
      <c r="C707" s="4">
        <v>298</v>
      </c>
    </row>
    <row r="708" spans="1:3" x14ac:dyDescent="0.45">
      <c r="A708" s="2">
        <v>35643</v>
      </c>
      <c r="B708" s="7">
        <v>123087</v>
      </c>
      <c r="C708" s="4">
        <v>-27</v>
      </c>
    </row>
    <row r="709" spans="1:3" x14ac:dyDescent="0.45">
      <c r="A709" s="2">
        <v>35674</v>
      </c>
      <c r="B709" s="7">
        <v>123575</v>
      </c>
      <c r="C709" s="4">
        <v>488</v>
      </c>
    </row>
    <row r="710" spans="1:3" x14ac:dyDescent="0.45">
      <c r="A710" s="2">
        <v>35704</v>
      </c>
      <c r="B710" s="7">
        <v>123924</v>
      </c>
      <c r="C710" s="4">
        <v>349</v>
      </c>
    </row>
    <row r="711" spans="1:3" x14ac:dyDescent="0.45">
      <c r="A711" s="2">
        <v>35735</v>
      </c>
      <c r="B711" s="7">
        <v>124225</v>
      </c>
      <c r="C711" s="4">
        <v>301</v>
      </c>
    </row>
    <row r="712" spans="1:3" x14ac:dyDescent="0.45">
      <c r="A712" s="2">
        <v>35765</v>
      </c>
      <c r="B712" s="7">
        <v>124549</v>
      </c>
      <c r="C712" s="4">
        <v>324</v>
      </c>
    </row>
    <row r="713" spans="1:3" x14ac:dyDescent="0.45">
      <c r="A713" s="2">
        <v>35796</v>
      </c>
      <c r="B713" s="7">
        <v>124806</v>
      </c>
      <c r="C713" s="4">
        <v>257</v>
      </c>
    </row>
    <row r="714" spans="1:3" x14ac:dyDescent="0.45">
      <c r="A714" s="2">
        <v>35827</v>
      </c>
      <c r="B714" s="7">
        <v>125017</v>
      </c>
      <c r="C714" s="4">
        <v>211</v>
      </c>
    </row>
    <row r="715" spans="1:3" x14ac:dyDescent="0.45">
      <c r="A715" s="2">
        <v>35855</v>
      </c>
      <c r="B715" s="7">
        <v>125165</v>
      </c>
      <c r="C715" s="4">
        <v>148</v>
      </c>
    </row>
    <row r="716" spans="1:3" x14ac:dyDescent="0.45">
      <c r="A716" s="2">
        <v>35886</v>
      </c>
      <c r="B716" s="7">
        <v>125445</v>
      </c>
      <c r="C716" s="4">
        <v>280</v>
      </c>
    </row>
    <row r="717" spans="1:3" x14ac:dyDescent="0.45">
      <c r="A717" s="2">
        <v>35916</v>
      </c>
      <c r="B717" s="7">
        <v>125845</v>
      </c>
      <c r="C717" s="4">
        <v>400</v>
      </c>
    </row>
    <row r="718" spans="1:3" x14ac:dyDescent="0.45">
      <c r="A718" s="2">
        <v>35947</v>
      </c>
      <c r="B718" s="7">
        <v>126076</v>
      </c>
      <c r="C718" s="4">
        <v>231</v>
      </c>
    </row>
    <row r="719" spans="1:3" x14ac:dyDescent="0.45">
      <c r="A719" s="2">
        <v>35977</v>
      </c>
      <c r="B719" s="7">
        <v>126212</v>
      </c>
      <c r="C719" s="4">
        <v>136</v>
      </c>
    </row>
    <row r="720" spans="1:3" x14ac:dyDescent="0.45">
      <c r="A720" s="2">
        <v>36008</v>
      </c>
      <c r="B720" s="7">
        <v>126546</v>
      </c>
      <c r="C720" s="4">
        <v>334</v>
      </c>
    </row>
    <row r="721" spans="1:3" x14ac:dyDescent="0.45">
      <c r="A721" s="2">
        <v>36039</v>
      </c>
      <c r="B721" s="7">
        <v>126744</v>
      </c>
      <c r="C721" s="4">
        <v>198</v>
      </c>
    </row>
    <row r="722" spans="1:3" x14ac:dyDescent="0.45">
      <c r="A722" s="2">
        <v>36069</v>
      </c>
      <c r="B722" s="7">
        <v>126949</v>
      </c>
      <c r="C722" s="4">
        <v>205</v>
      </c>
    </row>
    <row r="723" spans="1:3" x14ac:dyDescent="0.45">
      <c r="A723" s="2">
        <v>36100</v>
      </c>
      <c r="B723" s="7">
        <v>127222</v>
      </c>
      <c r="C723" s="4">
        <v>273</v>
      </c>
    </row>
    <row r="724" spans="1:3" x14ac:dyDescent="0.45">
      <c r="A724" s="2">
        <v>36130</v>
      </c>
      <c r="B724" s="7">
        <v>127595</v>
      </c>
      <c r="C724" s="4">
        <v>373</v>
      </c>
    </row>
    <row r="725" spans="1:3" x14ac:dyDescent="0.45">
      <c r="A725" s="2">
        <v>36161</v>
      </c>
      <c r="B725" s="7">
        <v>127699</v>
      </c>
      <c r="C725" s="4">
        <v>104</v>
      </c>
    </row>
    <row r="726" spans="1:3" x14ac:dyDescent="0.45">
      <c r="A726" s="2">
        <v>36192</v>
      </c>
      <c r="B726" s="7">
        <v>128117</v>
      </c>
      <c r="C726" s="4">
        <v>418</v>
      </c>
    </row>
    <row r="727" spans="1:3" x14ac:dyDescent="0.45">
      <c r="A727" s="2">
        <v>36220</v>
      </c>
      <c r="B727" s="7">
        <v>128234</v>
      </c>
      <c r="C727" s="4">
        <v>117</v>
      </c>
    </row>
    <row r="728" spans="1:3" x14ac:dyDescent="0.45">
      <c r="A728" s="2">
        <v>36251</v>
      </c>
      <c r="B728" s="7">
        <v>128595</v>
      </c>
      <c r="C728" s="4">
        <v>361</v>
      </c>
    </row>
    <row r="729" spans="1:3" x14ac:dyDescent="0.45">
      <c r="A729" s="2">
        <v>36281</v>
      </c>
      <c r="B729" s="7">
        <v>128813</v>
      </c>
      <c r="C729" s="4">
        <v>218</v>
      </c>
    </row>
    <row r="730" spans="1:3" x14ac:dyDescent="0.45">
      <c r="A730" s="2">
        <v>36312</v>
      </c>
      <c r="B730" s="7">
        <v>129084</v>
      </c>
      <c r="C730" s="4">
        <v>271</v>
      </c>
    </row>
    <row r="731" spans="1:3" x14ac:dyDescent="0.45">
      <c r="A731" s="2">
        <v>36342</v>
      </c>
      <c r="B731" s="7">
        <v>129422</v>
      </c>
      <c r="C731" s="4">
        <v>338</v>
      </c>
    </row>
    <row r="732" spans="1:3" x14ac:dyDescent="0.45">
      <c r="A732" s="2">
        <v>36373</v>
      </c>
      <c r="B732" s="7">
        <v>129572</v>
      </c>
      <c r="C732" s="4">
        <v>150</v>
      </c>
    </row>
    <row r="733" spans="1:3" x14ac:dyDescent="0.45">
      <c r="A733" s="2">
        <v>36404</v>
      </c>
      <c r="B733" s="7">
        <v>129771</v>
      </c>
      <c r="C733" s="4">
        <v>199</v>
      </c>
    </row>
    <row r="734" spans="1:3" x14ac:dyDescent="0.45">
      <c r="A734" s="2">
        <v>36434</v>
      </c>
      <c r="B734" s="7">
        <v>130178</v>
      </c>
      <c r="C734" s="4">
        <v>407</v>
      </c>
    </row>
    <row r="735" spans="1:3" x14ac:dyDescent="0.45">
      <c r="A735" s="2">
        <v>36465</v>
      </c>
      <c r="B735" s="7">
        <v>130466</v>
      </c>
      <c r="C735" s="4">
        <v>288</v>
      </c>
    </row>
    <row r="736" spans="1:3" x14ac:dyDescent="0.45">
      <c r="A736" s="2">
        <v>36495</v>
      </c>
      <c r="B736" s="7">
        <v>130783</v>
      </c>
      <c r="C736" s="4">
        <v>317</v>
      </c>
    </row>
    <row r="737" spans="1:3" x14ac:dyDescent="0.45">
      <c r="A737" s="2">
        <v>36526</v>
      </c>
      <c r="B737" s="7">
        <v>131011</v>
      </c>
      <c r="C737" s="4">
        <v>228</v>
      </c>
    </row>
    <row r="738" spans="1:3" x14ac:dyDescent="0.45">
      <c r="A738" s="2">
        <v>36557</v>
      </c>
      <c r="B738" s="7">
        <v>131120</v>
      </c>
      <c r="C738" s="4">
        <v>109</v>
      </c>
    </row>
    <row r="739" spans="1:3" x14ac:dyDescent="0.45">
      <c r="A739" s="2">
        <v>36586</v>
      </c>
      <c r="B739" s="7">
        <v>131604</v>
      </c>
      <c r="C739" s="4">
        <v>484</v>
      </c>
    </row>
    <row r="740" spans="1:3" x14ac:dyDescent="0.45">
      <c r="A740" s="2">
        <v>36617</v>
      </c>
      <c r="B740" s="7">
        <v>131884</v>
      </c>
      <c r="C740" s="4">
        <v>280</v>
      </c>
    </row>
    <row r="741" spans="1:3" x14ac:dyDescent="0.45">
      <c r="A741" s="2">
        <v>36647</v>
      </c>
      <c r="B741" s="7">
        <v>132105</v>
      </c>
      <c r="C741" s="4">
        <v>221</v>
      </c>
    </row>
    <row r="742" spans="1:3" x14ac:dyDescent="0.45">
      <c r="A742" s="2">
        <v>36678</v>
      </c>
      <c r="B742" s="7">
        <v>132063</v>
      </c>
      <c r="C742" s="4">
        <v>-42</v>
      </c>
    </row>
    <row r="743" spans="1:3" x14ac:dyDescent="0.45">
      <c r="A743" s="2">
        <v>36708</v>
      </c>
      <c r="B743" s="7">
        <v>132228</v>
      </c>
      <c r="C743" s="4">
        <v>165</v>
      </c>
    </row>
    <row r="744" spans="1:3" x14ac:dyDescent="0.45">
      <c r="A744" s="2">
        <v>36739</v>
      </c>
      <c r="B744" s="7">
        <v>132234</v>
      </c>
      <c r="C744" s="4">
        <v>6</v>
      </c>
    </row>
    <row r="745" spans="1:3" x14ac:dyDescent="0.45">
      <c r="A745" s="2">
        <v>36770</v>
      </c>
      <c r="B745" s="7">
        <v>132337</v>
      </c>
      <c r="C745" s="4">
        <v>103</v>
      </c>
    </row>
    <row r="746" spans="1:3" x14ac:dyDescent="0.45">
      <c r="A746" s="2">
        <v>36800</v>
      </c>
      <c r="B746" s="7">
        <v>132352</v>
      </c>
      <c r="C746" s="4">
        <v>15</v>
      </c>
    </row>
    <row r="747" spans="1:3" x14ac:dyDescent="0.45">
      <c r="A747" s="2">
        <v>36831</v>
      </c>
      <c r="B747" s="7">
        <v>132556</v>
      </c>
      <c r="C747" s="4">
        <v>204</v>
      </c>
    </row>
    <row r="748" spans="1:3" x14ac:dyDescent="0.45">
      <c r="A748" s="2">
        <v>36861</v>
      </c>
      <c r="B748" s="7">
        <v>132716</v>
      </c>
      <c r="C748" s="4">
        <v>160</v>
      </c>
    </row>
    <row r="749" spans="1:3" x14ac:dyDescent="0.45">
      <c r="A749" s="2">
        <v>36892</v>
      </c>
      <c r="B749" s="7">
        <v>132703</v>
      </c>
      <c r="C749" s="4">
        <v>-13</v>
      </c>
    </row>
    <row r="750" spans="1:3" x14ac:dyDescent="0.45">
      <c r="A750" s="2">
        <v>36923</v>
      </c>
      <c r="B750" s="7">
        <v>132788</v>
      </c>
      <c r="C750" s="4">
        <v>85</v>
      </c>
    </row>
    <row r="751" spans="1:3" x14ac:dyDescent="0.45">
      <c r="A751" s="2">
        <v>36951</v>
      </c>
      <c r="B751" s="7">
        <v>132751</v>
      </c>
      <c r="C751" s="4">
        <v>-37</v>
      </c>
    </row>
    <row r="752" spans="1:3" x14ac:dyDescent="0.45">
      <c r="A752" s="2">
        <v>36982</v>
      </c>
      <c r="B752" s="7">
        <v>132458</v>
      </c>
      <c r="C752" s="4">
        <v>-293</v>
      </c>
    </row>
    <row r="753" spans="1:3" x14ac:dyDescent="0.45">
      <c r="A753" s="2">
        <v>37012</v>
      </c>
      <c r="B753" s="7">
        <v>132408</v>
      </c>
      <c r="C753" s="4">
        <v>-50</v>
      </c>
    </row>
    <row r="754" spans="1:3" x14ac:dyDescent="0.45">
      <c r="A754" s="2">
        <v>37043</v>
      </c>
      <c r="B754" s="7">
        <v>132300</v>
      </c>
      <c r="C754" s="4">
        <v>-108</v>
      </c>
    </row>
    <row r="755" spans="1:3" x14ac:dyDescent="0.45">
      <c r="A755" s="2">
        <v>37073</v>
      </c>
      <c r="B755" s="7">
        <v>132172</v>
      </c>
      <c r="C755" s="4">
        <v>-128</v>
      </c>
    </row>
    <row r="756" spans="1:3" x14ac:dyDescent="0.45">
      <c r="A756" s="2">
        <v>37104</v>
      </c>
      <c r="B756" s="7">
        <v>132021</v>
      </c>
      <c r="C756" s="4">
        <v>-151</v>
      </c>
    </row>
    <row r="757" spans="1:3" x14ac:dyDescent="0.45">
      <c r="A757" s="2">
        <v>37135</v>
      </c>
      <c r="B757" s="7">
        <v>131763</v>
      </c>
      <c r="C757" s="4">
        <v>-258</v>
      </c>
    </row>
    <row r="758" spans="1:3" x14ac:dyDescent="0.45">
      <c r="A758" s="2">
        <v>37165</v>
      </c>
      <c r="B758" s="7">
        <v>131452</v>
      </c>
      <c r="C758" s="4">
        <v>-311</v>
      </c>
    </row>
    <row r="759" spans="1:3" x14ac:dyDescent="0.45">
      <c r="A759" s="2">
        <v>37196</v>
      </c>
      <c r="B759" s="7">
        <v>131144</v>
      </c>
      <c r="C759" s="4">
        <v>-308</v>
      </c>
    </row>
    <row r="760" spans="1:3" x14ac:dyDescent="0.45">
      <c r="A760" s="2">
        <v>37226</v>
      </c>
      <c r="B760" s="7">
        <v>130983</v>
      </c>
      <c r="C760" s="4">
        <v>-161</v>
      </c>
    </row>
    <row r="761" spans="1:3" x14ac:dyDescent="0.45">
      <c r="A761" s="2">
        <v>37257</v>
      </c>
      <c r="B761" s="7">
        <v>130859</v>
      </c>
      <c r="C761" s="4">
        <v>-124</v>
      </c>
    </row>
    <row r="762" spans="1:3" x14ac:dyDescent="0.45">
      <c r="A762" s="2">
        <v>37288</v>
      </c>
      <c r="B762" s="7">
        <v>130737</v>
      </c>
      <c r="C762" s="4">
        <v>-122</v>
      </c>
    </row>
    <row r="763" spans="1:3" x14ac:dyDescent="0.45">
      <c r="A763" s="2">
        <v>37316</v>
      </c>
      <c r="B763" s="7">
        <v>130722</v>
      </c>
      <c r="C763" s="4">
        <v>-15</v>
      </c>
    </row>
    <row r="764" spans="1:3" x14ac:dyDescent="0.45">
      <c r="A764" s="2">
        <v>37347</v>
      </c>
      <c r="B764" s="7">
        <v>130616</v>
      </c>
      <c r="C764" s="4">
        <v>-106</v>
      </c>
    </row>
    <row r="765" spans="1:3" x14ac:dyDescent="0.45">
      <c r="A765" s="2">
        <v>37377</v>
      </c>
      <c r="B765" s="7">
        <v>130632</v>
      </c>
      <c r="C765" s="4">
        <v>16</v>
      </c>
    </row>
    <row r="766" spans="1:3" x14ac:dyDescent="0.45">
      <c r="A766" s="2">
        <v>37408</v>
      </c>
      <c r="B766" s="7">
        <v>130674</v>
      </c>
      <c r="C766" s="4">
        <v>42</v>
      </c>
    </row>
    <row r="767" spans="1:3" x14ac:dyDescent="0.45">
      <c r="A767" s="2">
        <v>37438</v>
      </c>
      <c r="B767" s="7">
        <v>130584</v>
      </c>
      <c r="C767" s="4">
        <v>-90</v>
      </c>
    </row>
    <row r="768" spans="1:3" x14ac:dyDescent="0.45">
      <c r="A768" s="2">
        <v>37469</v>
      </c>
      <c r="B768" s="7">
        <v>130581</v>
      </c>
      <c r="C768" s="4">
        <v>-3</v>
      </c>
    </row>
    <row r="769" spans="1:3" x14ac:dyDescent="0.45">
      <c r="A769" s="2">
        <v>37500</v>
      </c>
      <c r="B769" s="7">
        <v>130502</v>
      </c>
      <c r="C769" s="4">
        <v>-79</v>
      </c>
    </row>
    <row r="770" spans="1:3" x14ac:dyDescent="0.45">
      <c r="A770" s="2">
        <v>37530</v>
      </c>
      <c r="B770" s="7">
        <v>130617</v>
      </c>
      <c r="C770" s="4">
        <v>115</v>
      </c>
    </row>
    <row r="771" spans="1:3" x14ac:dyDescent="0.45">
      <c r="A771" s="2">
        <v>37561</v>
      </c>
      <c r="B771" s="7">
        <v>130616</v>
      </c>
      <c r="C771" s="4">
        <v>-1</v>
      </c>
    </row>
    <row r="772" spans="1:3" x14ac:dyDescent="0.45">
      <c r="A772" s="2">
        <v>37591</v>
      </c>
      <c r="B772" s="7">
        <v>130465</v>
      </c>
      <c r="C772" s="4">
        <v>-151</v>
      </c>
    </row>
    <row r="773" spans="1:3" x14ac:dyDescent="0.45">
      <c r="A773" s="2">
        <v>37622</v>
      </c>
      <c r="B773" s="7">
        <v>130573</v>
      </c>
      <c r="C773" s="4">
        <v>108</v>
      </c>
    </row>
    <row r="774" spans="1:3" x14ac:dyDescent="0.45">
      <c r="A774" s="2">
        <v>37653</v>
      </c>
      <c r="B774" s="7">
        <v>130441</v>
      </c>
      <c r="C774" s="4">
        <v>-132</v>
      </c>
    </row>
    <row r="775" spans="1:3" x14ac:dyDescent="0.45">
      <c r="A775" s="2">
        <v>37681</v>
      </c>
      <c r="B775" s="7">
        <v>130235</v>
      </c>
      <c r="C775" s="4">
        <v>-206</v>
      </c>
    </row>
    <row r="776" spans="1:3" x14ac:dyDescent="0.45">
      <c r="A776" s="2">
        <v>37712</v>
      </c>
      <c r="B776" s="7">
        <v>130173</v>
      </c>
      <c r="C776" s="4">
        <v>-62</v>
      </c>
    </row>
    <row r="777" spans="1:3" x14ac:dyDescent="0.45">
      <c r="A777" s="2">
        <v>37742</v>
      </c>
      <c r="B777" s="7">
        <v>130197</v>
      </c>
      <c r="C777" s="4">
        <v>24</v>
      </c>
    </row>
    <row r="778" spans="1:3" x14ac:dyDescent="0.45">
      <c r="A778" s="2">
        <v>37773</v>
      </c>
      <c r="B778" s="7">
        <v>130186</v>
      </c>
      <c r="C778" s="4">
        <v>-11</v>
      </c>
    </row>
    <row r="779" spans="1:3" x14ac:dyDescent="0.45">
      <c r="A779" s="2">
        <v>37803</v>
      </c>
      <c r="B779" s="7">
        <v>130184</v>
      </c>
      <c r="C779" s="4">
        <v>-2</v>
      </c>
    </row>
    <row r="780" spans="1:3" x14ac:dyDescent="0.45">
      <c r="A780" s="2">
        <v>37834</v>
      </c>
      <c r="B780" s="7">
        <v>130153</v>
      </c>
      <c r="C780" s="4">
        <v>-31</v>
      </c>
    </row>
    <row r="781" spans="1:3" x14ac:dyDescent="0.45">
      <c r="A781" s="2">
        <v>37865</v>
      </c>
      <c r="B781" s="7">
        <v>130252</v>
      </c>
      <c r="C781" s="4">
        <v>99</v>
      </c>
    </row>
    <row r="782" spans="1:3" x14ac:dyDescent="0.45">
      <c r="A782" s="2">
        <v>37895</v>
      </c>
      <c r="B782" s="7">
        <v>130439</v>
      </c>
      <c r="C782" s="4">
        <v>187</v>
      </c>
    </row>
    <row r="783" spans="1:3" x14ac:dyDescent="0.45">
      <c r="A783" s="2">
        <v>37926</v>
      </c>
      <c r="B783" s="7">
        <v>130480</v>
      </c>
      <c r="C783" s="4">
        <v>41</v>
      </c>
    </row>
    <row r="784" spans="1:3" x14ac:dyDescent="0.45">
      <c r="A784" s="2">
        <v>37956</v>
      </c>
      <c r="B784" s="7">
        <v>130589</v>
      </c>
      <c r="C784" s="4">
        <v>109</v>
      </c>
    </row>
    <row r="785" spans="1:3" x14ac:dyDescent="0.45">
      <c r="A785" s="2">
        <v>37987</v>
      </c>
      <c r="B785" s="7">
        <v>130756</v>
      </c>
      <c r="C785" s="4">
        <v>167</v>
      </c>
    </row>
    <row r="786" spans="1:3" x14ac:dyDescent="0.45">
      <c r="A786" s="2">
        <v>38018</v>
      </c>
      <c r="B786" s="7">
        <v>130821</v>
      </c>
      <c r="C786" s="4">
        <v>65</v>
      </c>
    </row>
    <row r="787" spans="1:3" x14ac:dyDescent="0.45">
      <c r="A787" s="2">
        <v>38047</v>
      </c>
      <c r="B787" s="7">
        <v>131140</v>
      </c>
      <c r="C787" s="4">
        <v>319</v>
      </c>
    </row>
    <row r="788" spans="1:3" x14ac:dyDescent="0.45">
      <c r="A788" s="2">
        <v>38078</v>
      </c>
      <c r="B788" s="7">
        <v>131412</v>
      </c>
      <c r="C788" s="4">
        <v>272</v>
      </c>
    </row>
    <row r="789" spans="1:3" x14ac:dyDescent="0.45">
      <c r="A789" s="2">
        <v>38108</v>
      </c>
      <c r="B789" s="7">
        <v>131697</v>
      </c>
      <c r="C789" s="4">
        <v>285</v>
      </c>
    </row>
    <row r="790" spans="1:3" x14ac:dyDescent="0.45">
      <c r="A790" s="2">
        <v>38139</v>
      </c>
      <c r="B790" s="7">
        <v>131794</v>
      </c>
      <c r="C790" s="4">
        <v>97</v>
      </c>
    </row>
    <row r="791" spans="1:3" x14ac:dyDescent="0.45">
      <c r="A791" s="2">
        <v>38169</v>
      </c>
      <c r="B791" s="7">
        <v>131854</v>
      </c>
      <c r="C791" s="4">
        <v>60</v>
      </c>
    </row>
    <row r="792" spans="1:3" x14ac:dyDescent="0.45">
      <c r="A792" s="2">
        <v>38200</v>
      </c>
      <c r="B792" s="7">
        <v>131939</v>
      </c>
      <c r="C792" s="4">
        <v>85</v>
      </c>
    </row>
    <row r="793" spans="1:3" x14ac:dyDescent="0.45">
      <c r="A793" s="2">
        <v>38231</v>
      </c>
      <c r="B793" s="7">
        <v>132089</v>
      </c>
      <c r="C793" s="4">
        <v>150</v>
      </c>
    </row>
    <row r="794" spans="1:3" x14ac:dyDescent="0.45">
      <c r="A794" s="2">
        <v>38261</v>
      </c>
      <c r="B794" s="7">
        <v>132429</v>
      </c>
      <c r="C794" s="4">
        <v>340</v>
      </c>
    </row>
    <row r="795" spans="1:3" x14ac:dyDescent="0.45">
      <c r="A795" s="2">
        <v>38292</v>
      </c>
      <c r="B795" s="7">
        <v>132503</v>
      </c>
      <c r="C795" s="4">
        <v>74</v>
      </c>
    </row>
    <row r="796" spans="1:3" x14ac:dyDescent="0.45">
      <c r="A796" s="2">
        <v>38322</v>
      </c>
      <c r="B796" s="7">
        <v>132630</v>
      </c>
      <c r="C796" s="4">
        <v>127</v>
      </c>
    </row>
    <row r="797" spans="1:3" x14ac:dyDescent="0.45">
      <c r="A797" s="2">
        <v>38353</v>
      </c>
      <c r="B797" s="7">
        <v>132781</v>
      </c>
      <c r="C797" s="4">
        <v>151</v>
      </c>
    </row>
    <row r="798" spans="1:3" x14ac:dyDescent="0.45">
      <c r="A798" s="2">
        <v>38384</v>
      </c>
      <c r="B798" s="7">
        <v>133034</v>
      </c>
      <c r="C798" s="4">
        <v>253</v>
      </c>
    </row>
    <row r="799" spans="1:3" x14ac:dyDescent="0.45">
      <c r="A799" s="2">
        <v>38412</v>
      </c>
      <c r="B799" s="7">
        <v>133154</v>
      </c>
      <c r="C799" s="4">
        <v>120</v>
      </c>
    </row>
    <row r="800" spans="1:3" x14ac:dyDescent="0.45">
      <c r="A800" s="2">
        <v>38443</v>
      </c>
      <c r="B800" s="7">
        <v>133520</v>
      </c>
      <c r="C800" s="4">
        <v>366</v>
      </c>
    </row>
    <row r="801" spans="1:3" x14ac:dyDescent="0.45">
      <c r="A801" s="2">
        <v>38473</v>
      </c>
      <c r="B801" s="7">
        <v>133689</v>
      </c>
      <c r="C801" s="4">
        <v>169</v>
      </c>
    </row>
    <row r="802" spans="1:3" x14ac:dyDescent="0.45">
      <c r="A802" s="2">
        <v>38504</v>
      </c>
      <c r="B802" s="7">
        <v>133948</v>
      </c>
      <c r="C802" s="4">
        <v>259</v>
      </c>
    </row>
    <row r="803" spans="1:3" x14ac:dyDescent="0.45">
      <c r="A803" s="2">
        <v>38534</v>
      </c>
      <c r="B803" s="7">
        <v>134300</v>
      </c>
      <c r="C803" s="4">
        <v>352</v>
      </c>
    </row>
    <row r="804" spans="1:3" x14ac:dyDescent="0.45">
      <c r="A804" s="2">
        <v>38565</v>
      </c>
      <c r="B804" s="7">
        <v>134502</v>
      </c>
      <c r="C804" s="4">
        <v>202</v>
      </c>
    </row>
    <row r="805" spans="1:3" x14ac:dyDescent="0.45">
      <c r="A805" s="2">
        <v>38596</v>
      </c>
      <c r="B805" s="7">
        <v>134552</v>
      </c>
      <c r="C805" s="4">
        <v>50</v>
      </c>
    </row>
    <row r="806" spans="1:3" x14ac:dyDescent="0.45">
      <c r="A806" s="2">
        <v>38626</v>
      </c>
      <c r="B806" s="7">
        <v>134641</v>
      </c>
      <c r="C806" s="4">
        <v>89</v>
      </c>
    </row>
    <row r="807" spans="1:3" x14ac:dyDescent="0.45">
      <c r="A807" s="2">
        <v>38657</v>
      </c>
      <c r="B807" s="7">
        <v>134997</v>
      </c>
      <c r="C807" s="4">
        <v>356</v>
      </c>
    </row>
    <row r="808" spans="1:3" x14ac:dyDescent="0.45">
      <c r="A808" s="2">
        <v>38687</v>
      </c>
      <c r="B808" s="7">
        <v>135159</v>
      </c>
      <c r="C808" s="4">
        <v>162</v>
      </c>
    </row>
    <row r="809" spans="1:3" x14ac:dyDescent="0.45">
      <c r="A809" s="2">
        <v>38718</v>
      </c>
      <c r="B809" s="7">
        <v>135427</v>
      </c>
      <c r="C809" s="4">
        <v>268</v>
      </c>
    </row>
    <row r="810" spans="1:3" x14ac:dyDescent="0.45">
      <c r="A810" s="2">
        <v>38749</v>
      </c>
      <c r="B810" s="7">
        <v>135733</v>
      </c>
      <c r="C810" s="4">
        <v>306</v>
      </c>
    </row>
    <row r="811" spans="1:3" x14ac:dyDescent="0.45">
      <c r="A811" s="2">
        <v>38777</v>
      </c>
      <c r="B811" s="7">
        <v>136038</v>
      </c>
      <c r="C811" s="4">
        <v>305</v>
      </c>
    </row>
    <row r="812" spans="1:3" x14ac:dyDescent="0.45">
      <c r="A812" s="2">
        <v>38808</v>
      </c>
      <c r="B812" s="7">
        <v>136210</v>
      </c>
      <c r="C812" s="4">
        <v>172</v>
      </c>
    </row>
    <row r="813" spans="1:3" x14ac:dyDescent="0.45">
      <c r="A813" s="2">
        <v>38838</v>
      </c>
      <c r="B813" s="7">
        <v>136249</v>
      </c>
      <c r="C813" s="4">
        <v>39</v>
      </c>
    </row>
    <row r="814" spans="1:3" x14ac:dyDescent="0.45">
      <c r="A814" s="2">
        <v>38869</v>
      </c>
      <c r="B814" s="7">
        <v>136337</v>
      </c>
      <c r="C814" s="4">
        <v>88</v>
      </c>
    </row>
    <row r="815" spans="1:3" x14ac:dyDescent="0.45">
      <c r="A815" s="2">
        <v>38899</v>
      </c>
      <c r="B815" s="7">
        <v>136529</v>
      </c>
      <c r="C815" s="4">
        <v>192</v>
      </c>
    </row>
    <row r="816" spans="1:3" x14ac:dyDescent="0.45">
      <c r="A816" s="2">
        <v>38930</v>
      </c>
      <c r="B816" s="7">
        <v>136692</v>
      </c>
      <c r="C816" s="4">
        <v>163</v>
      </c>
    </row>
    <row r="817" spans="1:3" x14ac:dyDescent="0.45">
      <c r="A817" s="2">
        <v>38961</v>
      </c>
      <c r="B817" s="7">
        <v>136826</v>
      </c>
      <c r="C817" s="4">
        <v>134</v>
      </c>
    </row>
    <row r="818" spans="1:3" x14ac:dyDescent="0.45">
      <c r="A818" s="2">
        <v>38991</v>
      </c>
      <c r="B818" s="7">
        <v>136843</v>
      </c>
      <c r="C818" s="4">
        <v>17</v>
      </c>
    </row>
    <row r="819" spans="1:3" x14ac:dyDescent="0.45">
      <c r="A819" s="2">
        <v>39022</v>
      </c>
      <c r="B819" s="7">
        <v>137060</v>
      </c>
      <c r="C819" s="4">
        <v>217</v>
      </c>
    </row>
    <row r="820" spans="1:3" x14ac:dyDescent="0.45">
      <c r="A820" s="2">
        <v>39052</v>
      </c>
      <c r="B820" s="7">
        <v>137249</v>
      </c>
      <c r="C820" s="4">
        <v>189</v>
      </c>
    </row>
    <row r="821" spans="1:3" x14ac:dyDescent="0.45">
      <c r="A821" s="2">
        <v>39083</v>
      </c>
      <c r="B821" s="7">
        <v>137472</v>
      </c>
      <c r="C821" s="4">
        <v>223</v>
      </c>
    </row>
    <row r="822" spans="1:3" x14ac:dyDescent="0.45">
      <c r="A822" s="2">
        <v>39114</v>
      </c>
      <c r="B822" s="7">
        <v>137560</v>
      </c>
      <c r="C822" s="4">
        <v>88</v>
      </c>
    </row>
    <row r="823" spans="1:3" x14ac:dyDescent="0.45">
      <c r="A823" s="2">
        <v>39142</v>
      </c>
      <c r="B823" s="7">
        <v>137784</v>
      </c>
      <c r="C823" s="4">
        <v>224</v>
      </c>
    </row>
    <row r="824" spans="1:3" x14ac:dyDescent="0.45">
      <c r="A824" s="2">
        <v>39173</v>
      </c>
      <c r="B824" s="7">
        <v>137847</v>
      </c>
      <c r="C824" s="4">
        <v>63</v>
      </c>
    </row>
    <row r="825" spans="1:3" x14ac:dyDescent="0.45">
      <c r="A825" s="2">
        <v>39203</v>
      </c>
      <c r="B825" s="7">
        <v>137992</v>
      </c>
      <c r="C825" s="4">
        <v>145</v>
      </c>
    </row>
    <row r="826" spans="1:3" x14ac:dyDescent="0.45">
      <c r="A826" s="2">
        <v>39234</v>
      </c>
      <c r="B826" s="7">
        <v>138070</v>
      </c>
      <c r="C826" s="4">
        <v>78</v>
      </c>
    </row>
    <row r="827" spans="1:3" x14ac:dyDescent="0.45">
      <c r="A827" s="2">
        <v>39264</v>
      </c>
      <c r="B827" s="7">
        <v>138044</v>
      </c>
      <c r="C827" s="4">
        <v>-26</v>
      </c>
    </row>
    <row r="828" spans="1:3" x14ac:dyDescent="0.45">
      <c r="A828" s="2">
        <v>39295</v>
      </c>
      <c r="B828" s="7">
        <v>138013</v>
      </c>
      <c r="C828" s="4">
        <v>-31</v>
      </c>
    </row>
    <row r="829" spans="1:3" x14ac:dyDescent="0.45">
      <c r="A829" s="2">
        <v>39326</v>
      </c>
      <c r="B829" s="7">
        <v>138099</v>
      </c>
      <c r="C829" s="4">
        <v>86</v>
      </c>
    </row>
    <row r="830" spans="1:3" x14ac:dyDescent="0.45">
      <c r="A830" s="2">
        <v>39356</v>
      </c>
      <c r="B830" s="7">
        <v>138175</v>
      </c>
      <c r="C830" s="4">
        <v>76</v>
      </c>
    </row>
    <row r="831" spans="1:3" x14ac:dyDescent="0.45">
      <c r="A831" s="2">
        <v>39387</v>
      </c>
      <c r="B831" s="7">
        <v>138290</v>
      </c>
      <c r="C831" s="4">
        <v>115</v>
      </c>
    </row>
    <row r="832" spans="1:3" x14ac:dyDescent="0.45">
      <c r="A832" s="2">
        <v>39417</v>
      </c>
      <c r="B832" s="7">
        <v>138395</v>
      </c>
      <c r="C832" s="4">
        <v>105</v>
      </c>
    </row>
    <row r="833" spans="1:3" x14ac:dyDescent="0.45">
      <c r="A833" s="2">
        <v>39448</v>
      </c>
      <c r="B833" s="7">
        <v>138391</v>
      </c>
      <c r="C833" s="4">
        <v>-4</v>
      </c>
    </row>
    <row r="834" spans="1:3" x14ac:dyDescent="0.45">
      <c r="A834" s="2">
        <v>39479</v>
      </c>
      <c r="B834" s="7">
        <v>138329</v>
      </c>
      <c r="C834" s="4">
        <v>-62</v>
      </c>
    </row>
    <row r="835" spans="1:3" x14ac:dyDescent="0.45">
      <c r="A835" s="2">
        <v>39508</v>
      </c>
      <c r="B835" s="7">
        <v>138259</v>
      </c>
      <c r="C835" s="4">
        <v>-70</v>
      </c>
    </row>
    <row r="836" spans="1:3" x14ac:dyDescent="0.45">
      <c r="A836" s="2">
        <v>39539</v>
      </c>
      <c r="B836" s="7">
        <v>138040</v>
      </c>
      <c r="C836" s="4">
        <v>-219</v>
      </c>
    </row>
    <row r="837" spans="1:3" x14ac:dyDescent="0.45">
      <c r="A837" s="2">
        <v>39569</v>
      </c>
      <c r="B837" s="7">
        <v>137851</v>
      </c>
      <c r="C837" s="4">
        <v>-189</v>
      </c>
    </row>
    <row r="838" spans="1:3" x14ac:dyDescent="0.45">
      <c r="A838" s="2">
        <v>39600</v>
      </c>
      <c r="B838" s="7">
        <v>137700</v>
      </c>
      <c r="C838" s="4">
        <v>-151</v>
      </c>
    </row>
    <row r="839" spans="1:3" x14ac:dyDescent="0.45">
      <c r="A839" s="2">
        <v>39630</v>
      </c>
      <c r="B839" s="7">
        <v>137497</v>
      </c>
      <c r="C839" s="4">
        <v>-203</v>
      </c>
    </row>
    <row r="840" spans="1:3" x14ac:dyDescent="0.45">
      <c r="A840" s="2">
        <v>39661</v>
      </c>
      <c r="B840" s="7">
        <v>137211</v>
      </c>
      <c r="C840" s="4">
        <v>-286</v>
      </c>
    </row>
    <row r="841" spans="1:3" x14ac:dyDescent="0.45">
      <c r="A841" s="2">
        <v>39692</v>
      </c>
      <c r="B841" s="7">
        <v>136760</v>
      </c>
      <c r="C841" s="4">
        <v>-451</v>
      </c>
    </row>
    <row r="842" spans="1:3" x14ac:dyDescent="0.45">
      <c r="A842" s="2">
        <v>39722</v>
      </c>
      <c r="B842" s="7">
        <v>136291</v>
      </c>
      <c r="C842" s="4">
        <v>-469</v>
      </c>
    </row>
    <row r="843" spans="1:3" x14ac:dyDescent="0.45">
      <c r="A843" s="2">
        <v>39753</v>
      </c>
      <c r="B843" s="7">
        <v>135541</v>
      </c>
      <c r="C843" s="4">
        <v>-750</v>
      </c>
    </row>
    <row r="844" spans="1:3" x14ac:dyDescent="0.45">
      <c r="A844" s="2">
        <v>39783</v>
      </c>
      <c r="B844" s="7">
        <v>134847</v>
      </c>
      <c r="C844" s="4">
        <v>-694</v>
      </c>
    </row>
    <row r="845" spans="1:3" x14ac:dyDescent="0.45">
      <c r="A845" s="2">
        <v>39814</v>
      </c>
      <c r="B845" s="7">
        <v>134079</v>
      </c>
      <c r="C845" s="4">
        <v>-768</v>
      </c>
    </row>
    <row r="846" spans="1:3" x14ac:dyDescent="0.45">
      <c r="A846" s="2">
        <v>39845</v>
      </c>
      <c r="B846" s="7">
        <v>133318</v>
      </c>
      <c r="C846" s="4">
        <v>-761</v>
      </c>
    </row>
    <row r="847" spans="1:3" x14ac:dyDescent="0.45">
      <c r="A847" s="2">
        <v>39873</v>
      </c>
      <c r="B847" s="7">
        <v>132494</v>
      </c>
      <c r="C847" s="4">
        <v>-824</v>
      </c>
    </row>
    <row r="848" spans="1:3" x14ac:dyDescent="0.45">
      <c r="A848" s="2">
        <v>39904</v>
      </c>
      <c r="B848" s="7">
        <v>131822</v>
      </c>
      <c r="C848" s="4">
        <v>-672</v>
      </c>
    </row>
    <row r="849" spans="1:3" x14ac:dyDescent="0.45">
      <c r="A849" s="2">
        <v>39934</v>
      </c>
      <c r="B849" s="7">
        <v>131466</v>
      </c>
      <c r="C849" s="4">
        <v>-356</v>
      </c>
    </row>
    <row r="850" spans="1:3" x14ac:dyDescent="0.45">
      <c r="A850" s="2">
        <v>39965</v>
      </c>
      <c r="B850" s="7">
        <v>131008</v>
      </c>
      <c r="C850" s="4">
        <v>-458</v>
      </c>
    </row>
    <row r="851" spans="1:3" x14ac:dyDescent="0.45">
      <c r="A851" s="2">
        <v>39995</v>
      </c>
      <c r="B851" s="7">
        <v>130662</v>
      </c>
      <c r="C851" s="4">
        <v>-346</v>
      </c>
    </row>
    <row r="852" spans="1:3" x14ac:dyDescent="0.45">
      <c r="A852" s="2">
        <v>40026</v>
      </c>
      <c r="B852" s="7">
        <v>130472</v>
      </c>
      <c r="C852" s="4">
        <v>-190</v>
      </c>
    </row>
    <row r="853" spans="1:3" x14ac:dyDescent="0.45">
      <c r="A853" s="2">
        <v>40057</v>
      </c>
      <c r="B853" s="7">
        <v>130246</v>
      </c>
      <c r="C853" s="4">
        <v>-226</v>
      </c>
    </row>
    <row r="854" spans="1:3" x14ac:dyDescent="0.45">
      <c r="A854" s="2">
        <v>40087</v>
      </c>
      <c r="B854" s="7">
        <v>130061</v>
      </c>
      <c r="C854" s="4">
        <v>-185</v>
      </c>
    </row>
    <row r="855" spans="1:3" x14ac:dyDescent="0.45">
      <c r="A855" s="2">
        <v>40118</v>
      </c>
      <c r="B855" s="7">
        <v>130057</v>
      </c>
      <c r="C855" s="4">
        <v>-4</v>
      </c>
    </row>
    <row r="856" spans="1:3" x14ac:dyDescent="0.45">
      <c r="A856" s="2">
        <v>40148</v>
      </c>
      <c r="B856" s="7">
        <v>129808</v>
      </c>
      <c r="C856" s="4">
        <v>-249</v>
      </c>
    </row>
    <row r="857" spans="1:3" x14ac:dyDescent="0.45">
      <c r="A857" s="2">
        <v>40179</v>
      </c>
      <c r="B857" s="7">
        <v>129802</v>
      </c>
      <c r="C857" s="4">
        <v>-6</v>
      </c>
    </row>
    <row r="858" spans="1:3" x14ac:dyDescent="0.45">
      <c r="A858" s="2">
        <v>40210</v>
      </c>
      <c r="B858" s="7">
        <v>129706</v>
      </c>
      <c r="C858" s="4">
        <v>-96</v>
      </c>
    </row>
    <row r="859" spans="1:3" x14ac:dyDescent="0.45">
      <c r="A859" s="2">
        <v>40238</v>
      </c>
      <c r="B859" s="7">
        <v>129866</v>
      </c>
      <c r="C859" s="4">
        <v>160</v>
      </c>
    </row>
    <row r="860" spans="1:3" x14ac:dyDescent="0.45">
      <c r="A860" s="2">
        <v>40269</v>
      </c>
      <c r="B860" s="7">
        <v>130120</v>
      </c>
      <c r="C860" s="4">
        <v>254</v>
      </c>
    </row>
    <row r="861" spans="1:3" x14ac:dyDescent="0.45">
      <c r="A861" s="2">
        <v>40299</v>
      </c>
      <c r="B861" s="7">
        <v>130642</v>
      </c>
      <c r="C861" s="4">
        <v>522</v>
      </c>
    </row>
    <row r="862" spans="1:3" x14ac:dyDescent="0.45">
      <c r="A862" s="2">
        <v>40330</v>
      </c>
      <c r="B862" s="7">
        <v>130510</v>
      </c>
      <c r="C862" s="4">
        <v>-132</v>
      </c>
    </row>
    <row r="863" spans="1:3" x14ac:dyDescent="0.45">
      <c r="A863" s="2">
        <v>40360</v>
      </c>
      <c r="B863" s="7">
        <v>130415</v>
      </c>
      <c r="C863" s="4">
        <v>-95</v>
      </c>
    </row>
    <row r="864" spans="1:3" x14ac:dyDescent="0.45">
      <c r="A864" s="2">
        <v>40391</v>
      </c>
      <c r="B864" s="7">
        <v>130415</v>
      </c>
      <c r="C864" s="4">
        <v>0</v>
      </c>
    </row>
    <row r="865" spans="1:3" x14ac:dyDescent="0.45">
      <c r="A865" s="2">
        <v>40422</v>
      </c>
      <c r="B865" s="7">
        <v>130341</v>
      </c>
      <c r="C865" s="4">
        <v>-74</v>
      </c>
    </row>
    <row r="866" spans="1:3" x14ac:dyDescent="0.45">
      <c r="A866" s="2">
        <v>40452</v>
      </c>
      <c r="B866" s="7">
        <v>130620</v>
      </c>
      <c r="C866" s="4">
        <v>279</v>
      </c>
    </row>
    <row r="867" spans="1:3" x14ac:dyDescent="0.45">
      <c r="A867" s="2">
        <v>40483</v>
      </c>
      <c r="B867" s="7">
        <v>130749</v>
      </c>
      <c r="C867" s="4">
        <v>129</v>
      </c>
    </row>
    <row r="868" spans="1:3" x14ac:dyDescent="0.45">
      <c r="A868" s="2">
        <v>40513</v>
      </c>
      <c r="B868" s="7">
        <v>130830</v>
      </c>
      <c r="C868" s="4">
        <v>81</v>
      </c>
    </row>
    <row r="869" spans="1:3" x14ac:dyDescent="0.45">
      <c r="A869" s="2">
        <v>40544</v>
      </c>
      <c r="B869" s="7">
        <v>130837</v>
      </c>
      <c r="C869" s="4">
        <v>7</v>
      </c>
    </row>
    <row r="870" spans="1:3" x14ac:dyDescent="0.45">
      <c r="A870" s="2">
        <v>40575</v>
      </c>
      <c r="B870" s="7">
        <v>131057</v>
      </c>
      <c r="C870" s="4">
        <v>220</v>
      </c>
    </row>
    <row r="871" spans="1:3" x14ac:dyDescent="0.45">
      <c r="A871" s="2">
        <v>40603</v>
      </c>
      <c r="B871" s="7">
        <v>131283</v>
      </c>
      <c r="C871" s="4">
        <v>226</v>
      </c>
    </row>
    <row r="872" spans="1:3" x14ac:dyDescent="0.45">
      <c r="A872" s="2">
        <v>40634</v>
      </c>
      <c r="B872" s="7">
        <v>131597</v>
      </c>
      <c r="C872" s="4">
        <v>314</v>
      </c>
    </row>
    <row r="873" spans="1:3" x14ac:dyDescent="0.45">
      <c r="A873" s="2">
        <v>40664</v>
      </c>
      <c r="B873" s="7">
        <v>131703</v>
      </c>
      <c r="C873" s="4">
        <v>106</v>
      </c>
    </row>
    <row r="874" spans="1:3" x14ac:dyDescent="0.45">
      <c r="A874" s="2">
        <v>40695</v>
      </c>
      <c r="B874" s="7">
        <v>131931</v>
      </c>
      <c r="C874" s="4">
        <v>228</v>
      </c>
    </row>
    <row r="875" spans="1:3" x14ac:dyDescent="0.45">
      <c r="A875" s="2">
        <v>40725</v>
      </c>
      <c r="B875" s="7">
        <v>131992</v>
      </c>
      <c r="C875" s="4">
        <v>61</v>
      </c>
    </row>
    <row r="876" spans="1:3" x14ac:dyDescent="0.45">
      <c r="A876" s="2">
        <v>40756</v>
      </c>
      <c r="B876" s="7">
        <v>132125</v>
      </c>
      <c r="C876" s="4">
        <v>133</v>
      </c>
    </row>
    <row r="877" spans="1:3" x14ac:dyDescent="0.45">
      <c r="A877" s="2">
        <v>40787</v>
      </c>
      <c r="B877" s="7">
        <v>132344</v>
      </c>
      <c r="C877" s="4">
        <v>219</v>
      </c>
    </row>
    <row r="878" spans="1:3" x14ac:dyDescent="0.45">
      <c r="A878" s="2">
        <v>40817</v>
      </c>
      <c r="B878" s="7">
        <v>132553</v>
      </c>
      <c r="C878" s="4">
        <v>209</v>
      </c>
    </row>
    <row r="879" spans="1:3" x14ac:dyDescent="0.45">
      <c r="A879" s="2">
        <v>40848</v>
      </c>
      <c r="B879" s="7">
        <v>132690</v>
      </c>
      <c r="C879" s="4">
        <v>137</v>
      </c>
    </row>
    <row r="880" spans="1:3" x14ac:dyDescent="0.45">
      <c r="A880" s="2">
        <v>40878</v>
      </c>
      <c r="B880" s="7">
        <v>132888</v>
      </c>
      <c r="C880" s="4">
        <v>198</v>
      </c>
    </row>
    <row r="881" spans="1:3" x14ac:dyDescent="0.45">
      <c r="A881" s="2">
        <v>40909</v>
      </c>
      <c r="B881" s="7">
        <v>133246</v>
      </c>
      <c r="C881" s="4">
        <v>358</v>
      </c>
    </row>
    <row r="882" spans="1:3" x14ac:dyDescent="0.45">
      <c r="A882" s="2">
        <v>40940</v>
      </c>
      <c r="B882" s="7">
        <v>133509</v>
      </c>
      <c r="C882" s="4">
        <v>263</v>
      </c>
    </row>
    <row r="883" spans="1:3" x14ac:dyDescent="0.45">
      <c r="A883" s="2">
        <v>40969</v>
      </c>
      <c r="B883" s="7">
        <v>133748</v>
      </c>
      <c r="C883" s="4">
        <v>239</v>
      </c>
    </row>
    <row r="884" spans="1:3" x14ac:dyDescent="0.45">
      <c r="A884" s="2">
        <v>41000</v>
      </c>
      <c r="B884" s="7">
        <v>133825</v>
      </c>
      <c r="C884" s="4">
        <v>77</v>
      </c>
    </row>
    <row r="885" spans="1:3" x14ac:dyDescent="0.45">
      <c r="A885" s="2">
        <v>41030</v>
      </c>
      <c r="B885" s="7">
        <v>133932</v>
      </c>
      <c r="C885" s="4">
        <v>107</v>
      </c>
    </row>
    <row r="886" spans="1:3" x14ac:dyDescent="0.45">
      <c r="A886" s="2">
        <v>41061</v>
      </c>
      <c r="B886" s="7">
        <v>134013</v>
      </c>
      <c r="C886" s="4">
        <v>81</v>
      </c>
    </row>
    <row r="887" spans="1:3" x14ac:dyDescent="0.45">
      <c r="A887" s="2">
        <v>41091</v>
      </c>
      <c r="B887" s="7">
        <v>134157</v>
      </c>
      <c r="C887" s="4">
        <v>144</v>
      </c>
    </row>
    <row r="888" spans="1:3" x14ac:dyDescent="0.45">
      <c r="A888" s="2">
        <v>41122</v>
      </c>
      <c r="B888" s="7">
        <v>134339</v>
      </c>
      <c r="C888" s="4">
        <v>182</v>
      </c>
    </row>
    <row r="889" spans="1:3" x14ac:dyDescent="0.45">
      <c r="A889" s="2">
        <v>41153</v>
      </c>
      <c r="B889" s="7">
        <v>134517</v>
      </c>
      <c r="C889" s="4">
        <v>178</v>
      </c>
    </row>
    <row r="890" spans="1:3" x14ac:dyDescent="0.45">
      <c r="A890" s="2">
        <v>41183</v>
      </c>
      <c r="B890" s="7">
        <v>134669</v>
      </c>
      <c r="C890" s="4">
        <v>152</v>
      </c>
    </row>
    <row r="891" spans="1:3" x14ac:dyDescent="0.45">
      <c r="A891" s="2">
        <v>41214</v>
      </c>
      <c r="B891" s="7">
        <v>134825</v>
      </c>
      <c r="C891" s="4">
        <v>156</v>
      </c>
    </row>
    <row r="892" spans="1:3" x14ac:dyDescent="0.45">
      <c r="A892" s="2">
        <v>41244</v>
      </c>
      <c r="B892" s="7">
        <v>135074</v>
      </c>
      <c r="C892" s="4">
        <v>249</v>
      </c>
    </row>
    <row r="893" spans="1:3" x14ac:dyDescent="0.45">
      <c r="A893" s="2">
        <v>41275</v>
      </c>
      <c r="B893" s="7">
        <v>135257</v>
      </c>
      <c r="C893" s="4">
        <v>183</v>
      </c>
    </row>
    <row r="894" spans="1:3" x14ac:dyDescent="0.45">
      <c r="A894" s="2">
        <v>41306</v>
      </c>
      <c r="B894" s="7">
        <v>135546</v>
      </c>
      <c r="C894" s="4">
        <v>289</v>
      </c>
    </row>
    <row r="895" spans="1:3" x14ac:dyDescent="0.45">
      <c r="A895" s="2">
        <v>41334</v>
      </c>
      <c r="B895" s="7">
        <v>135689</v>
      </c>
      <c r="C895" s="4">
        <v>143</v>
      </c>
    </row>
    <row r="896" spans="1:3" x14ac:dyDescent="0.45">
      <c r="A896" s="2">
        <v>41365</v>
      </c>
      <c r="B896" s="7">
        <v>135873</v>
      </c>
      <c r="C896" s="4">
        <v>184</v>
      </c>
    </row>
    <row r="897" spans="1:3" x14ac:dyDescent="0.45">
      <c r="A897" s="2">
        <v>41395</v>
      </c>
      <c r="B897" s="7">
        <v>136096</v>
      </c>
      <c r="C897" s="4">
        <v>223</v>
      </c>
    </row>
    <row r="898" spans="1:3" x14ac:dyDescent="0.45">
      <c r="A898" s="2">
        <v>41426</v>
      </c>
      <c r="B898" s="7">
        <v>136279</v>
      </c>
      <c r="C898" s="4">
        <v>183</v>
      </c>
    </row>
    <row r="899" spans="1:3" x14ac:dyDescent="0.45">
      <c r="A899" s="2">
        <v>41456</v>
      </c>
      <c r="B899" s="7">
        <v>136391</v>
      </c>
      <c r="C899" s="4">
        <v>112</v>
      </c>
    </row>
    <row r="900" spans="1:3" x14ac:dyDescent="0.45">
      <c r="A900" s="2">
        <v>41487</v>
      </c>
      <c r="B900" s="7">
        <v>136646</v>
      </c>
      <c r="C900" s="4">
        <v>255</v>
      </c>
    </row>
    <row r="901" spans="1:3" x14ac:dyDescent="0.45">
      <c r="A901" s="2">
        <v>41518</v>
      </c>
      <c r="B901" s="7">
        <v>136821</v>
      </c>
      <c r="C901" s="4">
        <v>175</v>
      </c>
    </row>
    <row r="902" spans="1:3" x14ac:dyDescent="0.45">
      <c r="A902" s="2">
        <v>41548</v>
      </c>
      <c r="B902" s="7">
        <v>137041</v>
      </c>
      <c r="C902" s="4">
        <v>220</v>
      </c>
    </row>
    <row r="903" spans="1:3" x14ac:dyDescent="0.45">
      <c r="A903" s="2">
        <v>41579</v>
      </c>
      <c r="B903" s="7">
        <v>137317</v>
      </c>
      <c r="C903" s="4">
        <v>276</v>
      </c>
    </row>
    <row r="904" spans="1:3" x14ac:dyDescent="0.45">
      <c r="A904" s="2">
        <v>41609</v>
      </c>
      <c r="B904" s="7">
        <v>137372</v>
      </c>
      <c r="C904" s="4">
        <v>55</v>
      </c>
    </row>
    <row r="905" spans="1:3" x14ac:dyDescent="0.45">
      <c r="A905" s="2">
        <v>41640</v>
      </c>
      <c r="B905" s="7">
        <v>137561</v>
      </c>
      <c r="C905" s="4">
        <v>189</v>
      </c>
    </row>
    <row r="906" spans="1:3" x14ac:dyDescent="0.45">
      <c r="A906" s="2">
        <v>41671</v>
      </c>
      <c r="B906" s="7">
        <v>137712</v>
      </c>
      <c r="C906" s="4">
        <v>151</v>
      </c>
    </row>
    <row r="907" spans="1:3" x14ac:dyDescent="0.45">
      <c r="A907" s="2">
        <v>41699</v>
      </c>
      <c r="B907" s="7">
        <v>137985</v>
      </c>
      <c r="C907" s="4">
        <v>273</v>
      </c>
    </row>
    <row r="908" spans="1:3" x14ac:dyDescent="0.45">
      <c r="A908" s="2">
        <v>41730</v>
      </c>
      <c r="B908" s="7">
        <v>138298</v>
      </c>
      <c r="C908" s="4">
        <v>313</v>
      </c>
    </row>
    <row r="909" spans="1:3" x14ac:dyDescent="0.45">
      <c r="A909" s="2">
        <v>41760</v>
      </c>
      <c r="B909" s="7">
        <v>138513</v>
      </c>
      <c r="C909" s="4">
        <v>215</v>
      </c>
    </row>
    <row r="910" spans="1:3" x14ac:dyDescent="0.45">
      <c r="A910" s="2">
        <v>41791</v>
      </c>
      <c r="B910" s="7">
        <v>138849</v>
      </c>
      <c r="C910" s="4">
        <v>336</v>
      </c>
    </row>
    <row r="911" spans="1:3" x14ac:dyDescent="0.45">
      <c r="A911" s="2">
        <v>41821</v>
      </c>
      <c r="B911" s="7">
        <v>139072</v>
      </c>
      <c r="C911" s="4">
        <v>223</v>
      </c>
    </row>
    <row r="912" spans="1:3" x14ac:dyDescent="0.45">
      <c r="A912" s="2">
        <v>41852</v>
      </c>
      <c r="B912" s="7">
        <v>139269</v>
      </c>
      <c r="C912" s="4">
        <v>197</v>
      </c>
    </row>
    <row r="913" spans="1:3" x14ac:dyDescent="0.45">
      <c r="A913" s="2">
        <v>41883</v>
      </c>
      <c r="B913" s="7">
        <v>139563</v>
      </c>
      <c r="C913" s="4">
        <v>294</v>
      </c>
    </row>
    <row r="914" spans="1:3" x14ac:dyDescent="0.45">
      <c r="A914" s="2">
        <v>41913</v>
      </c>
      <c r="B914" s="7">
        <v>139798</v>
      </c>
      <c r="C914" s="4">
        <v>235</v>
      </c>
    </row>
    <row r="915" spans="1:3" x14ac:dyDescent="0.45">
      <c r="A915" s="2">
        <v>41944</v>
      </c>
      <c r="B915" s="7">
        <v>140089</v>
      </c>
      <c r="C915" s="4">
        <v>291</v>
      </c>
    </row>
    <row r="916" spans="1:3" x14ac:dyDescent="0.45">
      <c r="A916" s="2">
        <v>41974</v>
      </c>
      <c r="B916" s="7">
        <v>140364</v>
      </c>
      <c r="C916" s="4">
        <v>275</v>
      </c>
    </row>
    <row r="917" spans="1:3" x14ac:dyDescent="0.45">
      <c r="A917" s="2">
        <v>42005</v>
      </c>
      <c r="B917" s="7">
        <v>140568</v>
      </c>
      <c r="C917" s="4">
        <v>204</v>
      </c>
    </row>
    <row r="918" spans="1:3" x14ac:dyDescent="0.45">
      <c r="A918" s="2">
        <v>42036</v>
      </c>
      <c r="B918" s="7">
        <v>140827</v>
      </c>
      <c r="C918" s="4">
        <v>259</v>
      </c>
    </row>
    <row r="919" spans="1:3" x14ac:dyDescent="0.45">
      <c r="A919" s="2">
        <v>42064</v>
      </c>
      <c r="B919" s="7">
        <v>140923</v>
      </c>
      <c r="C919" s="4">
        <v>96</v>
      </c>
    </row>
    <row r="920" spans="1:3" x14ac:dyDescent="0.45">
      <c r="A920" s="2">
        <v>42095</v>
      </c>
      <c r="B920" s="7">
        <v>141196</v>
      </c>
      <c r="C920" s="4">
        <v>273</v>
      </c>
    </row>
    <row r="921" spans="1:3" x14ac:dyDescent="0.45">
      <c r="A921" s="2">
        <v>42125</v>
      </c>
      <c r="B921" s="7">
        <v>141538</v>
      </c>
      <c r="C921" s="4">
        <v>342</v>
      </c>
    </row>
    <row r="922" spans="1:3" x14ac:dyDescent="0.45">
      <c r="A922" s="2">
        <v>42156</v>
      </c>
      <c r="B922" s="7">
        <v>141709</v>
      </c>
      <c r="C922" s="4">
        <v>171</v>
      </c>
    </row>
    <row r="923" spans="1:3" x14ac:dyDescent="0.45">
      <c r="A923" s="2">
        <v>42186</v>
      </c>
      <c r="B923" s="7">
        <v>141991</v>
      </c>
      <c r="C923" s="4">
        <v>282</v>
      </c>
    </row>
    <row r="924" spans="1:3" x14ac:dyDescent="0.45">
      <c r="A924" s="2">
        <v>42217</v>
      </c>
      <c r="B924" s="7">
        <v>142125</v>
      </c>
      <c r="C924" s="4">
        <v>134</v>
      </c>
    </row>
    <row r="925" spans="1:3" x14ac:dyDescent="0.45">
      <c r="A925" s="2">
        <v>42248</v>
      </c>
      <c r="B925" s="7">
        <v>142275</v>
      </c>
      <c r="C925" s="4">
        <v>150</v>
      </c>
    </row>
    <row r="926" spans="1:3" x14ac:dyDescent="0.45">
      <c r="A926" s="2">
        <v>42278</v>
      </c>
      <c r="B926" s="7">
        <v>142579</v>
      </c>
      <c r="C926" s="4">
        <v>304</v>
      </c>
    </row>
    <row r="927" spans="1:3" x14ac:dyDescent="0.45">
      <c r="A927" s="2">
        <v>42309</v>
      </c>
      <c r="B927" s="7">
        <v>142808</v>
      </c>
      <c r="C927" s="4">
        <v>229</v>
      </c>
    </row>
    <row r="928" spans="1:3" x14ac:dyDescent="0.45">
      <c r="A928" s="2">
        <v>42339</v>
      </c>
      <c r="B928" s="7">
        <v>143077</v>
      </c>
      <c r="C928" s="4">
        <v>269</v>
      </c>
    </row>
    <row r="929" spans="1:3" x14ac:dyDescent="0.45">
      <c r="A929" s="2">
        <v>42370</v>
      </c>
      <c r="B929" s="7">
        <v>143210</v>
      </c>
      <c r="C929" s="4">
        <v>133</v>
      </c>
    </row>
    <row r="930" spans="1:3" x14ac:dyDescent="0.45">
      <c r="A930" s="2">
        <v>42401</v>
      </c>
      <c r="B930" s="7">
        <v>143406</v>
      </c>
      <c r="C930" s="4">
        <v>196</v>
      </c>
    </row>
    <row r="931" spans="1:3" x14ac:dyDescent="0.45">
      <c r="A931" s="2">
        <v>42430</v>
      </c>
      <c r="B931" s="7">
        <v>143662</v>
      </c>
      <c r="C931" s="4">
        <v>256</v>
      </c>
    </row>
    <row r="932" spans="1:3" x14ac:dyDescent="0.45">
      <c r="A932" s="2">
        <v>42461</v>
      </c>
      <c r="B932" s="7">
        <v>143854</v>
      </c>
      <c r="C932" s="4">
        <v>192</v>
      </c>
    </row>
    <row r="933" spans="1:3" x14ac:dyDescent="0.45">
      <c r="A933" s="2">
        <v>42491</v>
      </c>
      <c r="B933" s="7">
        <v>143900</v>
      </c>
      <c r="C933" s="4">
        <v>46</v>
      </c>
    </row>
    <row r="934" spans="1:3" x14ac:dyDescent="0.45">
      <c r="A934" s="2">
        <v>42522</v>
      </c>
      <c r="B934" s="7">
        <v>144147</v>
      </c>
      <c r="C934" s="4">
        <v>247</v>
      </c>
    </row>
    <row r="935" spans="1:3" x14ac:dyDescent="0.45">
      <c r="A935" s="2">
        <v>42552</v>
      </c>
      <c r="B935" s="7">
        <v>144520</v>
      </c>
      <c r="C935" s="4">
        <v>373</v>
      </c>
    </row>
    <row r="936" spans="1:3" x14ac:dyDescent="0.45">
      <c r="A936" s="2">
        <v>42583</v>
      </c>
      <c r="B936" s="7">
        <v>144661</v>
      </c>
      <c r="C936" s="4">
        <v>141</v>
      </c>
    </row>
    <row r="937" spans="1:3" x14ac:dyDescent="0.45">
      <c r="A937" s="2">
        <v>42614</v>
      </c>
      <c r="B937" s="7">
        <v>144967</v>
      </c>
      <c r="C937" s="4">
        <v>306</v>
      </c>
    </row>
    <row r="938" spans="1:3" x14ac:dyDescent="0.45">
      <c r="A938" s="2">
        <v>42644</v>
      </c>
      <c r="B938" s="7">
        <v>145065</v>
      </c>
      <c r="C938" s="4">
        <v>98</v>
      </c>
    </row>
    <row r="939" spans="1:3" x14ac:dyDescent="0.45">
      <c r="A939" s="2">
        <v>42675</v>
      </c>
      <c r="B939" s="7">
        <v>145183</v>
      </c>
      <c r="C939" s="4">
        <v>118</v>
      </c>
    </row>
    <row r="940" spans="1:3" x14ac:dyDescent="0.45">
      <c r="A940" s="2">
        <v>42705</v>
      </c>
      <c r="B940" s="7">
        <v>145408</v>
      </c>
      <c r="C940" s="4">
        <v>225</v>
      </c>
    </row>
    <row r="941" spans="1:3" x14ac:dyDescent="0.45">
      <c r="A941" s="2">
        <v>42736</v>
      </c>
      <c r="B941" s="7">
        <v>145628</v>
      </c>
      <c r="C941" s="4">
        <v>220</v>
      </c>
    </row>
    <row r="942" spans="1:3" x14ac:dyDescent="0.45">
      <c r="A942" s="2">
        <v>42767</v>
      </c>
      <c r="B942" s="7">
        <v>145846</v>
      </c>
      <c r="C942" s="4">
        <v>218</v>
      </c>
    </row>
    <row r="943" spans="1:3" x14ac:dyDescent="0.45">
      <c r="A943" s="2">
        <v>42795</v>
      </c>
      <c r="B943" s="7">
        <v>145970</v>
      </c>
      <c r="C943" s="4">
        <v>124</v>
      </c>
    </row>
    <row r="944" spans="1:3" x14ac:dyDescent="0.45">
      <c r="A944" s="2">
        <v>42826</v>
      </c>
      <c r="B944" s="7">
        <v>146175</v>
      </c>
      <c r="C944" s="4">
        <v>205</v>
      </c>
    </row>
    <row r="945" spans="1:3" x14ac:dyDescent="0.45">
      <c r="A945" s="2">
        <v>42856</v>
      </c>
      <c r="B945" s="7">
        <v>146380</v>
      </c>
      <c r="C945" s="4">
        <v>205</v>
      </c>
    </row>
    <row r="946" spans="1:3" x14ac:dyDescent="0.45">
      <c r="A946" s="2">
        <v>42887</v>
      </c>
      <c r="B946" s="7">
        <v>146583</v>
      </c>
      <c r="C946" s="4">
        <v>203</v>
      </c>
    </row>
    <row r="947" spans="1:3" x14ac:dyDescent="0.45">
      <c r="A947" s="2">
        <v>42917</v>
      </c>
      <c r="B947" s="7">
        <v>146772</v>
      </c>
      <c r="C947" s="4">
        <v>189</v>
      </c>
    </row>
    <row r="948" spans="1:3" x14ac:dyDescent="0.45">
      <c r="A948" s="2">
        <v>42948</v>
      </c>
      <c r="B948" s="7">
        <v>146919</v>
      </c>
      <c r="C948" s="4">
        <v>147</v>
      </c>
    </row>
    <row r="949" spans="1:3" x14ac:dyDescent="0.45">
      <c r="A949" s="2">
        <v>42979</v>
      </c>
      <c r="B949" s="7">
        <v>147008</v>
      </c>
      <c r="C949" s="4">
        <v>89</v>
      </c>
    </row>
    <row r="950" spans="1:3" x14ac:dyDescent="0.45">
      <c r="A950" s="2">
        <v>43009</v>
      </c>
      <c r="B950" s="7">
        <v>147149</v>
      </c>
      <c r="C950" s="4">
        <v>141</v>
      </c>
    </row>
    <row r="951" spans="1:3" x14ac:dyDescent="0.45">
      <c r="A951" s="2">
        <v>43040</v>
      </c>
      <c r="B951" s="7">
        <v>147372</v>
      </c>
      <c r="C951" s="4">
        <v>223</v>
      </c>
    </row>
    <row r="952" spans="1:3" x14ac:dyDescent="0.45">
      <c r="A952" s="2">
        <v>43070</v>
      </c>
      <c r="B952" s="7">
        <v>147523</v>
      </c>
      <c r="C952" s="4">
        <v>151</v>
      </c>
    </row>
    <row r="953" spans="1:3" x14ac:dyDescent="0.45">
      <c r="A953" s="2">
        <v>43101</v>
      </c>
      <c r="B953" s="7">
        <v>147660</v>
      </c>
      <c r="C953" s="4">
        <v>137</v>
      </c>
    </row>
    <row r="954" spans="1:3" x14ac:dyDescent="0.45">
      <c r="A954" s="2">
        <v>43132</v>
      </c>
      <c r="B954" s="7">
        <v>148054</v>
      </c>
      <c r="C954" s="4">
        <v>394</v>
      </c>
    </row>
    <row r="955" spans="1:3" x14ac:dyDescent="0.45">
      <c r="A955" s="2">
        <v>43160</v>
      </c>
      <c r="B955" s="7">
        <v>148280</v>
      </c>
      <c r="C955" s="4">
        <v>226</v>
      </c>
    </row>
    <row r="956" spans="1:3" x14ac:dyDescent="0.45">
      <c r="A956" s="2">
        <v>43191</v>
      </c>
      <c r="B956" s="7">
        <v>148420</v>
      </c>
      <c r="C956" s="4">
        <v>140</v>
      </c>
    </row>
    <row r="957" spans="1:3" x14ac:dyDescent="0.45">
      <c r="A957" s="2">
        <v>43221</v>
      </c>
      <c r="B957" s="7">
        <v>148742</v>
      </c>
      <c r="C957" s="4">
        <v>322</v>
      </c>
    </row>
    <row r="958" spans="1:3" x14ac:dyDescent="0.45">
      <c r="A958" s="2">
        <v>43252</v>
      </c>
      <c r="B958" s="7">
        <v>148960</v>
      </c>
      <c r="C958" s="4">
        <v>218</v>
      </c>
    </row>
    <row r="959" spans="1:3" x14ac:dyDescent="0.45">
      <c r="A959" s="2">
        <v>43282</v>
      </c>
      <c r="B959" s="7">
        <v>149020</v>
      </c>
      <c r="C959" s="4">
        <v>60</v>
      </c>
    </row>
    <row r="960" spans="1:3" x14ac:dyDescent="0.45">
      <c r="A960" s="2">
        <v>43313</v>
      </c>
      <c r="B960" s="7">
        <v>149277</v>
      </c>
      <c r="C960" s="4">
        <v>257</v>
      </c>
    </row>
    <row r="961" spans="1:3" x14ac:dyDescent="0.45">
      <c r="A961" s="2">
        <v>43344</v>
      </c>
      <c r="B961" s="7">
        <v>149358</v>
      </c>
      <c r="C961" s="4">
        <v>81</v>
      </c>
    </row>
    <row r="962" spans="1:3" x14ac:dyDescent="0.45">
      <c r="A962" s="2">
        <v>43374</v>
      </c>
      <c r="B962" s="7">
        <v>149527</v>
      </c>
      <c r="C962" s="4">
        <v>169</v>
      </c>
    </row>
    <row r="963" spans="1:3" x14ac:dyDescent="0.45">
      <c r="A963" s="2">
        <v>43405</v>
      </c>
      <c r="B963" s="7">
        <v>149617</v>
      </c>
      <c r="C963" s="4">
        <v>90</v>
      </c>
    </row>
    <row r="964" spans="1:3" x14ac:dyDescent="0.45">
      <c r="A964" s="2">
        <v>43435</v>
      </c>
      <c r="B964" s="7">
        <v>149809</v>
      </c>
      <c r="C964" s="4">
        <v>192</v>
      </c>
    </row>
    <row r="965" spans="1:3" x14ac:dyDescent="0.45">
      <c r="A965" s="2">
        <v>43466</v>
      </c>
      <c r="B965" s="7">
        <v>150060</v>
      </c>
      <c r="C965" s="4">
        <v>251</v>
      </c>
    </row>
    <row r="966" spans="1:3" x14ac:dyDescent="0.45">
      <c r="A966" s="2">
        <v>43497</v>
      </c>
      <c r="B966" s="7">
        <v>150067</v>
      </c>
      <c r="C966" s="4">
        <v>7</v>
      </c>
    </row>
    <row r="967" spans="1:3" x14ac:dyDescent="0.45">
      <c r="A967" s="2">
        <v>43525</v>
      </c>
      <c r="B967" s="7">
        <v>150295</v>
      </c>
      <c r="C967" s="4">
        <v>228</v>
      </c>
    </row>
    <row r="968" spans="1:3" x14ac:dyDescent="0.45">
      <c r="A968" s="2">
        <v>43556</v>
      </c>
      <c r="B968" s="7">
        <v>150591</v>
      </c>
      <c r="C968" s="4">
        <v>296</v>
      </c>
    </row>
    <row r="969" spans="1:3" x14ac:dyDescent="0.45">
      <c r="A969" s="2">
        <v>43586</v>
      </c>
      <c r="B969" s="7">
        <v>150618</v>
      </c>
      <c r="C969" s="4">
        <v>27</v>
      </c>
    </row>
    <row r="970" spans="1:3" x14ac:dyDescent="0.45">
      <c r="A970" s="2">
        <v>43617</v>
      </c>
      <c r="B970" s="7">
        <v>150838</v>
      </c>
      <c r="C970" s="4">
        <v>220</v>
      </c>
    </row>
    <row r="971" spans="1:3" x14ac:dyDescent="0.45">
      <c r="A971" s="2">
        <v>43647</v>
      </c>
      <c r="B971" s="7">
        <v>150937</v>
      </c>
      <c r="C971" s="4">
        <v>99</v>
      </c>
    </row>
    <row r="972" spans="1:3" x14ac:dyDescent="0.45">
      <c r="A972" s="2">
        <v>43678</v>
      </c>
      <c r="B972" s="7">
        <v>151169</v>
      </c>
      <c r="C972" s="4">
        <v>232</v>
      </c>
    </row>
    <row r="973" spans="1:3" x14ac:dyDescent="0.45">
      <c r="A973" s="2">
        <v>43709</v>
      </c>
      <c r="B973" s="7">
        <v>151365</v>
      </c>
      <c r="C973" s="4">
        <v>196</v>
      </c>
    </row>
    <row r="974" spans="1:3" x14ac:dyDescent="0.45">
      <c r="A974" s="2">
        <v>43739</v>
      </c>
      <c r="B974" s="7">
        <v>151460</v>
      </c>
      <c r="C974" s="4">
        <v>95</v>
      </c>
    </row>
    <row r="975" spans="1:3" x14ac:dyDescent="0.45">
      <c r="A975" s="2">
        <v>43770</v>
      </c>
      <c r="B975" s="7">
        <v>151667</v>
      </c>
      <c r="C975" s="4">
        <v>207</v>
      </c>
    </row>
    <row r="976" spans="1:3" x14ac:dyDescent="0.45">
      <c r="A976" s="2">
        <v>43800</v>
      </c>
      <c r="B976" s="7">
        <v>151794</v>
      </c>
      <c r="C976" s="4">
        <v>127</v>
      </c>
    </row>
    <row r="977" spans="1:3" x14ac:dyDescent="0.45">
      <c r="A977" s="2">
        <v>43831</v>
      </c>
      <c r="B977" s="7">
        <v>152031</v>
      </c>
      <c r="C977" s="4">
        <v>237</v>
      </c>
    </row>
    <row r="978" spans="1:3" x14ac:dyDescent="0.45">
      <c r="A978" s="2">
        <v>43862</v>
      </c>
      <c r="B978" s="7">
        <v>152293</v>
      </c>
      <c r="C978" s="4">
        <v>262</v>
      </c>
    </row>
    <row r="979" spans="1:3" x14ac:dyDescent="0.45">
      <c r="A979" s="2">
        <v>43891</v>
      </c>
      <c r="B979" s="7">
        <v>150895</v>
      </c>
      <c r="C979" s="4">
        <v>-1398</v>
      </c>
    </row>
    <row r="980" spans="1:3" x14ac:dyDescent="0.45">
      <c r="A980" s="2">
        <v>43922</v>
      </c>
      <c r="B980" s="7">
        <v>130426</v>
      </c>
      <c r="C980" s="4">
        <v>-20469</v>
      </c>
    </row>
    <row r="981" spans="1:3" x14ac:dyDescent="0.45">
      <c r="A981" s="2">
        <v>43952</v>
      </c>
      <c r="B981" s="7">
        <v>133040</v>
      </c>
      <c r="C981" s="4">
        <v>2614</v>
      </c>
    </row>
    <row r="982" spans="1:3" x14ac:dyDescent="0.45">
      <c r="A982" s="2">
        <v>43983</v>
      </c>
      <c r="B982" s="7">
        <v>137671</v>
      </c>
      <c r="C982" s="4">
        <v>4631</v>
      </c>
    </row>
    <row r="983" spans="1:3" x14ac:dyDescent="0.45">
      <c r="A983" s="2">
        <v>44013</v>
      </c>
      <c r="B983" s="7">
        <v>139255</v>
      </c>
      <c r="C983" s="4">
        <v>1584</v>
      </c>
    </row>
    <row r="984" spans="1:3" x14ac:dyDescent="0.45">
      <c r="A984" s="2">
        <v>44044</v>
      </c>
      <c r="B984" s="7">
        <v>140821</v>
      </c>
      <c r="C984" s="4">
        <v>1566</v>
      </c>
    </row>
    <row r="985" spans="1:3" x14ac:dyDescent="0.45">
      <c r="A985" s="2">
        <v>44075</v>
      </c>
      <c r="B985" s="7">
        <v>141770</v>
      </c>
      <c r="C985" s="4">
        <v>949</v>
      </c>
    </row>
    <row r="986" spans="1:3" x14ac:dyDescent="0.45">
      <c r="A986" s="2">
        <v>44105</v>
      </c>
      <c r="B986" s="7">
        <v>142460</v>
      </c>
      <c r="C986" s="4">
        <v>690</v>
      </c>
    </row>
    <row r="987" spans="1:3" x14ac:dyDescent="0.45">
      <c r="A987" s="2">
        <v>44136</v>
      </c>
      <c r="B987" s="7">
        <v>142733</v>
      </c>
      <c r="C987" s="4">
        <v>273</v>
      </c>
    </row>
    <row r="988" spans="1:3" x14ac:dyDescent="0.45">
      <c r="A988" s="2">
        <v>44166</v>
      </c>
      <c r="B988" s="7">
        <v>142548</v>
      </c>
      <c r="C988" s="4">
        <v>-185</v>
      </c>
    </row>
    <row r="989" spans="1:3" x14ac:dyDescent="0.45">
      <c r="A989" s="2">
        <v>44197</v>
      </c>
      <c r="B989" s="7">
        <v>142863</v>
      </c>
      <c r="C989" s="4">
        <v>315</v>
      </c>
    </row>
    <row r="990" spans="1:3" x14ac:dyDescent="0.45">
      <c r="A990" s="2">
        <v>44228</v>
      </c>
      <c r="B990" s="7">
        <v>143380</v>
      </c>
      <c r="C990" s="4">
        <v>517</v>
      </c>
    </row>
    <row r="991" spans="1:3" x14ac:dyDescent="0.45">
      <c r="A991" s="2">
        <v>44256</v>
      </c>
      <c r="B991" s="7">
        <v>144232</v>
      </c>
      <c r="C991" s="4">
        <v>852</v>
      </c>
    </row>
    <row r="992" spans="1:3" x14ac:dyDescent="0.45">
      <c r="A992" s="2">
        <v>44287</v>
      </c>
      <c r="B992" s="7">
        <v>144587</v>
      </c>
      <c r="C992" s="4">
        <v>355</v>
      </c>
    </row>
    <row r="993" spans="1:3" x14ac:dyDescent="0.45">
      <c r="A993" s="2">
        <v>44317</v>
      </c>
      <c r="B993" s="7">
        <v>145065</v>
      </c>
      <c r="C993" s="4">
        <v>478</v>
      </c>
    </row>
    <row r="994" spans="1:3" x14ac:dyDescent="0.45">
      <c r="A994" s="2">
        <v>44348</v>
      </c>
      <c r="B994" s="7">
        <v>145820</v>
      </c>
      <c r="C994" s="4">
        <v>755</v>
      </c>
    </row>
    <row r="995" spans="1:3" x14ac:dyDescent="0.45">
      <c r="A995" s="2">
        <v>44378</v>
      </c>
      <c r="B995" s="7">
        <v>146762</v>
      </c>
      <c r="C995" s="4">
        <v>942</v>
      </c>
    </row>
    <row r="996" spans="1:3" x14ac:dyDescent="0.45">
      <c r="A996" s="2">
        <v>44409</v>
      </c>
      <c r="B996" s="7">
        <v>147314</v>
      </c>
      <c r="C996" s="4">
        <v>552</v>
      </c>
    </row>
    <row r="997" spans="1:3" x14ac:dyDescent="0.45">
      <c r="A997" s="2">
        <v>44440</v>
      </c>
      <c r="B997" s="7">
        <v>147771</v>
      </c>
      <c r="C997" s="4">
        <v>457</v>
      </c>
    </row>
    <row r="998" spans="1:3" x14ac:dyDescent="0.45">
      <c r="A998" s="2">
        <v>44470</v>
      </c>
      <c r="B998" s="7">
        <v>148572</v>
      </c>
      <c r="C998" s="4">
        <v>801</v>
      </c>
    </row>
    <row r="999" spans="1:3" x14ac:dyDescent="0.45">
      <c r="A999" s="2">
        <v>44501</v>
      </c>
      <c r="B999" s="7">
        <v>149230</v>
      </c>
      <c r="C999" s="4">
        <v>658</v>
      </c>
    </row>
    <row r="1000" spans="1:3" x14ac:dyDescent="0.45">
      <c r="A1000" s="2">
        <v>44531</v>
      </c>
      <c r="B1000" s="7">
        <v>149816</v>
      </c>
      <c r="C1000" s="4">
        <v>586</v>
      </c>
    </row>
    <row r="1001" spans="1:3" x14ac:dyDescent="0.45">
      <c r="A1001" s="2">
        <v>44562</v>
      </c>
      <c r="B1001" s="7">
        <v>150006</v>
      </c>
      <c r="C1001" s="4">
        <v>190</v>
      </c>
    </row>
    <row r="1002" spans="1:3" x14ac:dyDescent="0.45">
      <c r="A1002" s="2">
        <v>44593</v>
      </c>
      <c r="B1002" s="7">
        <v>150825</v>
      </c>
      <c r="C1002" s="4">
        <v>819</v>
      </c>
    </row>
    <row r="1003" spans="1:3" x14ac:dyDescent="0.45">
      <c r="A1003" s="2">
        <v>44621</v>
      </c>
      <c r="B1003" s="7">
        <v>151315</v>
      </c>
      <c r="C1003" s="4">
        <v>490</v>
      </c>
    </row>
    <row r="1004" spans="1:3" x14ac:dyDescent="0.45">
      <c r="A1004" s="2">
        <v>44652</v>
      </c>
      <c r="B1004" s="7">
        <v>151623</v>
      </c>
      <c r="C1004" s="4">
        <v>308</v>
      </c>
    </row>
    <row r="1005" spans="1:3" x14ac:dyDescent="0.45">
      <c r="A1005" s="2">
        <v>44682</v>
      </c>
      <c r="B1005" s="7">
        <v>151924</v>
      </c>
      <c r="C1005" s="4">
        <v>301</v>
      </c>
    </row>
    <row r="1006" spans="1:3" x14ac:dyDescent="0.45">
      <c r="A1006" s="2">
        <v>44713</v>
      </c>
      <c r="B1006" s="7">
        <v>152358</v>
      </c>
      <c r="C1006" s="4">
        <v>434</v>
      </c>
    </row>
    <row r="1007" spans="1:3" x14ac:dyDescent="0.45">
      <c r="A1007" s="2">
        <v>44743</v>
      </c>
      <c r="B1007" s="7">
        <v>153072</v>
      </c>
      <c r="C1007" s="4">
        <v>714</v>
      </c>
    </row>
    <row r="1008" spans="1:3" x14ac:dyDescent="0.45">
      <c r="A1008" s="2">
        <v>44774</v>
      </c>
      <c r="B1008" s="7">
        <v>153362</v>
      </c>
      <c r="C1008" s="4">
        <v>290</v>
      </c>
    </row>
    <row r="1009" spans="1:3" x14ac:dyDescent="0.45">
      <c r="A1009" s="2">
        <v>44805</v>
      </c>
      <c r="B1009" s="7">
        <v>153582</v>
      </c>
      <c r="C1009" s="4">
        <v>220</v>
      </c>
    </row>
    <row r="1010" spans="1:3" x14ac:dyDescent="0.45">
      <c r="A1010" s="2">
        <v>44835</v>
      </c>
      <c r="B1010" s="7">
        <v>153939</v>
      </c>
      <c r="C1010" s="4">
        <v>357</v>
      </c>
    </row>
    <row r="1011" spans="1:3" x14ac:dyDescent="0.45">
      <c r="A1011" s="2">
        <v>44866</v>
      </c>
      <c r="B1011" s="7">
        <v>154242</v>
      </c>
      <c r="C1011" s="4">
        <v>303</v>
      </c>
    </row>
    <row r="1012" spans="1:3" x14ac:dyDescent="0.45">
      <c r="A1012" s="2">
        <v>44896</v>
      </c>
      <c r="B1012" s="7">
        <v>154342</v>
      </c>
      <c r="C1012" s="4">
        <v>100</v>
      </c>
    </row>
    <row r="1013" spans="1:3" x14ac:dyDescent="0.45">
      <c r="A1013" s="2">
        <v>44927</v>
      </c>
      <c r="B1013" s="7">
        <v>154776</v>
      </c>
      <c r="C1013" s="4">
        <v>434</v>
      </c>
    </row>
    <row r="1014" spans="1:3" x14ac:dyDescent="0.45">
      <c r="A1014" s="2">
        <v>44958</v>
      </c>
      <c r="B1014" s="7">
        <v>155066</v>
      </c>
      <c r="C1014" s="4">
        <v>290</v>
      </c>
    </row>
    <row r="1015" spans="1:3" x14ac:dyDescent="0.45">
      <c r="A1015" s="2">
        <v>44986</v>
      </c>
      <c r="B1015" s="7">
        <v>155134</v>
      </c>
      <c r="C1015" s="4">
        <v>68</v>
      </c>
    </row>
    <row r="1016" spans="1:3" x14ac:dyDescent="0.45">
      <c r="A1016" s="2">
        <v>45017</v>
      </c>
      <c r="B1016" s="7">
        <v>155375</v>
      </c>
      <c r="C1016" s="4">
        <v>241</v>
      </c>
    </row>
    <row r="1017" spans="1:3" x14ac:dyDescent="0.45">
      <c r="A1017" s="2">
        <v>45047</v>
      </c>
      <c r="B1017" s="7">
        <v>155655</v>
      </c>
      <c r="C1017" s="4">
        <v>280</v>
      </c>
    </row>
    <row r="1018" spans="1:3" x14ac:dyDescent="0.45">
      <c r="A1018" s="2">
        <v>45078</v>
      </c>
      <c r="B1018" s="7">
        <v>155880</v>
      </c>
      <c r="C1018" s="4">
        <v>225</v>
      </c>
    </row>
    <row r="1019" spans="1:3" x14ac:dyDescent="0.45">
      <c r="A1019" s="2">
        <v>45108</v>
      </c>
      <c r="B1019" s="7">
        <v>156043</v>
      </c>
      <c r="C1019" s="4">
        <v>163</v>
      </c>
    </row>
    <row r="1020" spans="1:3" x14ac:dyDescent="0.45">
      <c r="A1020" s="2">
        <v>45139</v>
      </c>
      <c r="B1020" s="7">
        <v>156261</v>
      </c>
      <c r="C1020" s="4">
        <v>218</v>
      </c>
    </row>
    <row r="1021" spans="1:3" x14ac:dyDescent="0.45">
      <c r="A1021" s="2">
        <v>45170</v>
      </c>
      <c r="B1021" s="7">
        <v>156417</v>
      </c>
      <c r="C1021" s="4">
        <v>156</v>
      </c>
    </row>
    <row r="1022" spans="1:3" x14ac:dyDescent="0.45">
      <c r="A1022" s="2">
        <v>45200</v>
      </c>
      <c r="B1022" s="7">
        <v>156576</v>
      </c>
      <c r="C1022" s="4">
        <v>159</v>
      </c>
    </row>
    <row r="1023" spans="1:3" x14ac:dyDescent="0.45">
      <c r="A1023" s="2">
        <v>45231</v>
      </c>
      <c r="B1023" s="7">
        <v>156703</v>
      </c>
      <c r="C1023" s="4">
        <v>127</v>
      </c>
    </row>
    <row r="1024" spans="1:3" x14ac:dyDescent="0.45">
      <c r="A1024" s="2">
        <v>45261</v>
      </c>
      <c r="B1024" s="7">
        <v>156857</v>
      </c>
      <c r="C1024" s="4">
        <v>154</v>
      </c>
    </row>
    <row r="1025" spans="1:3" x14ac:dyDescent="0.45">
      <c r="A1025" s="2">
        <v>45292</v>
      </c>
      <c r="B1025" s="7">
        <v>157032</v>
      </c>
      <c r="C1025" s="4">
        <v>175</v>
      </c>
    </row>
    <row r="1026" spans="1:3" x14ac:dyDescent="0.45">
      <c r="A1026" s="2">
        <v>45323</v>
      </c>
      <c r="B1026" s="7">
        <v>157238</v>
      </c>
      <c r="C1026" s="4">
        <v>206</v>
      </c>
    </row>
    <row r="1027" spans="1:3" x14ac:dyDescent="0.45">
      <c r="A1027" s="2">
        <v>45352</v>
      </c>
      <c r="B1027" s="7">
        <v>157466</v>
      </c>
      <c r="C1027" s="4">
        <v>228</v>
      </c>
    </row>
    <row r="1028" spans="1:3" x14ac:dyDescent="0.45">
      <c r="A1028" s="2">
        <v>45383</v>
      </c>
      <c r="B1028" s="7">
        <v>157530</v>
      </c>
      <c r="C1028" s="4">
        <v>64</v>
      </c>
    </row>
    <row r="1029" spans="1:3" x14ac:dyDescent="0.45">
      <c r="A1029" s="2">
        <v>45413</v>
      </c>
      <c r="B1029" s="7">
        <v>157608</v>
      </c>
      <c r="C1029" s="4">
        <v>78</v>
      </c>
    </row>
    <row r="1030" spans="1:3" x14ac:dyDescent="0.45">
      <c r="A1030" s="2">
        <v>45444</v>
      </c>
      <c r="B1030" s="7">
        <v>157695</v>
      </c>
      <c r="C1030" s="4">
        <v>87</v>
      </c>
    </row>
    <row r="1031" spans="1:3" x14ac:dyDescent="0.45">
      <c r="A1031" s="2">
        <v>45474</v>
      </c>
      <c r="B1031" s="7">
        <v>157748</v>
      </c>
      <c r="C1031" s="4">
        <v>53</v>
      </c>
    </row>
    <row r="1032" spans="1:3" x14ac:dyDescent="0.45">
      <c r="A1032" s="2">
        <v>45505</v>
      </c>
      <c r="B1032" s="7">
        <v>157757</v>
      </c>
      <c r="C1032" s="4">
        <v>9</v>
      </c>
    </row>
    <row r="1033" spans="1:3" x14ac:dyDescent="0.45">
      <c r="A1033" s="2">
        <v>45536</v>
      </c>
      <c r="B1033" s="7">
        <v>157912</v>
      </c>
      <c r="C1033" s="4">
        <v>155</v>
      </c>
    </row>
    <row r="1034" spans="1:3" x14ac:dyDescent="0.45">
      <c r="A1034" s="2">
        <v>45566</v>
      </c>
      <c r="B1034" s="7">
        <v>157945</v>
      </c>
      <c r="C1034" s="4">
        <v>33</v>
      </c>
    </row>
    <row r="1035" spans="1:3" x14ac:dyDescent="0.45">
      <c r="A1035" s="2">
        <v>45597</v>
      </c>
      <c r="B1035" s="7">
        <v>158079</v>
      </c>
      <c r="C1035" s="4">
        <v>134</v>
      </c>
    </row>
    <row r="1036" spans="1:3" x14ac:dyDescent="0.45">
      <c r="A1036" s="2">
        <v>45627</v>
      </c>
      <c r="B1036" s="7">
        <v>158316</v>
      </c>
      <c r="C1036" s="4">
        <v>237</v>
      </c>
    </row>
    <row r="1037" spans="1:3" x14ac:dyDescent="0.45">
      <c r="A1037" s="2">
        <v>45658</v>
      </c>
      <c r="B1037" s="7">
        <v>158268</v>
      </c>
      <c r="C1037" s="4">
        <v>-48</v>
      </c>
    </row>
    <row r="1038" spans="1:3" x14ac:dyDescent="0.45">
      <c r="A1038" s="2">
        <v>45689</v>
      </c>
      <c r="B1038" s="7">
        <v>158310</v>
      </c>
      <c r="C1038" s="4">
        <v>42</v>
      </c>
    </row>
    <row r="1039" spans="1:3" x14ac:dyDescent="0.45">
      <c r="A1039" s="2">
        <v>45717</v>
      </c>
      <c r="B1039" s="7">
        <v>158377</v>
      </c>
      <c r="C1039" s="4">
        <v>67</v>
      </c>
    </row>
    <row r="1040" spans="1:3" x14ac:dyDescent="0.45">
      <c r="A1040" s="2">
        <v>45748</v>
      </c>
      <c r="B1040" s="7">
        <v>158485</v>
      </c>
      <c r="C1040" s="4">
        <v>108</v>
      </c>
    </row>
    <row r="1041" spans="1:3" x14ac:dyDescent="0.45">
      <c r="A1041" s="2">
        <v>45778</v>
      </c>
      <c r="B1041" s="7">
        <v>158498</v>
      </c>
      <c r="C1041" s="4">
        <v>13</v>
      </c>
    </row>
    <row r="1042" spans="1:3" x14ac:dyDescent="0.45">
      <c r="A1042" s="2">
        <v>45809</v>
      </c>
      <c r="B1042" s="7">
        <v>158478</v>
      </c>
      <c r="C1042" s="4">
        <v>-20</v>
      </c>
    </row>
    <row r="1043" spans="1:3" x14ac:dyDescent="0.45">
      <c r="A1043" s="2">
        <v>45839</v>
      </c>
      <c r="B1043" s="7">
        <v>158542</v>
      </c>
      <c r="C1043" s="4">
        <v>64</v>
      </c>
    </row>
    <row r="1044" spans="1:3" x14ac:dyDescent="0.45">
      <c r="A1044" s="2">
        <v>45870</v>
      </c>
      <c r="B1044" s="7">
        <v>158472</v>
      </c>
      <c r="C1044" s="4">
        <v>-70</v>
      </c>
    </row>
    <row r="1045" spans="1:3" x14ac:dyDescent="0.45">
      <c r="A1045" s="2">
        <v>45901</v>
      </c>
      <c r="B1045" s="7">
        <v>158548</v>
      </c>
      <c r="C1045" s="4">
        <v>76</v>
      </c>
    </row>
    <row r="1046" spans="1:3" x14ac:dyDescent="0.45">
      <c r="A1046" s="2">
        <v>45931</v>
      </c>
      <c r="B1046" s="7">
        <v>158408</v>
      </c>
      <c r="C1046" s="4">
        <v>-140</v>
      </c>
    </row>
    <row r="1047" spans="1:3" x14ac:dyDescent="0.45">
      <c r="A1047" s="2">
        <v>45962</v>
      </c>
      <c r="B1047" s="7">
        <v>158449</v>
      </c>
      <c r="C1047" s="4">
        <v>41</v>
      </c>
    </row>
    <row r="1048" spans="1:3" x14ac:dyDescent="0.45">
      <c r="A1048" s="2">
        <v>45992</v>
      </c>
      <c r="B1048" s="7">
        <v>158432</v>
      </c>
      <c r="C1048" s="4">
        <v>-17</v>
      </c>
    </row>
    <row r="1049" spans="1:3" x14ac:dyDescent="0.45">
      <c r="A1049" s="2">
        <v>46023</v>
      </c>
      <c r="B1049" s="7">
        <v>158592</v>
      </c>
      <c r="C1049" s="4">
        <v>160</v>
      </c>
    </row>
    <row r="1050" spans="1:3" x14ac:dyDescent="0.45">
      <c r="A1050" s="2">
        <v>46054</v>
      </c>
      <c r="B1050" s="7">
        <v>158436</v>
      </c>
      <c r="C1050" s="4">
        <v>-156</v>
      </c>
    </row>
    <row r="1051" spans="1:3" x14ac:dyDescent="0.45">
      <c r="A1051" s="2">
        <v>46082</v>
      </c>
      <c r="B1051" s="7">
        <v>158650</v>
      </c>
      <c r="C1051" s="4">
        <v>214</v>
      </c>
    </row>
    <row r="1052" spans="1:3" x14ac:dyDescent="0.45">
      <c r="A1052" s="2">
        <v>46113</v>
      </c>
      <c r="B1052" s="7">
        <v>158798</v>
      </c>
      <c r="C1052" s="4">
        <v>148</v>
      </c>
    </row>
    <row r="1053" spans="1:3" x14ac:dyDescent="0.45">
      <c r="A1053" s="2">
        <v>46143</v>
      </c>
      <c r="B1053" s="7">
        <v>158861</v>
      </c>
      <c r="C1053" s="4">
        <f>B1053-B1052</f>
        <v>63</v>
      </c>
    </row>
    <row r="1054" spans="1:3" x14ac:dyDescent="0.45">
      <c r="A1054" s="2">
        <v>46174</v>
      </c>
      <c r="B1054" s="7">
        <v>158881</v>
      </c>
      <c r="C1054" s="4">
        <f t="shared" ref="C1054:C1055" si="0">B1054-B1053</f>
        <v>20</v>
      </c>
    </row>
    <row r="1055" spans="1:3" x14ac:dyDescent="0.45">
      <c r="A1055" s="2">
        <v>46204</v>
      </c>
      <c r="B1055" s="7">
        <v>158858</v>
      </c>
      <c r="C1055" s="4">
        <f t="shared" si="0"/>
        <v>-23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785AB-C3C1-4791-B223-A2983EB32EDA}">
  <dimension ref="A1:X946"/>
  <sheetViews>
    <sheetView topLeftCell="A12" workbookViewId="0"/>
  </sheetViews>
  <sheetFormatPr defaultRowHeight="14.25" x14ac:dyDescent="0.45"/>
  <cols>
    <col min="1" max="1" width="16.46484375" customWidth="1"/>
    <col min="2" max="2" width="5.53125" bestFit="1" customWidth="1"/>
    <col min="3" max="3" width="12.59765625" bestFit="1" customWidth="1"/>
  </cols>
  <sheetData>
    <row r="1" spans="1:24" x14ac:dyDescent="0.45">
      <c r="A1" s="1" t="s">
        <v>59</v>
      </c>
    </row>
    <row r="2" spans="1:24" x14ac:dyDescent="0.45">
      <c r="A2" t="s">
        <v>119</v>
      </c>
      <c r="F2" s="1" t="s">
        <v>4</v>
      </c>
      <c r="Q2" s="1" t="s">
        <v>62</v>
      </c>
      <c r="U2" s="1" t="s">
        <v>32</v>
      </c>
    </row>
    <row r="3" spans="1:24" x14ac:dyDescent="0.45">
      <c r="F3" t="s">
        <v>5</v>
      </c>
      <c r="G3" s="3">
        <f>B$946</f>
        <v>4.0999999999999996</v>
      </c>
      <c r="Q3" t="s">
        <v>19</v>
      </c>
      <c r="R3" s="4">
        <f>AVERAGE($C$6:$C$946)</f>
        <v>7.4388947927736375E-4</v>
      </c>
      <c r="U3" t="s">
        <v>33</v>
      </c>
      <c r="V3">
        <v>1</v>
      </c>
      <c r="W3">
        <v>2</v>
      </c>
      <c r="X3">
        <v>3</v>
      </c>
    </row>
    <row r="4" spans="1:24" x14ac:dyDescent="0.45">
      <c r="A4" s="1" t="s">
        <v>1</v>
      </c>
      <c r="B4" s="1" t="s">
        <v>2</v>
      </c>
      <c r="C4" s="1" t="s">
        <v>60</v>
      </c>
      <c r="F4" t="s">
        <v>6</v>
      </c>
      <c r="G4" s="3">
        <f>AVERAGE($B$5:$B$946)</f>
        <v>5.6561571125265404</v>
      </c>
      <c r="Q4" t="s">
        <v>20</v>
      </c>
      <c r="R4">
        <f>_xlfn.STDEV.S($C$6:$C$946)/SQRT(COUNT($C$6:$C$946))</f>
        <v>1.3466547769602662E-2</v>
      </c>
      <c r="U4" t="s">
        <v>34</v>
      </c>
      <c r="V4">
        <f>$R$3+V$3*$R$7</f>
        <v>0.41383998267063393</v>
      </c>
      <c r="W4">
        <f>$R$3+W$3*$R$7</f>
        <v>0.82693607586199058</v>
      </c>
      <c r="X4">
        <f>$R$3+X$3*$R$7</f>
        <v>1.2400321690533471</v>
      </c>
    </row>
    <row r="5" spans="1:24" x14ac:dyDescent="0.45">
      <c r="A5" s="2">
        <v>17533</v>
      </c>
      <c r="B5" s="3">
        <v>3.4</v>
      </c>
      <c r="C5" s="4"/>
      <c r="F5" t="s">
        <v>7</v>
      </c>
      <c r="G5">
        <f>_xlfn.STDEV.S($B$5:$B$946)</f>
        <v>1.703930347105411</v>
      </c>
      <c r="Q5" t="s">
        <v>21</v>
      </c>
      <c r="R5" s="4">
        <f>MEDIAN($C$6:$C$946)</f>
        <v>0</v>
      </c>
      <c r="U5" t="s">
        <v>35</v>
      </c>
      <c r="V5">
        <f>$R$3-V$3*$R$7</f>
        <v>-0.41235220371207926</v>
      </c>
      <c r="W5">
        <f>$R$3-W$3*$R$7</f>
        <v>-0.8254482969034358</v>
      </c>
      <c r="X5">
        <f>$R$3-X$3*$R$7</f>
        <v>-1.2385443900947926</v>
      </c>
    </row>
    <row r="6" spans="1:24" x14ac:dyDescent="0.45">
      <c r="A6" s="2">
        <v>17564</v>
      </c>
      <c r="B6" s="3">
        <v>3.8</v>
      </c>
      <c r="C6" s="4">
        <v>0.39999999999999991</v>
      </c>
      <c r="F6" t="s">
        <v>8</v>
      </c>
      <c r="G6">
        <f>(G3-G4)/G5</f>
        <v>-0.91327507322708157</v>
      </c>
      <c r="Q6" t="s">
        <v>22</v>
      </c>
      <c r="R6">
        <f>_xlfn.MODE.SNGL($C$6:$C$946)</f>
        <v>0</v>
      </c>
    </row>
    <row r="7" spans="1:24" x14ac:dyDescent="0.45">
      <c r="A7" s="2">
        <v>17593</v>
      </c>
      <c r="B7" s="3">
        <v>4</v>
      </c>
      <c r="C7" s="4">
        <v>0.20000000000000018</v>
      </c>
      <c r="F7" t="s">
        <v>9</v>
      </c>
      <c r="G7" s="5">
        <f>_xlfn.PERCENTRANK.INC($B$5:$B$946,G3)</f>
        <v>0.183</v>
      </c>
      <c r="Q7" t="s">
        <v>23</v>
      </c>
      <c r="R7">
        <f>_xlfn.STDEV.S($C$6:$C$946)</f>
        <v>0.41309609319135659</v>
      </c>
      <c r="U7" s="1" t="s">
        <v>36</v>
      </c>
    </row>
    <row r="8" spans="1:24" x14ac:dyDescent="0.45">
      <c r="A8" s="2">
        <v>17624</v>
      </c>
      <c r="B8" s="3">
        <v>3.9</v>
      </c>
      <c r="C8" s="4">
        <v>-0.10000000000000009</v>
      </c>
      <c r="F8" t="s">
        <v>10</v>
      </c>
      <c r="G8" t="str">
        <f>IF(G6&gt;=2,"EXTREME HIGH",IF(G6&gt;=1,"HIGH (+1 to +2σ)",IF(G6&lt;=-2,"EXTREME LOW",IF(G6&lt;=-1,"LOW (-1 to -2σ)","NORMAL (±1σ)"))))</f>
        <v>NORMAL (±1σ)</v>
      </c>
      <c r="Q8" t="s">
        <v>24</v>
      </c>
      <c r="R8">
        <f>_xlfn.VAR.S($C$6:$C$946)</f>
        <v>0.17064838220996195</v>
      </c>
      <c r="U8" t="s">
        <v>37</v>
      </c>
      <c r="V8" t="s">
        <v>38</v>
      </c>
      <c r="W8" t="s">
        <v>39</v>
      </c>
      <c r="X8" t="s">
        <v>40</v>
      </c>
    </row>
    <row r="9" spans="1:24" x14ac:dyDescent="0.45">
      <c r="A9" s="2">
        <v>17654</v>
      </c>
      <c r="B9" s="3">
        <v>3.5</v>
      </c>
      <c r="C9" s="4">
        <v>-0.39999999999999991</v>
      </c>
      <c r="F9" t="s">
        <v>11</v>
      </c>
      <c r="G9" t="str">
        <f>IF(G6&gt;=1,"WEAK vs history",IF(G6&lt;=-1,"STRONG vs history","NEUTRAL vs history (inverted: high = weakness)"))</f>
        <v>NEUTRAL vs history (inverted: high = weakness)</v>
      </c>
      <c r="Q9" t="s">
        <v>25</v>
      </c>
      <c r="R9">
        <f>KURT($C$6:$C$946)</f>
        <v>429.06638089407357</v>
      </c>
      <c r="S9" t="str">
        <f>IF(R9&gt;0,"More peaked than normal — fat tails (excess kurtosis &gt; 0)",IF(R9&lt;0,"Flatter than normal — thin tails (excess kurtosis &lt; 0)","Approximately normal kurtosis"))</f>
        <v>More peaked than normal — fat tails (excess kurtosis &gt; 0)</v>
      </c>
      <c r="U9">
        <v>1</v>
      </c>
      <c r="V9" s="5">
        <f>COUNTIFS($C$6:$C$946,"&gt;="&amp;($R$3-$R$7*$U9),$C$6:$C$946,"&lt;="&amp;($R$3+$R$7*$U9))/$R$15</f>
        <v>0.95749202975557912</v>
      </c>
      <c r="W9" s="5">
        <v>0.68200000000000005</v>
      </c>
      <c r="X9" t="str">
        <f>IF(V9&gt;W9+0.02,"fat tails",IF(V9&lt;W9-0.02,"thin tails","≈ normal"))</f>
        <v>fat tails</v>
      </c>
    </row>
    <row r="10" spans="1:24" x14ac:dyDescent="0.45">
      <c r="A10" s="2">
        <v>17685</v>
      </c>
      <c r="B10" s="3">
        <v>3.6</v>
      </c>
      <c r="C10" s="4">
        <v>0.10000000000000009</v>
      </c>
      <c r="Q10" t="s">
        <v>26</v>
      </c>
      <c r="R10">
        <f>SKEW($C$6:$C$946)</f>
        <v>16.719983528781192</v>
      </c>
      <c r="S10" t="str">
        <f>IF(R10&gt;0,"Positive skew — bigger fat tail on the upside",IF(R10&lt;0,"Negative skew — bigger fat tail on the downside","Approximately symmetric"))</f>
        <v>Positive skew — bigger fat tail on the upside</v>
      </c>
      <c r="U10">
        <v>2</v>
      </c>
      <c r="V10" s="5">
        <f>COUNTIFS($C$6:$C$946,"&gt;="&amp;($R$3-$R$7*$U10),$C$6:$C$946,"&lt;="&amp;($R$3+$R$7*$U10))/$R$15</f>
        <v>0.98937300743889478</v>
      </c>
      <c r="W10" s="5">
        <v>0.95399999999999996</v>
      </c>
      <c r="X10" t="str">
        <f>IF(V10&gt;W10+0.02,"fat tails",IF(V10&lt;W10-0.02,"thin tails","≈ normal"))</f>
        <v>fat tails</v>
      </c>
    </row>
    <row r="11" spans="1:24" x14ac:dyDescent="0.45">
      <c r="A11" s="2">
        <v>17715</v>
      </c>
      <c r="B11" s="3">
        <v>3.6</v>
      </c>
      <c r="C11" s="4">
        <v>0</v>
      </c>
      <c r="H11" s="1" t="s">
        <v>61</v>
      </c>
      <c r="Q11" t="s">
        <v>15</v>
      </c>
      <c r="R11" s="4">
        <f>MAX($C$6:$C$946)-MIN($C$6:$C$946)</f>
        <v>12.6</v>
      </c>
      <c r="U11">
        <v>3</v>
      </c>
      <c r="V11" s="5">
        <f>COUNTIFS($C$6:$C$946,"&gt;="&amp;($R$3-$R$7*$U11),$C$6:$C$946,"&lt;="&amp;($R$3+$R$7*$U11))/$R$15</f>
        <v>0.99362380446333687</v>
      </c>
      <c r="W11" s="5">
        <v>0.997</v>
      </c>
      <c r="X11" t="str">
        <f>IF(V11&gt;W11+0.02,"fat tails",IF(V11&lt;W11-0.02,"thin tails","≈ normal"))</f>
        <v>≈ normal</v>
      </c>
    </row>
    <row r="12" spans="1:24" x14ac:dyDescent="0.45">
      <c r="A12" s="2">
        <v>17746</v>
      </c>
      <c r="B12" s="3">
        <v>3.9</v>
      </c>
      <c r="C12" s="4">
        <v>0.29999999999999982</v>
      </c>
      <c r="H12" t="s">
        <v>13</v>
      </c>
      <c r="I12" t="s">
        <v>14</v>
      </c>
      <c r="J12" t="s">
        <v>15</v>
      </c>
      <c r="K12" t="s">
        <v>16</v>
      </c>
      <c r="L12" t="s">
        <v>17</v>
      </c>
      <c r="Q12" t="s">
        <v>27</v>
      </c>
      <c r="R12" s="4">
        <f>MIN($C$6:$C$946)</f>
        <v>-2.1999999999999993</v>
      </c>
    </row>
    <row r="13" spans="1:24" x14ac:dyDescent="0.45">
      <c r="A13" s="2">
        <v>17777</v>
      </c>
      <c r="B13" s="3">
        <v>3.8</v>
      </c>
      <c r="C13" s="4">
        <v>-0.10000000000000009</v>
      </c>
      <c r="H13" s="6">
        <f>$R$12+($R$11/12)*(ROW()-12)</f>
        <v>-1.1499999999999992</v>
      </c>
      <c r="I13">
        <f>COUNTIFS($C$6:$C$946,"&gt;="&amp;$R$12,$C$6:$C$946,"&lt;="&amp;H13)</f>
        <v>4</v>
      </c>
      <c r="J13" t="str">
        <f>TEXT($R$12,"0.00")&amp;" to "&amp;TEXT(H13,"0.00")</f>
        <v>-2.20 to -1.15</v>
      </c>
      <c r="K13" s="5">
        <f>I13/$R$15</f>
        <v>4.2507970244420826E-3</v>
      </c>
      <c r="L13" s="5">
        <f>SUM($K$13:K13)</f>
        <v>4.2507970244420826E-3</v>
      </c>
      <c r="Q13" t="s">
        <v>28</v>
      </c>
      <c r="R13" s="4">
        <f>MAX($C$6:$C$946)</f>
        <v>10.4</v>
      </c>
    </row>
    <row r="14" spans="1:24" x14ac:dyDescent="0.45">
      <c r="A14" s="2">
        <v>17807</v>
      </c>
      <c r="B14" s="3">
        <v>3.7</v>
      </c>
      <c r="C14" s="4">
        <v>-9.9999999999999645E-2</v>
      </c>
      <c r="H14" s="6">
        <f>$R$12+($R$11/12)*(ROW()-12)</f>
        <v>-9.9999999999999201E-2</v>
      </c>
      <c r="I14">
        <f>COUNTIFS($C$6:$C$946,"&gt;"&amp;H13,$C$6:$C$946,"&lt;="&amp;H14)</f>
        <v>382</v>
      </c>
      <c r="J14" t="str">
        <f>TEXT(H13,"0.00")&amp;" to "&amp;TEXT(H14,"0.00")</f>
        <v>-1.15 to -0.10</v>
      </c>
      <c r="K14" s="5">
        <f>I14/$R$15</f>
        <v>0.40595111583421889</v>
      </c>
      <c r="L14" s="5">
        <f>SUM($K$13:K14)</f>
        <v>0.41020191285866098</v>
      </c>
      <c r="Q14" t="s">
        <v>29</v>
      </c>
      <c r="R14" s="4">
        <f>SUM($C$6:$C$946)</f>
        <v>0.69999999999999929</v>
      </c>
    </row>
    <row r="15" spans="1:24" x14ac:dyDescent="0.45">
      <c r="A15" s="2">
        <v>17838</v>
      </c>
      <c r="B15" s="3">
        <v>3.8</v>
      </c>
      <c r="C15" s="4">
        <v>9.9999999999999645E-2</v>
      </c>
      <c r="H15" s="6">
        <f>$R$12+($R$11/12)*(ROW()-12)</f>
        <v>0.95000000000000107</v>
      </c>
      <c r="I15">
        <f>COUNTIFS($C$6:$C$946,"&gt;"&amp;H14,$C$6:$C$946,"&lt;="&amp;H15)</f>
        <v>552</v>
      </c>
      <c r="J15" t="str">
        <f>TEXT(H14,"0.00")&amp;" to "&amp;TEXT(H15,"0.00")</f>
        <v>-0.10 to 0.95</v>
      </c>
      <c r="K15" s="5">
        <f>I15/$R$15</f>
        <v>0.58660998937300746</v>
      </c>
      <c r="L15" s="5">
        <f>SUM($K$13:K15)</f>
        <v>0.99681190223166838</v>
      </c>
      <c r="Q15" t="s">
        <v>30</v>
      </c>
      <c r="R15">
        <f>COUNT($C$6:$C$946)</f>
        <v>941</v>
      </c>
      <c r="S15" t="s">
        <v>63</v>
      </c>
    </row>
    <row r="16" spans="1:24" x14ac:dyDescent="0.45">
      <c r="A16" s="2">
        <v>17868</v>
      </c>
      <c r="B16" s="3">
        <v>4</v>
      </c>
      <c r="C16" s="4">
        <v>0.20000000000000018</v>
      </c>
      <c r="H16" s="6">
        <f>$R$12+($R$11/12)*(ROW()-12)</f>
        <v>2.0000000000000009</v>
      </c>
      <c r="I16">
        <f>COUNTIFS($C$6:$C$946,"&gt;"&amp;H15,$C$6:$C$946,"&lt;="&amp;H16)</f>
        <v>2</v>
      </c>
      <c r="J16" t="str">
        <f>TEXT(H15,"0.00")&amp;" to "&amp;TEXT(H16,"0.00")</f>
        <v>0.95 to 2.00</v>
      </c>
      <c r="K16" s="5">
        <f>I16/$R$15</f>
        <v>2.1253985122210413E-3</v>
      </c>
      <c r="L16" s="5">
        <f>SUM($K$13:K16)</f>
        <v>0.99893730074388942</v>
      </c>
    </row>
    <row r="17" spans="1:12" x14ac:dyDescent="0.45">
      <c r="A17" s="2">
        <v>17899</v>
      </c>
      <c r="B17" s="3">
        <v>4.3</v>
      </c>
      <c r="C17" s="4">
        <v>0.29999999999999982</v>
      </c>
      <c r="H17" s="6">
        <f>$R$12+($R$11/12)*(ROW()-12)</f>
        <v>3.0500000000000007</v>
      </c>
      <c r="I17">
        <f>COUNTIFS($C$6:$C$946,"&gt;"&amp;H16,$C$6:$C$946,"&lt;="&amp;H17)</f>
        <v>0</v>
      </c>
      <c r="J17" t="str">
        <f>TEXT(H16,"0.00")&amp;" to "&amp;TEXT(H17,"0.00")</f>
        <v>2.00 to 3.05</v>
      </c>
      <c r="K17" s="5">
        <f>I17/$R$15</f>
        <v>0</v>
      </c>
      <c r="L17" s="5">
        <f>SUM($K$13:K17)</f>
        <v>0.99893730074388942</v>
      </c>
    </row>
    <row r="18" spans="1:12" x14ac:dyDescent="0.45">
      <c r="A18" s="2">
        <v>17930</v>
      </c>
      <c r="B18" s="3">
        <v>4.7</v>
      </c>
      <c r="C18" s="4">
        <v>0.40000000000000036</v>
      </c>
      <c r="H18" s="6">
        <f>$R$12+($R$11/12)*(ROW()-12)</f>
        <v>4.1000000000000014</v>
      </c>
      <c r="I18">
        <f>COUNTIFS($C$6:$C$946,"&gt;"&amp;H17,$C$6:$C$946,"&lt;="&amp;H18)</f>
        <v>0</v>
      </c>
      <c r="J18" t="str">
        <f>TEXT(H17,"0.00")&amp;" to "&amp;TEXT(H18,"0.00")</f>
        <v>3.05 to 4.10</v>
      </c>
      <c r="K18" s="5">
        <f>I18/$R$15</f>
        <v>0</v>
      </c>
      <c r="L18" s="5">
        <f>SUM($K$13:K18)</f>
        <v>0.99893730074388942</v>
      </c>
    </row>
    <row r="19" spans="1:12" x14ac:dyDescent="0.45">
      <c r="A19" s="2">
        <v>17958</v>
      </c>
      <c r="B19" s="3">
        <v>5</v>
      </c>
      <c r="C19" s="4">
        <v>0.29999999999999982</v>
      </c>
      <c r="H19" s="6">
        <f>$R$12+($R$11/12)*(ROW()-12)</f>
        <v>5.1500000000000012</v>
      </c>
      <c r="I19">
        <f>COUNTIFS($C$6:$C$946,"&gt;"&amp;H18,$C$6:$C$946,"&lt;="&amp;H19)</f>
        <v>0</v>
      </c>
      <c r="J19" t="str">
        <f>TEXT(H18,"0.00")&amp;" to "&amp;TEXT(H19,"0.00")</f>
        <v>4.10 to 5.15</v>
      </c>
      <c r="K19" s="5">
        <f>I19/$R$15</f>
        <v>0</v>
      </c>
      <c r="L19" s="5">
        <f>SUM($K$13:K19)</f>
        <v>0.99893730074388942</v>
      </c>
    </row>
    <row r="20" spans="1:12" x14ac:dyDescent="0.45">
      <c r="A20" s="2">
        <v>17989</v>
      </c>
      <c r="B20" s="3">
        <v>5.3</v>
      </c>
      <c r="C20" s="4">
        <v>0.29999999999999982</v>
      </c>
      <c r="H20" s="6">
        <f>$R$12+($R$11/12)*(ROW()-12)</f>
        <v>6.2000000000000011</v>
      </c>
      <c r="I20">
        <f>COUNTIFS($C$6:$C$946,"&gt;"&amp;H19,$C$6:$C$946,"&lt;="&amp;H20)</f>
        <v>0</v>
      </c>
      <c r="J20" t="str">
        <f>TEXT(H19,"0.00")&amp;" to "&amp;TEXT(H20,"0.00")</f>
        <v>5.15 to 6.20</v>
      </c>
      <c r="K20" s="5">
        <f>I20/$R$15</f>
        <v>0</v>
      </c>
      <c r="L20" s="5">
        <f>SUM($K$13:K20)</f>
        <v>0.99893730074388942</v>
      </c>
    </row>
    <row r="21" spans="1:12" x14ac:dyDescent="0.45">
      <c r="A21" s="2">
        <v>18019</v>
      </c>
      <c r="B21" s="3">
        <v>6.1</v>
      </c>
      <c r="C21" s="4">
        <v>0.79999999999999982</v>
      </c>
      <c r="H21" s="6">
        <f>$R$12+($R$11/12)*(ROW()-12)</f>
        <v>7.2500000000000018</v>
      </c>
      <c r="I21">
        <f>COUNTIFS($C$6:$C$946,"&gt;"&amp;H20,$C$6:$C$946,"&lt;="&amp;H21)</f>
        <v>0</v>
      </c>
      <c r="J21" t="str">
        <f>TEXT(H20,"0.00")&amp;" to "&amp;TEXT(H21,"0.00")</f>
        <v>6.20 to 7.25</v>
      </c>
      <c r="K21" s="5">
        <f>I21/$R$15</f>
        <v>0</v>
      </c>
      <c r="L21" s="5">
        <f>SUM($K$13:K21)</f>
        <v>0.99893730074388942</v>
      </c>
    </row>
    <row r="22" spans="1:12" x14ac:dyDescent="0.45">
      <c r="A22" s="2">
        <v>18050</v>
      </c>
      <c r="B22" s="3">
        <v>6.2</v>
      </c>
      <c r="C22" s="4">
        <v>0.10000000000000053</v>
      </c>
      <c r="H22" s="6">
        <f>$R$12+($R$11/12)*(ROW()-12)</f>
        <v>8.3000000000000007</v>
      </c>
      <c r="I22">
        <f>COUNTIFS($C$6:$C$946,"&gt;"&amp;H21,$C$6:$C$946,"&lt;="&amp;H22)</f>
        <v>0</v>
      </c>
      <c r="J22" t="str">
        <f>TEXT(H21,"0.00")&amp;" to "&amp;TEXT(H22,"0.00")</f>
        <v>7.25 to 8.30</v>
      </c>
      <c r="K22" s="5">
        <f>I22/$R$15</f>
        <v>0</v>
      </c>
      <c r="L22" s="5">
        <f>SUM($K$13:K22)</f>
        <v>0.99893730074388942</v>
      </c>
    </row>
    <row r="23" spans="1:12" x14ac:dyDescent="0.45">
      <c r="A23" s="2">
        <v>18080</v>
      </c>
      <c r="B23" s="3">
        <v>6.7</v>
      </c>
      <c r="C23" s="4">
        <v>0.5</v>
      </c>
      <c r="H23" s="6">
        <f>$R$12+($R$11/12)*(ROW()-12)</f>
        <v>9.3500000000000014</v>
      </c>
      <c r="I23">
        <f>COUNTIFS($C$6:$C$946,"&gt;"&amp;H22,$C$6:$C$946,"&lt;="&amp;H23)</f>
        <v>0</v>
      </c>
      <c r="J23" t="str">
        <f>TEXT(H22,"0.00")&amp;" to "&amp;TEXT(H23,"0.00")</f>
        <v>8.30 to 9.35</v>
      </c>
      <c r="K23" s="5">
        <f>I23/$R$15</f>
        <v>0</v>
      </c>
      <c r="L23" s="5">
        <f>SUM($K$13:K23)</f>
        <v>0.99893730074388942</v>
      </c>
    </row>
    <row r="24" spans="1:12" x14ac:dyDescent="0.45">
      <c r="A24" s="2">
        <v>18111</v>
      </c>
      <c r="B24" s="3">
        <v>6.8</v>
      </c>
      <c r="C24" s="4">
        <v>9.9999999999999645E-2</v>
      </c>
      <c r="H24" s="6">
        <f>$R$12+($R$11/12)*(ROW()-12)</f>
        <v>10.400000000000002</v>
      </c>
      <c r="I24">
        <f>COUNTIFS($C$6:$C$946,"&gt;"&amp;H23,$C$6:$C$946,"&lt;="&amp;H24)</f>
        <v>1</v>
      </c>
      <c r="J24" t="str">
        <f>TEXT(H23,"0.00")&amp;" to "&amp;TEXT(H24,"0.00")</f>
        <v>9.35 to 10.40</v>
      </c>
      <c r="K24" s="5">
        <f>I24/$R$15</f>
        <v>1.0626992561105207E-3</v>
      </c>
      <c r="L24" s="5">
        <f>SUM($K$13:K24)</f>
        <v>0.99999999999999989</v>
      </c>
    </row>
    <row r="25" spans="1:12" x14ac:dyDescent="0.45">
      <c r="A25" s="2">
        <v>18142</v>
      </c>
      <c r="B25" s="3">
        <v>6.6</v>
      </c>
      <c r="C25" s="4">
        <v>-0.20000000000000018</v>
      </c>
    </row>
    <row r="26" spans="1:12" x14ac:dyDescent="0.45">
      <c r="A26" s="2">
        <v>18172</v>
      </c>
      <c r="B26" s="3">
        <v>7.9</v>
      </c>
      <c r="C26" s="4">
        <v>1.3000000000000007</v>
      </c>
    </row>
    <row r="27" spans="1:12" x14ac:dyDescent="0.45">
      <c r="A27" s="2">
        <v>18203</v>
      </c>
      <c r="B27" s="3">
        <v>6.4</v>
      </c>
      <c r="C27" s="4">
        <v>-1.5</v>
      </c>
    </row>
    <row r="28" spans="1:12" x14ac:dyDescent="0.45">
      <c r="A28" s="2">
        <v>18233</v>
      </c>
      <c r="B28" s="3">
        <v>6.6</v>
      </c>
      <c r="C28" s="4">
        <v>0.19999999999999929</v>
      </c>
    </row>
    <row r="29" spans="1:12" x14ac:dyDescent="0.45">
      <c r="A29" s="2">
        <v>18264</v>
      </c>
      <c r="B29" s="3">
        <v>6.5</v>
      </c>
      <c r="C29" s="4">
        <v>-9.9999999999999645E-2</v>
      </c>
    </row>
    <row r="30" spans="1:12" x14ac:dyDescent="0.45">
      <c r="A30" s="2">
        <v>18295</v>
      </c>
      <c r="B30" s="3">
        <v>6.4</v>
      </c>
      <c r="C30" s="4">
        <v>-9.9999999999999645E-2</v>
      </c>
    </row>
    <row r="31" spans="1:12" x14ac:dyDescent="0.45">
      <c r="A31" s="2">
        <v>18323</v>
      </c>
      <c r="B31" s="3">
        <v>6.3</v>
      </c>
      <c r="C31" s="4">
        <v>-0.10000000000000053</v>
      </c>
    </row>
    <row r="32" spans="1:12" x14ac:dyDescent="0.45">
      <c r="A32" s="2">
        <v>18354</v>
      </c>
      <c r="B32" s="3">
        <v>5.8</v>
      </c>
      <c r="C32" s="4">
        <v>-0.5</v>
      </c>
    </row>
    <row r="33" spans="1:3" x14ac:dyDescent="0.45">
      <c r="A33" s="2">
        <v>18384</v>
      </c>
      <c r="B33" s="3">
        <v>5.5</v>
      </c>
      <c r="C33" s="4">
        <v>-0.29999999999999982</v>
      </c>
    </row>
    <row r="34" spans="1:3" x14ac:dyDescent="0.45">
      <c r="A34" s="2">
        <v>18415</v>
      </c>
      <c r="B34" s="3">
        <v>5.4</v>
      </c>
      <c r="C34" s="4">
        <v>-9.9999999999999645E-2</v>
      </c>
    </row>
    <row r="35" spans="1:3" x14ac:dyDescent="0.45">
      <c r="A35" s="2">
        <v>18445</v>
      </c>
      <c r="B35" s="3">
        <v>5</v>
      </c>
      <c r="C35" s="4">
        <v>-0.40000000000000036</v>
      </c>
    </row>
    <row r="36" spans="1:3" x14ac:dyDescent="0.45">
      <c r="A36" s="2">
        <v>18476</v>
      </c>
      <c r="B36" s="3">
        <v>4.5</v>
      </c>
      <c r="C36" s="4">
        <v>-0.5</v>
      </c>
    </row>
    <row r="37" spans="1:3" x14ac:dyDescent="0.45">
      <c r="A37" s="2">
        <v>18507</v>
      </c>
      <c r="B37" s="3">
        <v>4.4000000000000004</v>
      </c>
      <c r="C37" s="4">
        <v>-9.9999999999999645E-2</v>
      </c>
    </row>
    <row r="38" spans="1:3" x14ac:dyDescent="0.45">
      <c r="A38" s="2">
        <v>18537</v>
      </c>
      <c r="B38" s="3">
        <v>4.2</v>
      </c>
      <c r="C38" s="4">
        <v>-0.20000000000000018</v>
      </c>
    </row>
    <row r="39" spans="1:3" x14ac:dyDescent="0.45">
      <c r="A39" s="2">
        <v>18568</v>
      </c>
      <c r="B39" s="3">
        <v>4.2</v>
      </c>
      <c r="C39" s="4">
        <v>0</v>
      </c>
    </row>
    <row r="40" spans="1:3" x14ac:dyDescent="0.45">
      <c r="A40" s="2">
        <v>18598</v>
      </c>
      <c r="B40" s="3">
        <v>4.3</v>
      </c>
      <c r="C40" s="4">
        <v>9.9999999999999645E-2</v>
      </c>
    </row>
    <row r="41" spans="1:3" x14ac:dyDescent="0.45">
      <c r="A41" s="2">
        <v>18629</v>
      </c>
      <c r="B41" s="3">
        <v>3.7</v>
      </c>
      <c r="C41" s="4">
        <v>-0.59999999999999964</v>
      </c>
    </row>
    <row r="42" spans="1:3" x14ac:dyDescent="0.45">
      <c r="A42" s="2">
        <v>18660</v>
      </c>
      <c r="B42" s="3">
        <v>3.4</v>
      </c>
      <c r="C42" s="4">
        <v>-0.30000000000000027</v>
      </c>
    </row>
    <row r="43" spans="1:3" x14ac:dyDescent="0.45">
      <c r="A43" s="2">
        <v>18688</v>
      </c>
      <c r="B43" s="3">
        <v>3.4</v>
      </c>
      <c r="C43" s="4">
        <v>0</v>
      </c>
    </row>
    <row r="44" spans="1:3" x14ac:dyDescent="0.45">
      <c r="A44" s="2">
        <v>18719</v>
      </c>
      <c r="B44" s="3">
        <v>3.1</v>
      </c>
      <c r="C44" s="4">
        <v>-0.29999999999999982</v>
      </c>
    </row>
    <row r="45" spans="1:3" x14ac:dyDescent="0.45">
      <c r="A45" s="2">
        <v>18749</v>
      </c>
      <c r="B45" s="3">
        <v>3</v>
      </c>
      <c r="C45" s="4">
        <v>-0.10000000000000009</v>
      </c>
    </row>
    <row r="46" spans="1:3" x14ac:dyDescent="0.45">
      <c r="A46" s="2">
        <v>18780</v>
      </c>
      <c r="B46" s="3">
        <v>3.2</v>
      </c>
      <c r="C46" s="4">
        <v>0.20000000000000018</v>
      </c>
    </row>
    <row r="47" spans="1:3" x14ac:dyDescent="0.45">
      <c r="A47" s="2">
        <v>18810</v>
      </c>
      <c r="B47" s="3">
        <v>3.1</v>
      </c>
      <c r="C47" s="4">
        <v>-0.10000000000000009</v>
      </c>
    </row>
    <row r="48" spans="1:3" x14ac:dyDescent="0.45">
      <c r="A48" s="2">
        <v>18841</v>
      </c>
      <c r="B48" s="3">
        <v>3.1</v>
      </c>
      <c r="C48" s="4">
        <v>0</v>
      </c>
    </row>
    <row r="49" spans="1:3" x14ac:dyDescent="0.45">
      <c r="A49" s="2">
        <v>18872</v>
      </c>
      <c r="B49" s="3">
        <v>3.3</v>
      </c>
      <c r="C49" s="4">
        <v>0.19999999999999973</v>
      </c>
    </row>
    <row r="50" spans="1:3" x14ac:dyDescent="0.45">
      <c r="A50" s="2">
        <v>18902</v>
      </c>
      <c r="B50" s="3">
        <v>3.5</v>
      </c>
      <c r="C50" s="4">
        <v>0.20000000000000018</v>
      </c>
    </row>
    <row r="51" spans="1:3" x14ac:dyDescent="0.45">
      <c r="A51" s="2">
        <v>18933</v>
      </c>
      <c r="B51" s="3">
        <v>3.5</v>
      </c>
      <c r="C51" s="4">
        <v>0</v>
      </c>
    </row>
    <row r="52" spans="1:3" x14ac:dyDescent="0.45">
      <c r="A52" s="2">
        <v>18963</v>
      </c>
      <c r="B52" s="3">
        <v>3.1</v>
      </c>
      <c r="C52" s="4">
        <v>-0.39999999999999991</v>
      </c>
    </row>
    <row r="53" spans="1:3" x14ac:dyDescent="0.45">
      <c r="A53" s="2">
        <v>18994</v>
      </c>
      <c r="B53" s="3">
        <v>3.2</v>
      </c>
      <c r="C53" s="4">
        <v>0.10000000000000009</v>
      </c>
    </row>
    <row r="54" spans="1:3" x14ac:dyDescent="0.45">
      <c r="A54" s="2">
        <v>19025</v>
      </c>
      <c r="B54" s="3">
        <v>3.1</v>
      </c>
      <c r="C54" s="4">
        <v>-0.10000000000000009</v>
      </c>
    </row>
    <row r="55" spans="1:3" x14ac:dyDescent="0.45">
      <c r="A55" s="2">
        <v>19054</v>
      </c>
      <c r="B55" s="3">
        <v>2.9</v>
      </c>
      <c r="C55" s="4">
        <v>-0.20000000000000018</v>
      </c>
    </row>
    <row r="56" spans="1:3" x14ac:dyDescent="0.45">
      <c r="A56" s="2">
        <v>19085</v>
      </c>
      <c r="B56" s="3">
        <v>2.9</v>
      </c>
      <c r="C56" s="4">
        <v>0</v>
      </c>
    </row>
    <row r="57" spans="1:3" x14ac:dyDescent="0.45">
      <c r="A57" s="2">
        <v>19115</v>
      </c>
      <c r="B57" s="3">
        <v>3</v>
      </c>
      <c r="C57" s="4">
        <v>0.10000000000000009</v>
      </c>
    </row>
    <row r="58" spans="1:3" x14ac:dyDescent="0.45">
      <c r="A58" s="2">
        <v>19146</v>
      </c>
      <c r="B58" s="3">
        <v>3</v>
      </c>
      <c r="C58" s="4">
        <v>0</v>
      </c>
    </row>
    <row r="59" spans="1:3" x14ac:dyDescent="0.45">
      <c r="A59" s="2">
        <v>19176</v>
      </c>
      <c r="B59" s="3">
        <v>3.2</v>
      </c>
      <c r="C59" s="4">
        <v>0.20000000000000018</v>
      </c>
    </row>
    <row r="60" spans="1:3" x14ac:dyDescent="0.45">
      <c r="A60" s="2">
        <v>19207</v>
      </c>
      <c r="B60" s="3">
        <v>3.4</v>
      </c>
      <c r="C60" s="4">
        <v>0.19999999999999973</v>
      </c>
    </row>
    <row r="61" spans="1:3" x14ac:dyDescent="0.45">
      <c r="A61" s="2">
        <v>19238</v>
      </c>
      <c r="B61" s="3">
        <v>3.1</v>
      </c>
      <c r="C61" s="4">
        <v>-0.29999999999999982</v>
      </c>
    </row>
    <row r="62" spans="1:3" x14ac:dyDescent="0.45">
      <c r="A62" s="2">
        <v>19268</v>
      </c>
      <c r="B62" s="3">
        <v>3</v>
      </c>
      <c r="C62" s="4">
        <v>-0.10000000000000009</v>
      </c>
    </row>
    <row r="63" spans="1:3" x14ac:dyDescent="0.45">
      <c r="A63" s="2">
        <v>19299</v>
      </c>
      <c r="B63" s="3">
        <v>2.8</v>
      </c>
      <c r="C63" s="4">
        <v>-0.20000000000000018</v>
      </c>
    </row>
    <row r="64" spans="1:3" x14ac:dyDescent="0.45">
      <c r="A64" s="2">
        <v>19329</v>
      </c>
      <c r="B64" s="3">
        <v>2.7</v>
      </c>
      <c r="C64" s="4">
        <v>-9.9999999999999645E-2</v>
      </c>
    </row>
    <row r="65" spans="1:3" x14ac:dyDescent="0.45">
      <c r="A65" s="2">
        <v>19360</v>
      </c>
      <c r="B65" s="3">
        <v>2.9</v>
      </c>
      <c r="C65" s="4">
        <v>0.19999999999999973</v>
      </c>
    </row>
    <row r="66" spans="1:3" x14ac:dyDescent="0.45">
      <c r="A66" s="2">
        <v>19391</v>
      </c>
      <c r="B66" s="3">
        <v>2.6</v>
      </c>
      <c r="C66" s="4">
        <v>-0.29999999999999982</v>
      </c>
    </row>
    <row r="67" spans="1:3" x14ac:dyDescent="0.45">
      <c r="A67" s="2">
        <v>19419</v>
      </c>
      <c r="B67" s="3">
        <v>2.6</v>
      </c>
      <c r="C67" s="4">
        <v>0</v>
      </c>
    </row>
    <row r="68" spans="1:3" x14ac:dyDescent="0.45">
      <c r="A68" s="2">
        <v>19450</v>
      </c>
      <c r="B68" s="3">
        <v>2.7</v>
      </c>
      <c r="C68" s="4">
        <v>0.10000000000000009</v>
      </c>
    </row>
    <row r="69" spans="1:3" x14ac:dyDescent="0.45">
      <c r="A69" s="2">
        <v>19480</v>
      </c>
      <c r="B69" s="3">
        <v>2.5</v>
      </c>
      <c r="C69" s="4">
        <v>-0.20000000000000018</v>
      </c>
    </row>
    <row r="70" spans="1:3" x14ac:dyDescent="0.45">
      <c r="A70" s="2">
        <v>19511</v>
      </c>
      <c r="B70" s="3">
        <v>2.5</v>
      </c>
      <c r="C70" s="4">
        <v>0</v>
      </c>
    </row>
    <row r="71" spans="1:3" x14ac:dyDescent="0.45">
      <c r="A71" s="2">
        <v>19541</v>
      </c>
      <c r="B71" s="3">
        <v>2.6</v>
      </c>
      <c r="C71" s="4">
        <v>0.10000000000000009</v>
      </c>
    </row>
    <row r="72" spans="1:3" x14ac:dyDescent="0.45">
      <c r="A72" s="2">
        <v>19572</v>
      </c>
      <c r="B72" s="3">
        <v>2.7</v>
      </c>
      <c r="C72" s="4">
        <v>0.10000000000000009</v>
      </c>
    </row>
    <row r="73" spans="1:3" x14ac:dyDescent="0.45">
      <c r="A73" s="2">
        <v>19603</v>
      </c>
      <c r="B73" s="3">
        <v>2.9</v>
      </c>
      <c r="C73" s="4">
        <v>0.19999999999999973</v>
      </c>
    </row>
    <row r="74" spans="1:3" x14ac:dyDescent="0.45">
      <c r="A74" s="2">
        <v>19633</v>
      </c>
      <c r="B74" s="3">
        <v>3.1</v>
      </c>
      <c r="C74" s="4">
        <v>0.20000000000000018</v>
      </c>
    </row>
    <row r="75" spans="1:3" x14ac:dyDescent="0.45">
      <c r="A75" s="2">
        <v>19664</v>
      </c>
      <c r="B75" s="3">
        <v>3.5</v>
      </c>
      <c r="C75" s="4">
        <v>0.39999999999999991</v>
      </c>
    </row>
    <row r="76" spans="1:3" x14ac:dyDescent="0.45">
      <c r="A76" s="2">
        <v>19694</v>
      </c>
      <c r="B76" s="3">
        <v>4.5</v>
      </c>
      <c r="C76" s="4">
        <v>1</v>
      </c>
    </row>
    <row r="77" spans="1:3" x14ac:dyDescent="0.45">
      <c r="A77" s="2">
        <v>19725</v>
      </c>
      <c r="B77" s="3">
        <v>4.9000000000000004</v>
      </c>
      <c r="C77" s="4">
        <v>0.40000000000000036</v>
      </c>
    </row>
    <row r="78" spans="1:3" x14ac:dyDescent="0.45">
      <c r="A78" s="2">
        <v>19756</v>
      </c>
      <c r="B78" s="3">
        <v>5.2</v>
      </c>
      <c r="C78" s="4">
        <v>0.29999999999999982</v>
      </c>
    </row>
    <row r="79" spans="1:3" x14ac:dyDescent="0.45">
      <c r="A79" s="2">
        <v>19784</v>
      </c>
      <c r="B79" s="3">
        <v>5.7</v>
      </c>
      <c r="C79" s="4">
        <v>0.5</v>
      </c>
    </row>
    <row r="80" spans="1:3" x14ac:dyDescent="0.45">
      <c r="A80" s="2">
        <v>19815</v>
      </c>
      <c r="B80" s="3">
        <v>5.9</v>
      </c>
      <c r="C80" s="4">
        <v>0.20000000000000018</v>
      </c>
    </row>
    <row r="81" spans="1:3" x14ac:dyDescent="0.45">
      <c r="A81" s="2">
        <v>19845</v>
      </c>
      <c r="B81" s="3">
        <v>5.9</v>
      </c>
      <c r="C81" s="4">
        <v>0</v>
      </c>
    </row>
    <row r="82" spans="1:3" x14ac:dyDescent="0.45">
      <c r="A82" s="2">
        <v>19876</v>
      </c>
      <c r="B82" s="3">
        <v>5.6</v>
      </c>
      <c r="C82" s="4">
        <v>-0.30000000000000071</v>
      </c>
    </row>
    <row r="83" spans="1:3" x14ac:dyDescent="0.45">
      <c r="A83" s="2">
        <v>19906</v>
      </c>
      <c r="B83" s="3">
        <v>5.8</v>
      </c>
      <c r="C83" s="4">
        <v>0.20000000000000018</v>
      </c>
    </row>
    <row r="84" spans="1:3" x14ac:dyDescent="0.45">
      <c r="A84" s="2">
        <v>19937</v>
      </c>
      <c r="B84" s="3">
        <v>6</v>
      </c>
      <c r="C84" s="4">
        <v>0.20000000000000018</v>
      </c>
    </row>
    <row r="85" spans="1:3" x14ac:dyDescent="0.45">
      <c r="A85" s="2">
        <v>19968</v>
      </c>
      <c r="B85" s="3">
        <v>6.1</v>
      </c>
      <c r="C85" s="4">
        <v>9.9999999999999645E-2</v>
      </c>
    </row>
    <row r="86" spans="1:3" x14ac:dyDescent="0.45">
      <c r="A86" s="2">
        <v>19998</v>
      </c>
      <c r="B86" s="3">
        <v>5.7</v>
      </c>
      <c r="C86" s="4">
        <v>-0.39999999999999947</v>
      </c>
    </row>
    <row r="87" spans="1:3" x14ac:dyDescent="0.45">
      <c r="A87" s="2">
        <v>20029</v>
      </c>
      <c r="B87" s="3">
        <v>5.3</v>
      </c>
      <c r="C87" s="4">
        <v>-0.40000000000000036</v>
      </c>
    </row>
    <row r="88" spans="1:3" x14ac:dyDescent="0.45">
      <c r="A88" s="2">
        <v>20059</v>
      </c>
      <c r="B88" s="3">
        <v>5</v>
      </c>
      <c r="C88" s="4">
        <v>-0.29999999999999982</v>
      </c>
    </row>
    <row r="89" spans="1:3" x14ac:dyDescent="0.45">
      <c r="A89" s="2">
        <v>20090</v>
      </c>
      <c r="B89" s="3">
        <v>4.9000000000000004</v>
      </c>
      <c r="C89" s="4">
        <v>-9.9999999999999645E-2</v>
      </c>
    </row>
    <row r="90" spans="1:3" x14ac:dyDescent="0.45">
      <c r="A90" s="2">
        <v>20121</v>
      </c>
      <c r="B90" s="3">
        <v>4.7</v>
      </c>
      <c r="C90" s="4">
        <v>-0.20000000000000018</v>
      </c>
    </row>
    <row r="91" spans="1:3" x14ac:dyDescent="0.45">
      <c r="A91" s="2">
        <v>20149</v>
      </c>
      <c r="B91" s="3">
        <v>4.5999999999999996</v>
      </c>
      <c r="C91" s="4">
        <v>-0.10000000000000053</v>
      </c>
    </row>
    <row r="92" spans="1:3" x14ac:dyDescent="0.45">
      <c r="A92" s="2">
        <v>20180</v>
      </c>
      <c r="B92" s="3">
        <v>4.7</v>
      </c>
      <c r="C92" s="4">
        <v>0.10000000000000053</v>
      </c>
    </row>
    <row r="93" spans="1:3" x14ac:dyDescent="0.45">
      <c r="A93" s="2">
        <v>20210</v>
      </c>
      <c r="B93" s="3">
        <v>4.3</v>
      </c>
      <c r="C93" s="4">
        <v>-0.40000000000000036</v>
      </c>
    </row>
    <row r="94" spans="1:3" x14ac:dyDescent="0.45">
      <c r="A94" s="2">
        <v>20241</v>
      </c>
      <c r="B94" s="3">
        <v>4.2</v>
      </c>
      <c r="C94" s="4">
        <v>-9.9999999999999645E-2</v>
      </c>
    </row>
    <row r="95" spans="1:3" x14ac:dyDescent="0.45">
      <c r="A95" s="2">
        <v>20271</v>
      </c>
      <c r="B95" s="3">
        <v>4</v>
      </c>
      <c r="C95" s="4">
        <v>-0.20000000000000018</v>
      </c>
    </row>
    <row r="96" spans="1:3" x14ac:dyDescent="0.45">
      <c r="A96" s="2">
        <v>20302</v>
      </c>
      <c r="B96" s="3">
        <v>4.2</v>
      </c>
      <c r="C96" s="4">
        <v>0.20000000000000018</v>
      </c>
    </row>
    <row r="97" spans="1:3" x14ac:dyDescent="0.45">
      <c r="A97" s="2">
        <v>20333</v>
      </c>
      <c r="B97" s="3">
        <v>4.0999999999999996</v>
      </c>
      <c r="C97" s="4">
        <v>-0.10000000000000053</v>
      </c>
    </row>
    <row r="98" spans="1:3" x14ac:dyDescent="0.45">
      <c r="A98" s="2">
        <v>20363</v>
      </c>
      <c r="B98" s="3">
        <v>4.3</v>
      </c>
      <c r="C98" s="4">
        <v>0.20000000000000018</v>
      </c>
    </row>
    <row r="99" spans="1:3" x14ac:dyDescent="0.45">
      <c r="A99" s="2">
        <v>20394</v>
      </c>
      <c r="B99" s="3">
        <v>4.2</v>
      </c>
      <c r="C99" s="4">
        <v>-9.9999999999999645E-2</v>
      </c>
    </row>
    <row r="100" spans="1:3" x14ac:dyDescent="0.45">
      <c r="A100" s="2">
        <v>20424</v>
      </c>
      <c r="B100" s="3">
        <v>4.2</v>
      </c>
      <c r="C100" s="4">
        <v>0</v>
      </c>
    </row>
    <row r="101" spans="1:3" x14ac:dyDescent="0.45">
      <c r="A101" s="2">
        <v>20455</v>
      </c>
      <c r="B101" s="3">
        <v>4</v>
      </c>
      <c r="C101" s="4">
        <v>-0.20000000000000018</v>
      </c>
    </row>
    <row r="102" spans="1:3" x14ac:dyDescent="0.45">
      <c r="A102" s="2">
        <v>20486</v>
      </c>
      <c r="B102" s="3">
        <v>3.9</v>
      </c>
      <c r="C102" s="4">
        <v>-0.10000000000000009</v>
      </c>
    </row>
    <row r="103" spans="1:3" x14ac:dyDescent="0.45">
      <c r="A103" s="2">
        <v>20515</v>
      </c>
      <c r="B103" s="3">
        <v>4.2</v>
      </c>
      <c r="C103" s="4">
        <v>0.30000000000000027</v>
      </c>
    </row>
    <row r="104" spans="1:3" x14ac:dyDescent="0.45">
      <c r="A104" s="2">
        <v>20546</v>
      </c>
      <c r="B104" s="3">
        <v>4</v>
      </c>
      <c r="C104" s="4">
        <v>-0.20000000000000018</v>
      </c>
    </row>
    <row r="105" spans="1:3" x14ac:dyDescent="0.45">
      <c r="A105" s="2">
        <v>20576</v>
      </c>
      <c r="B105" s="3">
        <v>4.3</v>
      </c>
      <c r="C105" s="4">
        <v>0.29999999999999982</v>
      </c>
    </row>
    <row r="106" spans="1:3" x14ac:dyDescent="0.45">
      <c r="A106" s="2">
        <v>20607</v>
      </c>
      <c r="B106" s="3">
        <v>4.3</v>
      </c>
      <c r="C106" s="4">
        <v>0</v>
      </c>
    </row>
    <row r="107" spans="1:3" x14ac:dyDescent="0.45">
      <c r="A107" s="2">
        <v>20637</v>
      </c>
      <c r="B107" s="3">
        <v>4.4000000000000004</v>
      </c>
      <c r="C107" s="4">
        <v>0.10000000000000053</v>
      </c>
    </row>
    <row r="108" spans="1:3" x14ac:dyDescent="0.45">
      <c r="A108" s="2">
        <v>20668</v>
      </c>
      <c r="B108" s="3">
        <v>4.0999999999999996</v>
      </c>
      <c r="C108" s="4">
        <v>-0.30000000000000071</v>
      </c>
    </row>
    <row r="109" spans="1:3" x14ac:dyDescent="0.45">
      <c r="A109" s="2">
        <v>20699</v>
      </c>
      <c r="B109" s="3">
        <v>3.9</v>
      </c>
      <c r="C109" s="4">
        <v>-0.19999999999999973</v>
      </c>
    </row>
    <row r="110" spans="1:3" x14ac:dyDescent="0.45">
      <c r="A110" s="2">
        <v>20729</v>
      </c>
      <c r="B110" s="3">
        <v>3.9</v>
      </c>
      <c r="C110" s="4">
        <v>0</v>
      </c>
    </row>
    <row r="111" spans="1:3" x14ac:dyDescent="0.45">
      <c r="A111" s="2">
        <v>20760</v>
      </c>
      <c r="B111" s="3">
        <v>4.3</v>
      </c>
      <c r="C111" s="4">
        <v>0.39999999999999991</v>
      </c>
    </row>
    <row r="112" spans="1:3" x14ac:dyDescent="0.45">
      <c r="A112" s="2">
        <v>20790</v>
      </c>
      <c r="B112" s="3">
        <v>4.2</v>
      </c>
      <c r="C112" s="4">
        <v>-9.9999999999999645E-2</v>
      </c>
    </row>
    <row r="113" spans="1:3" x14ac:dyDescent="0.45">
      <c r="A113" s="2">
        <v>20821</v>
      </c>
      <c r="B113" s="3">
        <v>4.2</v>
      </c>
      <c r="C113" s="4">
        <v>0</v>
      </c>
    </row>
    <row r="114" spans="1:3" x14ac:dyDescent="0.45">
      <c r="A114" s="2">
        <v>20852</v>
      </c>
      <c r="B114" s="3">
        <v>3.9</v>
      </c>
      <c r="C114" s="4">
        <v>-0.30000000000000027</v>
      </c>
    </row>
    <row r="115" spans="1:3" x14ac:dyDescent="0.45">
      <c r="A115" s="2">
        <v>20880</v>
      </c>
      <c r="B115" s="3">
        <v>3.7</v>
      </c>
      <c r="C115" s="4">
        <v>-0.19999999999999973</v>
      </c>
    </row>
    <row r="116" spans="1:3" x14ac:dyDescent="0.45">
      <c r="A116" s="2">
        <v>20911</v>
      </c>
      <c r="B116" s="3">
        <v>3.9</v>
      </c>
      <c r="C116" s="4">
        <v>0.19999999999999973</v>
      </c>
    </row>
    <row r="117" spans="1:3" x14ac:dyDescent="0.45">
      <c r="A117" s="2">
        <v>20941</v>
      </c>
      <c r="B117" s="3">
        <v>4.0999999999999996</v>
      </c>
      <c r="C117" s="4">
        <v>0.19999999999999973</v>
      </c>
    </row>
    <row r="118" spans="1:3" x14ac:dyDescent="0.45">
      <c r="A118" s="2">
        <v>20972</v>
      </c>
      <c r="B118" s="3">
        <v>4.3</v>
      </c>
      <c r="C118" s="4">
        <v>0.20000000000000018</v>
      </c>
    </row>
    <row r="119" spans="1:3" x14ac:dyDescent="0.45">
      <c r="A119" s="2">
        <v>21002</v>
      </c>
      <c r="B119" s="3">
        <v>4.2</v>
      </c>
      <c r="C119" s="4">
        <v>-9.9999999999999645E-2</v>
      </c>
    </row>
    <row r="120" spans="1:3" x14ac:dyDescent="0.45">
      <c r="A120" s="2">
        <v>21033</v>
      </c>
      <c r="B120" s="3">
        <v>4.0999999999999996</v>
      </c>
      <c r="C120" s="4">
        <v>-0.10000000000000053</v>
      </c>
    </row>
    <row r="121" spans="1:3" x14ac:dyDescent="0.45">
      <c r="A121" s="2">
        <v>21064</v>
      </c>
      <c r="B121" s="3">
        <v>4.4000000000000004</v>
      </c>
      <c r="C121" s="4">
        <v>0.30000000000000071</v>
      </c>
    </row>
    <row r="122" spans="1:3" x14ac:dyDescent="0.45">
      <c r="A122" s="2">
        <v>21094</v>
      </c>
      <c r="B122" s="3">
        <v>4.5</v>
      </c>
      <c r="C122" s="4">
        <v>9.9999999999999645E-2</v>
      </c>
    </row>
    <row r="123" spans="1:3" x14ac:dyDescent="0.45">
      <c r="A123" s="2">
        <v>21125</v>
      </c>
      <c r="B123" s="3">
        <v>5.0999999999999996</v>
      </c>
      <c r="C123" s="4">
        <v>0.59999999999999964</v>
      </c>
    </row>
    <row r="124" spans="1:3" x14ac:dyDescent="0.45">
      <c r="A124" s="2">
        <v>21155</v>
      </c>
      <c r="B124" s="3">
        <v>5.2</v>
      </c>
      <c r="C124" s="4">
        <v>0.10000000000000053</v>
      </c>
    </row>
    <row r="125" spans="1:3" x14ac:dyDescent="0.45">
      <c r="A125" s="2">
        <v>21186</v>
      </c>
      <c r="B125" s="3">
        <v>5.8</v>
      </c>
      <c r="C125" s="4">
        <v>0.59999999999999964</v>
      </c>
    </row>
    <row r="126" spans="1:3" x14ac:dyDescent="0.45">
      <c r="A126" s="2">
        <v>21217</v>
      </c>
      <c r="B126" s="3">
        <v>6.4</v>
      </c>
      <c r="C126" s="4">
        <v>0.60000000000000053</v>
      </c>
    </row>
    <row r="127" spans="1:3" x14ac:dyDescent="0.45">
      <c r="A127" s="2">
        <v>21245</v>
      </c>
      <c r="B127" s="3">
        <v>6.7</v>
      </c>
      <c r="C127" s="4">
        <v>0.29999999999999982</v>
      </c>
    </row>
    <row r="128" spans="1:3" x14ac:dyDescent="0.45">
      <c r="A128" s="2">
        <v>21276</v>
      </c>
      <c r="B128" s="3">
        <v>7.4</v>
      </c>
      <c r="C128" s="4">
        <v>0.70000000000000018</v>
      </c>
    </row>
    <row r="129" spans="1:3" x14ac:dyDescent="0.45">
      <c r="A129" s="2">
        <v>21306</v>
      </c>
      <c r="B129" s="3">
        <v>7.4</v>
      </c>
      <c r="C129" s="4">
        <v>0</v>
      </c>
    </row>
    <row r="130" spans="1:3" x14ac:dyDescent="0.45">
      <c r="A130" s="2">
        <v>21337</v>
      </c>
      <c r="B130" s="3">
        <v>7.3</v>
      </c>
      <c r="C130" s="4">
        <v>-0.10000000000000053</v>
      </c>
    </row>
    <row r="131" spans="1:3" x14ac:dyDescent="0.45">
      <c r="A131" s="2">
        <v>21367</v>
      </c>
      <c r="B131" s="3">
        <v>7.5</v>
      </c>
      <c r="C131" s="4">
        <v>0.20000000000000018</v>
      </c>
    </row>
    <row r="132" spans="1:3" x14ac:dyDescent="0.45">
      <c r="A132" s="2">
        <v>21398</v>
      </c>
      <c r="B132" s="3">
        <v>7.4</v>
      </c>
      <c r="C132" s="4">
        <v>-9.9999999999999645E-2</v>
      </c>
    </row>
    <row r="133" spans="1:3" x14ac:dyDescent="0.45">
      <c r="A133" s="2">
        <v>21429</v>
      </c>
      <c r="B133" s="3">
        <v>7.1</v>
      </c>
      <c r="C133" s="4">
        <v>-0.30000000000000071</v>
      </c>
    </row>
    <row r="134" spans="1:3" x14ac:dyDescent="0.45">
      <c r="A134" s="2">
        <v>21459</v>
      </c>
      <c r="B134" s="3">
        <v>6.7</v>
      </c>
      <c r="C134" s="4">
        <v>-0.39999999999999947</v>
      </c>
    </row>
    <row r="135" spans="1:3" x14ac:dyDescent="0.45">
      <c r="A135" s="2">
        <v>21490</v>
      </c>
      <c r="B135" s="3">
        <v>6.2</v>
      </c>
      <c r="C135" s="4">
        <v>-0.5</v>
      </c>
    </row>
    <row r="136" spans="1:3" x14ac:dyDescent="0.45">
      <c r="A136" s="2">
        <v>21520</v>
      </c>
      <c r="B136" s="3">
        <v>6.2</v>
      </c>
      <c r="C136" s="4">
        <v>0</v>
      </c>
    </row>
    <row r="137" spans="1:3" x14ac:dyDescent="0.45">
      <c r="A137" s="2">
        <v>21551</v>
      </c>
      <c r="B137" s="3">
        <v>6</v>
      </c>
      <c r="C137" s="4">
        <v>-0.20000000000000018</v>
      </c>
    </row>
    <row r="138" spans="1:3" x14ac:dyDescent="0.45">
      <c r="A138" s="2">
        <v>21582</v>
      </c>
      <c r="B138" s="3">
        <v>5.9</v>
      </c>
      <c r="C138" s="4">
        <v>-9.9999999999999645E-2</v>
      </c>
    </row>
    <row r="139" spans="1:3" x14ac:dyDescent="0.45">
      <c r="A139" s="2">
        <v>21610</v>
      </c>
      <c r="B139" s="3">
        <v>5.6</v>
      </c>
      <c r="C139" s="4">
        <v>-0.30000000000000071</v>
      </c>
    </row>
    <row r="140" spans="1:3" x14ac:dyDescent="0.45">
      <c r="A140" s="2">
        <v>21641</v>
      </c>
      <c r="B140" s="3">
        <v>5.2</v>
      </c>
      <c r="C140" s="4">
        <v>-0.39999999999999947</v>
      </c>
    </row>
    <row r="141" spans="1:3" x14ac:dyDescent="0.45">
      <c r="A141" s="2">
        <v>21671</v>
      </c>
      <c r="B141" s="3">
        <v>5.0999999999999996</v>
      </c>
      <c r="C141" s="4">
        <v>-0.10000000000000053</v>
      </c>
    </row>
    <row r="142" spans="1:3" x14ac:dyDescent="0.45">
      <c r="A142" s="2">
        <v>21702</v>
      </c>
      <c r="B142" s="3">
        <v>5</v>
      </c>
      <c r="C142" s="4">
        <v>-9.9999999999999645E-2</v>
      </c>
    </row>
    <row r="143" spans="1:3" x14ac:dyDescent="0.45">
      <c r="A143" s="2">
        <v>21732</v>
      </c>
      <c r="B143" s="3">
        <v>5.0999999999999996</v>
      </c>
      <c r="C143" s="4">
        <v>9.9999999999999645E-2</v>
      </c>
    </row>
    <row r="144" spans="1:3" x14ac:dyDescent="0.45">
      <c r="A144" s="2">
        <v>21763</v>
      </c>
      <c r="B144" s="3">
        <v>5.2</v>
      </c>
      <c r="C144" s="4">
        <v>0.10000000000000053</v>
      </c>
    </row>
    <row r="145" spans="1:3" x14ac:dyDescent="0.45">
      <c r="A145" s="2">
        <v>21794</v>
      </c>
      <c r="B145" s="3">
        <v>5.5</v>
      </c>
      <c r="C145" s="4">
        <v>0.29999999999999982</v>
      </c>
    </row>
    <row r="146" spans="1:3" x14ac:dyDescent="0.45">
      <c r="A146" s="2">
        <v>21824</v>
      </c>
      <c r="B146" s="3">
        <v>5.7</v>
      </c>
      <c r="C146" s="4">
        <v>0.20000000000000018</v>
      </c>
    </row>
    <row r="147" spans="1:3" x14ac:dyDescent="0.45">
      <c r="A147" s="2">
        <v>21855</v>
      </c>
      <c r="B147" s="3">
        <v>5.8</v>
      </c>
      <c r="C147" s="4">
        <v>9.9999999999999645E-2</v>
      </c>
    </row>
    <row r="148" spans="1:3" x14ac:dyDescent="0.45">
      <c r="A148" s="2">
        <v>21885</v>
      </c>
      <c r="B148" s="3">
        <v>5.3</v>
      </c>
      <c r="C148" s="4">
        <v>-0.5</v>
      </c>
    </row>
    <row r="149" spans="1:3" x14ac:dyDescent="0.45">
      <c r="A149" s="2">
        <v>21916</v>
      </c>
      <c r="B149" s="3">
        <v>5.2</v>
      </c>
      <c r="C149" s="4">
        <v>-9.9999999999999645E-2</v>
      </c>
    </row>
    <row r="150" spans="1:3" x14ac:dyDescent="0.45">
      <c r="A150" s="2">
        <v>21947</v>
      </c>
      <c r="B150" s="3">
        <v>4.8</v>
      </c>
      <c r="C150" s="4">
        <v>-0.40000000000000036</v>
      </c>
    </row>
    <row r="151" spans="1:3" x14ac:dyDescent="0.45">
      <c r="A151" s="2">
        <v>21976</v>
      </c>
      <c r="B151" s="3">
        <v>5.4</v>
      </c>
      <c r="C151" s="4">
        <v>0.60000000000000053</v>
      </c>
    </row>
    <row r="152" spans="1:3" x14ac:dyDescent="0.45">
      <c r="A152" s="2">
        <v>22007</v>
      </c>
      <c r="B152" s="3">
        <v>5.2</v>
      </c>
      <c r="C152" s="4">
        <v>-0.20000000000000018</v>
      </c>
    </row>
    <row r="153" spans="1:3" x14ac:dyDescent="0.45">
      <c r="A153" s="2">
        <v>22037</v>
      </c>
      <c r="B153" s="3">
        <v>5.0999999999999996</v>
      </c>
      <c r="C153" s="4">
        <v>-0.10000000000000053</v>
      </c>
    </row>
    <row r="154" spans="1:3" x14ac:dyDescent="0.45">
      <c r="A154" s="2">
        <v>22068</v>
      </c>
      <c r="B154" s="3">
        <v>5.4</v>
      </c>
      <c r="C154" s="4">
        <v>0.30000000000000071</v>
      </c>
    </row>
    <row r="155" spans="1:3" x14ac:dyDescent="0.45">
      <c r="A155" s="2">
        <v>22098</v>
      </c>
      <c r="B155" s="3">
        <v>5.5</v>
      </c>
      <c r="C155" s="4">
        <v>9.9999999999999645E-2</v>
      </c>
    </row>
    <row r="156" spans="1:3" x14ac:dyDescent="0.45">
      <c r="A156" s="2">
        <v>22129</v>
      </c>
      <c r="B156" s="3">
        <v>5.6</v>
      </c>
      <c r="C156" s="4">
        <v>9.9999999999999645E-2</v>
      </c>
    </row>
    <row r="157" spans="1:3" x14ac:dyDescent="0.45">
      <c r="A157" s="2">
        <v>22160</v>
      </c>
      <c r="B157" s="3">
        <v>5.5</v>
      </c>
      <c r="C157" s="4">
        <v>-9.9999999999999645E-2</v>
      </c>
    </row>
    <row r="158" spans="1:3" x14ac:dyDescent="0.45">
      <c r="A158" s="2">
        <v>22190</v>
      </c>
      <c r="B158" s="3">
        <v>6.1</v>
      </c>
      <c r="C158" s="4">
        <v>0.59999999999999964</v>
      </c>
    </row>
    <row r="159" spans="1:3" x14ac:dyDescent="0.45">
      <c r="A159" s="2">
        <v>22221</v>
      </c>
      <c r="B159" s="3">
        <v>6.1</v>
      </c>
      <c r="C159" s="4">
        <v>0</v>
      </c>
    </row>
    <row r="160" spans="1:3" x14ac:dyDescent="0.45">
      <c r="A160" s="2">
        <v>22251</v>
      </c>
      <c r="B160" s="3">
        <v>6.6</v>
      </c>
      <c r="C160" s="4">
        <v>0.5</v>
      </c>
    </row>
    <row r="161" spans="1:3" x14ac:dyDescent="0.45">
      <c r="A161" s="2">
        <v>22282</v>
      </c>
      <c r="B161" s="3">
        <v>6.6</v>
      </c>
      <c r="C161" s="4">
        <v>0</v>
      </c>
    </row>
    <row r="162" spans="1:3" x14ac:dyDescent="0.45">
      <c r="A162" s="2">
        <v>22313</v>
      </c>
      <c r="B162" s="3">
        <v>6.9</v>
      </c>
      <c r="C162" s="4">
        <v>0.30000000000000071</v>
      </c>
    </row>
    <row r="163" spans="1:3" x14ac:dyDescent="0.45">
      <c r="A163" s="2">
        <v>22341</v>
      </c>
      <c r="B163" s="3">
        <v>6.9</v>
      </c>
      <c r="C163" s="4">
        <v>0</v>
      </c>
    </row>
    <row r="164" spans="1:3" x14ac:dyDescent="0.45">
      <c r="A164" s="2">
        <v>22372</v>
      </c>
      <c r="B164" s="3">
        <v>7</v>
      </c>
      <c r="C164" s="4">
        <v>9.9999999999999645E-2</v>
      </c>
    </row>
    <row r="165" spans="1:3" x14ac:dyDescent="0.45">
      <c r="A165" s="2">
        <v>22402</v>
      </c>
      <c r="B165" s="3">
        <v>7.1</v>
      </c>
      <c r="C165" s="4">
        <v>9.9999999999999645E-2</v>
      </c>
    </row>
    <row r="166" spans="1:3" x14ac:dyDescent="0.45">
      <c r="A166" s="2">
        <v>22433</v>
      </c>
      <c r="B166" s="3">
        <v>6.9</v>
      </c>
      <c r="C166" s="4">
        <v>-0.19999999999999929</v>
      </c>
    </row>
    <row r="167" spans="1:3" x14ac:dyDescent="0.45">
      <c r="A167" s="2">
        <v>22463</v>
      </c>
      <c r="B167" s="3">
        <v>7</v>
      </c>
      <c r="C167" s="4">
        <v>9.9999999999999645E-2</v>
      </c>
    </row>
    <row r="168" spans="1:3" x14ac:dyDescent="0.45">
      <c r="A168" s="2">
        <v>22494</v>
      </c>
      <c r="B168" s="3">
        <v>6.6</v>
      </c>
      <c r="C168" s="4">
        <v>-0.40000000000000036</v>
      </c>
    </row>
    <row r="169" spans="1:3" x14ac:dyDescent="0.45">
      <c r="A169" s="2">
        <v>22525</v>
      </c>
      <c r="B169" s="3">
        <v>6.7</v>
      </c>
      <c r="C169" s="4">
        <v>0.10000000000000053</v>
      </c>
    </row>
    <row r="170" spans="1:3" x14ac:dyDescent="0.45">
      <c r="A170" s="2">
        <v>22555</v>
      </c>
      <c r="B170" s="3">
        <v>6.5</v>
      </c>
      <c r="C170" s="4">
        <v>-0.20000000000000018</v>
      </c>
    </row>
    <row r="171" spans="1:3" x14ac:dyDescent="0.45">
      <c r="A171" s="2">
        <v>22586</v>
      </c>
      <c r="B171" s="3">
        <v>6.1</v>
      </c>
      <c r="C171" s="4">
        <v>-0.40000000000000036</v>
      </c>
    </row>
    <row r="172" spans="1:3" x14ac:dyDescent="0.45">
      <c r="A172" s="2">
        <v>22616</v>
      </c>
      <c r="B172" s="3">
        <v>6</v>
      </c>
      <c r="C172" s="4">
        <v>-9.9999999999999645E-2</v>
      </c>
    </row>
    <row r="173" spans="1:3" x14ac:dyDescent="0.45">
      <c r="A173" s="2">
        <v>22647</v>
      </c>
      <c r="B173" s="3">
        <v>5.8</v>
      </c>
      <c r="C173" s="4">
        <v>-0.20000000000000018</v>
      </c>
    </row>
    <row r="174" spans="1:3" x14ac:dyDescent="0.45">
      <c r="A174" s="2">
        <v>22678</v>
      </c>
      <c r="B174" s="3">
        <v>5.5</v>
      </c>
      <c r="C174" s="4">
        <v>-0.29999999999999982</v>
      </c>
    </row>
    <row r="175" spans="1:3" x14ac:dyDescent="0.45">
      <c r="A175" s="2">
        <v>22706</v>
      </c>
      <c r="B175" s="3">
        <v>5.6</v>
      </c>
      <c r="C175" s="4">
        <v>9.9999999999999645E-2</v>
      </c>
    </row>
    <row r="176" spans="1:3" x14ac:dyDescent="0.45">
      <c r="A176" s="2">
        <v>22737</v>
      </c>
      <c r="B176" s="3">
        <v>5.6</v>
      </c>
      <c r="C176" s="4">
        <v>0</v>
      </c>
    </row>
    <row r="177" spans="1:3" x14ac:dyDescent="0.45">
      <c r="A177" s="2">
        <v>22767</v>
      </c>
      <c r="B177" s="3">
        <v>5.5</v>
      </c>
      <c r="C177" s="4">
        <v>-9.9999999999999645E-2</v>
      </c>
    </row>
    <row r="178" spans="1:3" x14ac:dyDescent="0.45">
      <c r="A178" s="2">
        <v>22798</v>
      </c>
      <c r="B178" s="3">
        <v>5.5</v>
      </c>
      <c r="C178" s="4">
        <v>0</v>
      </c>
    </row>
    <row r="179" spans="1:3" x14ac:dyDescent="0.45">
      <c r="A179" s="2">
        <v>22828</v>
      </c>
      <c r="B179" s="3">
        <v>5.4</v>
      </c>
      <c r="C179" s="4">
        <v>-9.9999999999999645E-2</v>
      </c>
    </row>
    <row r="180" spans="1:3" x14ac:dyDescent="0.45">
      <c r="A180" s="2">
        <v>22859</v>
      </c>
      <c r="B180" s="3">
        <v>5.7</v>
      </c>
      <c r="C180" s="4">
        <v>0.29999999999999982</v>
      </c>
    </row>
    <row r="181" spans="1:3" x14ac:dyDescent="0.45">
      <c r="A181" s="2">
        <v>22890</v>
      </c>
      <c r="B181" s="3">
        <v>5.6</v>
      </c>
      <c r="C181" s="4">
        <v>-0.10000000000000053</v>
      </c>
    </row>
    <row r="182" spans="1:3" x14ac:dyDescent="0.45">
      <c r="A182" s="2">
        <v>22920</v>
      </c>
      <c r="B182" s="3">
        <v>5.4</v>
      </c>
      <c r="C182" s="4">
        <v>-0.19999999999999929</v>
      </c>
    </row>
    <row r="183" spans="1:3" x14ac:dyDescent="0.45">
      <c r="A183" s="2">
        <v>22951</v>
      </c>
      <c r="B183" s="3">
        <v>5.7</v>
      </c>
      <c r="C183" s="4">
        <v>0.29999999999999982</v>
      </c>
    </row>
    <row r="184" spans="1:3" x14ac:dyDescent="0.45">
      <c r="A184" s="2">
        <v>22981</v>
      </c>
      <c r="B184" s="3">
        <v>5.5</v>
      </c>
      <c r="C184" s="4">
        <v>-0.20000000000000018</v>
      </c>
    </row>
    <row r="185" spans="1:3" x14ac:dyDescent="0.45">
      <c r="A185" s="2">
        <v>23012</v>
      </c>
      <c r="B185" s="3">
        <v>5.7</v>
      </c>
      <c r="C185" s="4">
        <v>0.20000000000000018</v>
      </c>
    </row>
    <row r="186" spans="1:3" x14ac:dyDescent="0.45">
      <c r="A186" s="2">
        <v>23043</v>
      </c>
      <c r="B186" s="3">
        <v>5.9</v>
      </c>
      <c r="C186" s="4">
        <v>0.20000000000000018</v>
      </c>
    </row>
    <row r="187" spans="1:3" x14ac:dyDescent="0.45">
      <c r="A187" s="2">
        <v>23071</v>
      </c>
      <c r="B187" s="3">
        <v>5.7</v>
      </c>
      <c r="C187" s="4">
        <v>-0.20000000000000018</v>
      </c>
    </row>
    <row r="188" spans="1:3" x14ac:dyDescent="0.45">
      <c r="A188" s="2">
        <v>23102</v>
      </c>
      <c r="B188" s="3">
        <v>5.7</v>
      </c>
      <c r="C188" s="4">
        <v>0</v>
      </c>
    </row>
    <row r="189" spans="1:3" x14ac:dyDescent="0.45">
      <c r="A189" s="2">
        <v>23132</v>
      </c>
      <c r="B189" s="3">
        <v>5.9</v>
      </c>
      <c r="C189" s="4">
        <v>0.20000000000000018</v>
      </c>
    </row>
    <row r="190" spans="1:3" x14ac:dyDescent="0.45">
      <c r="A190" s="2">
        <v>23163</v>
      </c>
      <c r="B190" s="3">
        <v>5.6</v>
      </c>
      <c r="C190" s="4">
        <v>-0.30000000000000071</v>
      </c>
    </row>
    <row r="191" spans="1:3" x14ac:dyDescent="0.45">
      <c r="A191" s="2">
        <v>23193</v>
      </c>
      <c r="B191" s="3">
        <v>5.6</v>
      </c>
      <c r="C191" s="4">
        <v>0</v>
      </c>
    </row>
    <row r="192" spans="1:3" x14ac:dyDescent="0.45">
      <c r="A192" s="2">
        <v>23224</v>
      </c>
      <c r="B192" s="3">
        <v>5.4</v>
      </c>
      <c r="C192" s="4">
        <v>-0.19999999999999929</v>
      </c>
    </row>
    <row r="193" spans="1:3" x14ac:dyDescent="0.45">
      <c r="A193" s="2">
        <v>23255</v>
      </c>
      <c r="B193" s="3">
        <v>5.5</v>
      </c>
      <c r="C193" s="4">
        <v>9.9999999999999645E-2</v>
      </c>
    </row>
    <row r="194" spans="1:3" x14ac:dyDescent="0.45">
      <c r="A194" s="2">
        <v>23285</v>
      </c>
      <c r="B194" s="3">
        <v>5.5</v>
      </c>
      <c r="C194" s="4">
        <v>0</v>
      </c>
    </row>
    <row r="195" spans="1:3" x14ac:dyDescent="0.45">
      <c r="A195" s="2">
        <v>23316</v>
      </c>
      <c r="B195" s="3">
        <v>5.7</v>
      </c>
      <c r="C195" s="4">
        <v>0.20000000000000018</v>
      </c>
    </row>
    <row r="196" spans="1:3" x14ac:dyDescent="0.45">
      <c r="A196" s="2">
        <v>23346</v>
      </c>
      <c r="B196" s="3">
        <v>5.5</v>
      </c>
      <c r="C196" s="4">
        <v>-0.20000000000000018</v>
      </c>
    </row>
    <row r="197" spans="1:3" x14ac:dyDescent="0.45">
      <c r="A197" s="2">
        <v>23377</v>
      </c>
      <c r="B197" s="3">
        <v>5.6</v>
      </c>
      <c r="C197" s="4">
        <v>9.9999999999999645E-2</v>
      </c>
    </row>
    <row r="198" spans="1:3" x14ac:dyDescent="0.45">
      <c r="A198" s="2">
        <v>23408</v>
      </c>
      <c r="B198" s="3">
        <v>5.4</v>
      </c>
      <c r="C198" s="4">
        <v>-0.19999999999999929</v>
      </c>
    </row>
    <row r="199" spans="1:3" x14ac:dyDescent="0.45">
      <c r="A199" s="2">
        <v>23437</v>
      </c>
      <c r="B199" s="3">
        <v>5.4</v>
      </c>
      <c r="C199" s="4">
        <v>0</v>
      </c>
    </row>
    <row r="200" spans="1:3" x14ac:dyDescent="0.45">
      <c r="A200" s="2">
        <v>23468</v>
      </c>
      <c r="B200" s="3">
        <v>5.3</v>
      </c>
      <c r="C200" s="4">
        <v>-0.10000000000000053</v>
      </c>
    </row>
    <row r="201" spans="1:3" x14ac:dyDescent="0.45">
      <c r="A201" s="2">
        <v>23498</v>
      </c>
      <c r="B201" s="3">
        <v>5.0999999999999996</v>
      </c>
      <c r="C201" s="4">
        <v>-0.20000000000000018</v>
      </c>
    </row>
    <row r="202" spans="1:3" x14ac:dyDescent="0.45">
      <c r="A202" s="2">
        <v>23529</v>
      </c>
      <c r="B202" s="3">
        <v>5.2</v>
      </c>
      <c r="C202" s="4">
        <v>0.10000000000000053</v>
      </c>
    </row>
    <row r="203" spans="1:3" x14ac:dyDescent="0.45">
      <c r="A203" s="2">
        <v>23559</v>
      </c>
      <c r="B203" s="3">
        <v>4.9000000000000004</v>
      </c>
      <c r="C203" s="4">
        <v>-0.29999999999999982</v>
      </c>
    </row>
    <row r="204" spans="1:3" x14ac:dyDescent="0.45">
      <c r="A204" s="2">
        <v>23590</v>
      </c>
      <c r="B204" s="3">
        <v>5</v>
      </c>
      <c r="C204" s="4">
        <v>9.9999999999999645E-2</v>
      </c>
    </row>
    <row r="205" spans="1:3" x14ac:dyDescent="0.45">
      <c r="A205" s="2">
        <v>23621</v>
      </c>
      <c r="B205" s="3">
        <v>5.0999999999999996</v>
      </c>
      <c r="C205" s="4">
        <v>9.9999999999999645E-2</v>
      </c>
    </row>
    <row r="206" spans="1:3" x14ac:dyDescent="0.45">
      <c r="A206" s="2">
        <v>23651</v>
      </c>
      <c r="B206" s="3">
        <v>5.0999999999999996</v>
      </c>
      <c r="C206" s="4">
        <v>0</v>
      </c>
    </row>
    <row r="207" spans="1:3" x14ac:dyDescent="0.45">
      <c r="A207" s="2">
        <v>23682</v>
      </c>
      <c r="B207" s="3">
        <v>4.8</v>
      </c>
      <c r="C207" s="4">
        <v>-0.29999999999999982</v>
      </c>
    </row>
    <row r="208" spans="1:3" x14ac:dyDescent="0.45">
      <c r="A208" s="2">
        <v>23712</v>
      </c>
      <c r="B208" s="3">
        <v>5</v>
      </c>
      <c r="C208" s="4">
        <v>0.20000000000000018</v>
      </c>
    </row>
    <row r="209" spans="1:3" x14ac:dyDescent="0.45">
      <c r="A209" s="2">
        <v>23743</v>
      </c>
      <c r="B209" s="3">
        <v>4.9000000000000004</v>
      </c>
      <c r="C209" s="4">
        <v>-9.9999999999999645E-2</v>
      </c>
    </row>
    <row r="210" spans="1:3" x14ac:dyDescent="0.45">
      <c r="A210" s="2">
        <v>23774</v>
      </c>
      <c r="B210" s="3">
        <v>5.0999999999999996</v>
      </c>
      <c r="C210" s="4">
        <v>0.19999999999999929</v>
      </c>
    </row>
    <row r="211" spans="1:3" x14ac:dyDescent="0.45">
      <c r="A211" s="2">
        <v>23802</v>
      </c>
      <c r="B211" s="3">
        <v>4.7</v>
      </c>
      <c r="C211" s="4">
        <v>-0.39999999999999947</v>
      </c>
    </row>
    <row r="212" spans="1:3" x14ac:dyDescent="0.45">
      <c r="A212" s="2">
        <v>23833</v>
      </c>
      <c r="B212" s="3">
        <v>4.8</v>
      </c>
      <c r="C212" s="4">
        <v>9.9999999999999645E-2</v>
      </c>
    </row>
    <row r="213" spans="1:3" x14ac:dyDescent="0.45">
      <c r="A213" s="2">
        <v>23863</v>
      </c>
      <c r="B213" s="3">
        <v>4.5999999999999996</v>
      </c>
      <c r="C213" s="4">
        <v>-0.20000000000000018</v>
      </c>
    </row>
    <row r="214" spans="1:3" x14ac:dyDescent="0.45">
      <c r="A214" s="2">
        <v>23894</v>
      </c>
      <c r="B214" s="3">
        <v>4.5999999999999996</v>
      </c>
      <c r="C214" s="4">
        <v>0</v>
      </c>
    </row>
    <row r="215" spans="1:3" x14ac:dyDescent="0.45">
      <c r="A215" s="2">
        <v>23924</v>
      </c>
      <c r="B215" s="3">
        <v>4.4000000000000004</v>
      </c>
      <c r="C215" s="4">
        <v>-0.19999999999999929</v>
      </c>
    </row>
    <row r="216" spans="1:3" x14ac:dyDescent="0.45">
      <c r="A216" s="2">
        <v>23955</v>
      </c>
      <c r="B216" s="3">
        <v>4.4000000000000004</v>
      </c>
      <c r="C216" s="4">
        <v>0</v>
      </c>
    </row>
    <row r="217" spans="1:3" x14ac:dyDescent="0.45">
      <c r="A217" s="2">
        <v>23986</v>
      </c>
      <c r="B217" s="3">
        <v>4.3</v>
      </c>
      <c r="C217" s="4">
        <v>-0.10000000000000053</v>
      </c>
    </row>
    <row r="218" spans="1:3" x14ac:dyDescent="0.45">
      <c r="A218" s="2">
        <v>24016</v>
      </c>
      <c r="B218" s="3">
        <v>4.2</v>
      </c>
      <c r="C218" s="4">
        <v>-9.9999999999999645E-2</v>
      </c>
    </row>
    <row r="219" spans="1:3" x14ac:dyDescent="0.45">
      <c r="A219" s="2">
        <v>24047</v>
      </c>
      <c r="B219" s="3">
        <v>4.0999999999999996</v>
      </c>
      <c r="C219" s="4">
        <v>-0.10000000000000053</v>
      </c>
    </row>
    <row r="220" spans="1:3" x14ac:dyDescent="0.45">
      <c r="A220" s="2">
        <v>24077</v>
      </c>
      <c r="B220" s="3">
        <v>4</v>
      </c>
      <c r="C220" s="4">
        <v>-9.9999999999999645E-2</v>
      </c>
    </row>
    <row r="221" spans="1:3" x14ac:dyDescent="0.45">
      <c r="A221" s="2">
        <v>24108</v>
      </c>
      <c r="B221" s="3">
        <v>4</v>
      </c>
      <c r="C221" s="4">
        <v>0</v>
      </c>
    </row>
    <row r="222" spans="1:3" x14ac:dyDescent="0.45">
      <c r="A222" s="2">
        <v>24139</v>
      </c>
      <c r="B222" s="3">
        <v>3.8</v>
      </c>
      <c r="C222" s="4">
        <v>-0.20000000000000018</v>
      </c>
    </row>
    <row r="223" spans="1:3" x14ac:dyDescent="0.45">
      <c r="A223" s="2">
        <v>24167</v>
      </c>
      <c r="B223" s="3">
        <v>3.8</v>
      </c>
      <c r="C223" s="4">
        <v>0</v>
      </c>
    </row>
    <row r="224" spans="1:3" x14ac:dyDescent="0.45">
      <c r="A224" s="2">
        <v>24198</v>
      </c>
      <c r="B224" s="3">
        <v>3.8</v>
      </c>
      <c r="C224" s="4">
        <v>0</v>
      </c>
    </row>
    <row r="225" spans="1:3" x14ac:dyDescent="0.45">
      <c r="A225" s="2">
        <v>24228</v>
      </c>
      <c r="B225" s="3">
        <v>3.9</v>
      </c>
      <c r="C225" s="4">
        <v>0.10000000000000009</v>
      </c>
    </row>
    <row r="226" spans="1:3" x14ac:dyDescent="0.45">
      <c r="A226" s="2">
        <v>24259</v>
      </c>
      <c r="B226" s="3">
        <v>3.8</v>
      </c>
      <c r="C226" s="4">
        <v>-0.10000000000000009</v>
      </c>
    </row>
    <row r="227" spans="1:3" x14ac:dyDescent="0.45">
      <c r="A227" s="2">
        <v>24289</v>
      </c>
      <c r="B227" s="3">
        <v>3.8</v>
      </c>
      <c r="C227" s="4">
        <v>0</v>
      </c>
    </row>
    <row r="228" spans="1:3" x14ac:dyDescent="0.45">
      <c r="A228" s="2">
        <v>24320</v>
      </c>
      <c r="B228" s="3">
        <v>3.8</v>
      </c>
      <c r="C228" s="4">
        <v>0</v>
      </c>
    </row>
    <row r="229" spans="1:3" x14ac:dyDescent="0.45">
      <c r="A229" s="2">
        <v>24351</v>
      </c>
      <c r="B229" s="3">
        <v>3.7</v>
      </c>
      <c r="C229" s="4">
        <v>-9.9999999999999645E-2</v>
      </c>
    </row>
    <row r="230" spans="1:3" x14ac:dyDescent="0.45">
      <c r="A230" s="2">
        <v>24381</v>
      </c>
      <c r="B230" s="3">
        <v>3.7</v>
      </c>
      <c r="C230" s="4">
        <v>0</v>
      </c>
    </row>
    <row r="231" spans="1:3" x14ac:dyDescent="0.45">
      <c r="A231" s="2">
        <v>24412</v>
      </c>
      <c r="B231" s="3">
        <v>3.6</v>
      </c>
      <c r="C231" s="4">
        <v>-0.10000000000000009</v>
      </c>
    </row>
    <row r="232" spans="1:3" x14ac:dyDescent="0.45">
      <c r="A232" s="2">
        <v>24442</v>
      </c>
      <c r="B232" s="3">
        <v>3.8</v>
      </c>
      <c r="C232" s="4">
        <v>0.19999999999999973</v>
      </c>
    </row>
    <row r="233" spans="1:3" x14ac:dyDescent="0.45">
      <c r="A233" s="2">
        <v>24473</v>
      </c>
      <c r="B233" s="3">
        <v>3.9</v>
      </c>
      <c r="C233" s="4">
        <v>0.10000000000000009</v>
      </c>
    </row>
    <row r="234" spans="1:3" x14ac:dyDescent="0.45">
      <c r="A234" s="2">
        <v>24504</v>
      </c>
      <c r="B234" s="3">
        <v>3.8</v>
      </c>
      <c r="C234" s="4">
        <v>-0.10000000000000009</v>
      </c>
    </row>
    <row r="235" spans="1:3" x14ac:dyDescent="0.45">
      <c r="A235" s="2">
        <v>24532</v>
      </c>
      <c r="B235" s="3">
        <v>3.8</v>
      </c>
      <c r="C235" s="4">
        <v>0</v>
      </c>
    </row>
    <row r="236" spans="1:3" x14ac:dyDescent="0.45">
      <c r="A236" s="2">
        <v>24563</v>
      </c>
      <c r="B236" s="3">
        <v>3.8</v>
      </c>
      <c r="C236" s="4">
        <v>0</v>
      </c>
    </row>
    <row r="237" spans="1:3" x14ac:dyDescent="0.45">
      <c r="A237" s="2">
        <v>24593</v>
      </c>
      <c r="B237" s="3">
        <v>3.8</v>
      </c>
      <c r="C237" s="4">
        <v>0</v>
      </c>
    </row>
    <row r="238" spans="1:3" x14ac:dyDescent="0.45">
      <c r="A238" s="2">
        <v>24624</v>
      </c>
      <c r="B238" s="3">
        <v>3.9</v>
      </c>
      <c r="C238" s="4">
        <v>0.10000000000000009</v>
      </c>
    </row>
    <row r="239" spans="1:3" x14ac:dyDescent="0.45">
      <c r="A239" s="2">
        <v>24654</v>
      </c>
      <c r="B239" s="3">
        <v>3.8</v>
      </c>
      <c r="C239" s="4">
        <v>-0.10000000000000009</v>
      </c>
    </row>
    <row r="240" spans="1:3" x14ac:dyDescent="0.45">
      <c r="A240" s="2">
        <v>24685</v>
      </c>
      <c r="B240" s="3">
        <v>3.8</v>
      </c>
      <c r="C240" s="4">
        <v>0</v>
      </c>
    </row>
    <row r="241" spans="1:3" x14ac:dyDescent="0.45">
      <c r="A241" s="2">
        <v>24716</v>
      </c>
      <c r="B241" s="3">
        <v>3.8</v>
      </c>
      <c r="C241" s="4">
        <v>0</v>
      </c>
    </row>
    <row r="242" spans="1:3" x14ac:dyDescent="0.45">
      <c r="A242" s="2">
        <v>24746</v>
      </c>
      <c r="B242" s="3">
        <v>4</v>
      </c>
      <c r="C242" s="4">
        <v>0.20000000000000018</v>
      </c>
    </row>
    <row r="243" spans="1:3" x14ac:dyDescent="0.45">
      <c r="A243" s="2">
        <v>24777</v>
      </c>
      <c r="B243" s="3">
        <v>3.9</v>
      </c>
      <c r="C243" s="4">
        <v>-0.10000000000000009</v>
      </c>
    </row>
    <row r="244" spans="1:3" x14ac:dyDescent="0.45">
      <c r="A244" s="2">
        <v>24807</v>
      </c>
      <c r="B244" s="3">
        <v>3.8</v>
      </c>
      <c r="C244" s="4">
        <v>-0.10000000000000009</v>
      </c>
    </row>
    <row r="245" spans="1:3" x14ac:dyDescent="0.45">
      <c r="A245" s="2">
        <v>24838</v>
      </c>
      <c r="B245" s="3">
        <v>3.7</v>
      </c>
      <c r="C245" s="4">
        <v>-9.9999999999999645E-2</v>
      </c>
    </row>
    <row r="246" spans="1:3" x14ac:dyDescent="0.45">
      <c r="A246" s="2">
        <v>24869</v>
      </c>
      <c r="B246" s="3">
        <v>3.8</v>
      </c>
      <c r="C246" s="4">
        <v>9.9999999999999645E-2</v>
      </c>
    </row>
    <row r="247" spans="1:3" x14ac:dyDescent="0.45">
      <c r="A247" s="2">
        <v>24898</v>
      </c>
      <c r="B247" s="3">
        <v>3.7</v>
      </c>
      <c r="C247" s="4">
        <v>-9.9999999999999645E-2</v>
      </c>
    </row>
    <row r="248" spans="1:3" x14ac:dyDescent="0.45">
      <c r="A248" s="2">
        <v>24929</v>
      </c>
      <c r="B248" s="3">
        <v>3.5</v>
      </c>
      <c r="C248" s="4">
        <v>-0.20000000000000018</v>
      </c>
    </row>
    <row r="249" spans="1:3" x14ac:dyDescent="0.45">
      <c r="A249" s="2">
        <v>24959</v>
      </c>
      <c r="B249" s="3">
        <v>3.5</v>
      </c>
      <c r="C249" s="4">
        <v>0</v>
      </c>
    </row>
    <row r="250" spans="1:3" x14ac:dyDescent="0.45">
      <c r="A250" s="2">
        <v>24990</v>
      </c>
      <c r="B250" s="3">
        <v>3.7</v>
      </c>
      <c r="C250" s="4">
        <v>0.20000000000000018</v>
      </c>
    </row>
    <row r="251" spans="1:3" x14ac:dyDescent="0.45">
      <c r="A251" s="2">
        <v>25020</v>
      </c>
      <c r="B251" s="3">
        <v>3.7</v>
      </c>
      <c r="C251" s="4">
        <v>0</v>
      </c>
    </row>
    <row r="252" spans="1:3" x14ac:dyDescent="0.45">
      <c r="A252" s="2">
        <v>25051</v>
      </c>
      <c r="B252" s="3">
        <v>3.5</v>
      </c>
      <c r="C252" s="4">
        <v>-0.20000000000000018</v>
      </c>
    </row>
    <row r="253" spans="1:3" x14ac:dyDescent="0.45">
      <c r="A253" s="2">
        <v>25082</v>
      </c>
      <c r="B253" s="3">
        <v>3.4</v>
      </c>
      <c r="C253" s="4">
        <v>-0.10000000000000009</v>
      </c>
    </row>
    <row r="254" spans="1:3" x14ac:dyDescent="0.45">
      <c r="A254" s="2">
        <v>25112</v>
      </c>
      <c r="B254" s="3">
        <v>3.4</v>
      </c>
      <c r="C254" s="4">
        <v>0</v>
      </c>
    </row>
    <row r="255" spans="1:3" x14ac:dyDescent="0.45">
      <c r="A255" s="2">
        <v>25143</v>
      </c>
      <c r="B255" s="3">
        <v>3.4</v>
      </c>
      <c r="C255" s="4">
        <v>0</v>
      </c>
    </row>
    <row r="256" spans="1:3" x14ac:dyDescent="0.45">
      <c r="A256" s="2">
        <v>25173</v>
      </c>
      <c r="B256" s="3">
        <v>3.4</v>
      </c>
      <c r="C256" s="4">
        <v>0</v>
      </c>
    </row>
    <row r="257" spans="1:3" x14ac:dyDescent="0.45">
      <c r="A257" s="2">
        <v>25204</v>
      </c>
      <c r="B257" s="3">
        <v>3.4</v>
      </c>
      <c r="C257" s="4">
        <v>0</v>
      </c>
    </row>
    <row r="258" spans="1:3" x14ac:dyDescent="0.45">
      <c r="A258" s="2">
        <v>25235</v>
      </c>
      <c r="B258" s="3">
        <v>3.4</v>
      </c>
      <c r="C258" s="4">
        <v>0</v>
      </c>
    </row>
    <row r="259" spans="1:3" x14ac:dyDescent="0.45">
      <c r="A259" s="2">
        <v>25263</v>
      </c>
      <c r="B259" s="3">
        <v>3.4</v>
      </c>
      <c r="C259" s="4">
        <v>0</v>
      </c>
    </row>
    <row r="260" spans="1:3" x14ac:dyDescent="0.45">
      <c r="A260" s="2">
        <v>25294</v>
      </c>
      <c r="B260" s="3">
        <v>3.4</v>
      </c>
      <c r="C260" s="4">
        <v>0</v>
      </c>
    </row>
    <row r="261" spans="1:3" x14ac:dyDescent="0.45">
      <c r="A261" s="2">
        <v>25324</v>
      </c>
      <c r="B261" s="3">
        <v>3.4</v>
      </c>
      <c r="C261" s="4">
        <v>0</v>
      </c>
    </row>
    <row r="262" spans="1:3" x14ac:dyDescent="0.45">
      <c r="A262" s="2">
        <v>25355</v>
      </c>
      <c r="B262" s="3">
        <v>3.5</v>
      </c>
      <c r="C262" s="4">
        <v>0.10000000000000009</v>
      </c>
    </row>
    <row r="263" spans="1:3" x14ac:dyDescent="0.45">
      <c r="A263" s="2">
        <v>25385</v>
      </c>
      <c r="B263" s="3">
        <v>3.5</v>
      </c>
      <c r="C263" s="4">
        <v>0</v>
      </c>
    </row>
    <row r="264" spans="1:3" x14ac:dyDescent="0.45">
      <c r="A264" s="2">
        <v>25416</v>
      </c>
      <c r="B264" s="3">
        <v>3.5</v>
      </c>
      <c r="C264" s="4">
        <v>0</v>
      </c>
    </row>
    <row r="265" spans="1:3" x14ac:dyDescent="0.45">
      <c r="A265" s="2">
        <v>25447</v>
      </c>
      <c r="B265" s="3">
        <v>3.7</v>
      </c>
      <c r="C265" s="4">
        <v>0.20000000000000018</v>
      </c>
    </row>
    <row r="266" spans="1:3" x14ac:dyDescent="0.45">
      <c r="A266" s="2">
        <v>25477</v>
      </c>
      <c r="B266" s="3">
        <v>3.7</v>
      </c>
      <c r="C266" s="4">
        <v>0</v>
      </c>
    </row>
    <row r="267" spans="1:3" x14ac:dyDescent="0.45">
      <c r="A267" s="2">
        <v>25508</v>
      </c>
      <c r="B267" s="3">
        <v>3.5</v>
      </c>
      <c r="C267" s="4">
        <v>-0.20000000000000018</v>
      </c>
    </row>
    <row r="268" spans="1:3" x14ac:dyDescent="0.45">
      <c r="A268" s="2">
        <v>25538</v>
      </c>
      <c r="B268" s="3">
        <v>3.5</v>
      </c>
      <c r="C268" s="4">
        <v>0</v>
      </c>
    </row>
    <row r="269" spans="1:3" x14ac:dyDescent="0.45">
      <c r="A269" s="2">
        <v>25569</v>
      </c>
      <c r="B269" s="3">
        <v>3.9</v>
      </c>
      <c r="C269" s="4">
        <v>0.39999999999999991</v>
      </c>
    </row>
    <row r="270" spans="1:3" x14ac:dyDescent="0.45">
      <c r="A270" s="2">
        <v>25600</v>
      </c>
      <c r="B270" s="3">
        <v>4.2</v>
      </c>
      <c r="C270" s="4">
        <v>0.30000000000000027</v>
      </c>
    </row>
    <row r="271" spans="1:3" x14ac:dyDescent="0.45">
      <c r="A271" s="2">
        <v>25628</v>
      </c>
      <c r="B271" s="3">
        <v>4.4000000000000004</v>
      </c>
      <c r="C271" s="4">
        <v>0.20000000000000018</v>
      </c>
    </row>
    <row r="272" spans="1:3" x14ac:dyDescent="0.45">
      <c r="A272" s="2">
        <v>25659</v>
      </c>
      <c r="B272" s="3">
        <v>4.5999999999999996</v>
      </c>
      <c r="C272" s="4">
        <v>0.19999999999999929</v>
      </c>
    </row>
    <row r="273" spans="1:3" x14ac:dyDescent="0.45">
      <c r="A273" s="2">
        <v>25689</v>
      </c>
      <c r="B273" s="3">
        <v>4.8</v>
      </c>
      <c r="C273" s="4">
        <v>0.20000000000000018</v>
      </c>
    </row>
    <row r="274" spans="1:3" x14ac:dyDescent="0.45">
      <c r="A274" s="2">
        <v>25720</v>
      </c>
      <c r="B274" s="3">
        <v>4.9000000000000004</v>
      </c>
      <c r="C274" s="4">
        <v>0.10000000000000053</v>
      </c>
    </row>
    <row r="275" spans="1:3" x14ac:dyDescent="0.45">
      <c r="A275" s="2">
        <v>25750</v>
      </c>
      <c r="B275" s="3">
        <v>5</v>
      </c>
      <c r="C275" s="4">
        <v>9.9999999999999645E-2</v>
      </c>
    </row>
    <row r="276" spans="1:3" x14ac:dyDescent="0.45">
      <c r="A276" s="2">
        <v>25781</v>
      </c>
      <c r="B276" s="3">
        <v>5.0999999999999996</v>
      </c>
      <c r="C276" s="4">
        <v>9.9999999999999645E-2</v>
      </c>
    </row>
    <row r="277" spans="1:3" x14ac:dyDescent="0.45">
      <c r="A277" s="2">
        <v>25812</v>
      </c>
      <c r="B277" s="3">
        <v>5.4</v>
      </c>
      <c r="C277" s="4">
        <v>0.30000000000000071</v>
      </c>
    </row>
    <row r="278" spans="1:3" x14ac:dyDescent="0.45">
      <c r="A278" s="2">
        <v>25842</v>
      </c>
      <c r="B278" s="3">
        <v>5.5</v>
      </c>
      <c r="C278" s="4">
        <v>9.9999999999999645E-2</v>
      </c>
    </row>
    <row r="279" spans="1:3" x14ac:dyDescent="0.45">
      <c r="A279" s="2">
        <v>25873</v>
      </c>
      <c r="B279" s="3">
        <v>5.9</v>
      </c>
      <c r="C279" s="4">
        <v>0.40000000000000036</v>
      </c>
    </row>
    <row r="280" spans="1:3" x14ac:dyDescent="0.45">
      <c r="A280" s="2">
        <v>25903</v>
      </c>
      <c r="B280" s="3">
        <v>6.1</v>
      </c>
      <c r="C280" s="4">
        <v>0.19999999999999929</v>
      </c>
    </row>
    <row r="281" spans="1:3" x14ac:dyDescent="0.45">
      <c r="A281" s="2">
        <v>25934</v>
      </c>
      <c r="B281" s="3">
        <v>5.9</v>
      </c>
      <c r="C281" s="4">
        <v>-0.19999999999999929</v>
      </c>
    </row>
    <row r="282" spans="1:3" x14ac:dyDescent="0.45">
      <c r="A282" s="2">
        <v>25965</v>
      </c>
      <c r="B282" s="3">
        <v>5.9</v>
      </c>
      <c r="C282" s="4">
        <v>0</v>
      </c>
    </row>
    <row r="283" spans="1:3" x14ac:dyDescent="0.45">
      <c r="A283" s="2">
        <v>25993</v>
      </c>
      <c r="B283" s="3">
        <v>6</v>
      </c>
      <c r="C283" s="4">
        <v>9.9999999999999645E-2</v>
      </c>
    </row>
    <row r="284" spans="1:3" x14ac:dyDescent="0.45">
      <c r="A284" s="2">
        <v>26024</v>
      </c>
      <c r="B284" s="3">
        <v>5.9</v>
      </c>
      <c r="C284" s="4">
        <v>-9.9999999999999645E-2</v>
      </c>
    </row>
    <row r="285" spans="1:3" x14ac:dyDescent="0.45">
      <c r="A285" s="2">
        <v>26054</v>
      </c>
      <c r="B285" s="3">
        <v>5.9</v>
      </c>
      <c r="C285" s="4">
        <v>0</v>
      </c>
    </row>
    <row r="286" spans="1:3" x14ac:dyDescent="0.45">
      <c r="A286" s="2">
        <v>26085</v>
      </c>
      <c r="B286" s="3">
        <v>5.9</v>
      </c>
      <c r="C286" s="4">
        <v>0</v>
      </c>
    </row>
    <row r="287" spans="1:3" x14ac:dyDescent="0.45">
      <c r="A287" s="2">
        <v>26115</v>
      </c>
      <c r="B287" s="3">
        <v>6</v>
      </c>
      <c r="C287" s="4">
        <v>9.9999999999999645E-2</v>
      </c>
    </row>
    <row r="288" spans="1:3" x14ac:dyDescent="0.45">
      <c r="A288" s="2">
        <v>26146</v>
      </c>
      <c r="B288" s="3">
        <v>6.1</v>
      </c>
      <c r="C288" s="4">
        <v>9.9999999999999645E-2</v>
      </c>
    </row>
    <row r="289" spans="1:3" x14ac:dyDescent="0.45">
      <c r="A289" s="2">
        <v>26177</v>
      </c>
      <c r="B289" s="3">
        <v>6</v>
      </c>
      <c r="C289" s="4">
        <v>-9.9999999999999645E-2</v>
      </c>
    </row>
    <row r="290" spans="1:3" x14ac:dyDescent="0.45">
      <c r="A290" s="2">
        <v>26207</v>
      </c>
      <c r="B290" s="3">
        <v>5.8</v>
      </c>
      <c r="C290" s="4">
        <v>-0.20000000000000018</v>
      </c>
    </row>
    <row r="291" spans="1:3" x14ac:dyDescent="0.45">
      <c r="A291" s="2">
        <v>26238</v>
      </c>
      <c r="B291" s="3">
        <v>6</v>
      </c>
      <c r="C291" s="4">
        <v>0.20000000000000018</v>
      </c>
    </row>
    <row r="292" spans="1:3" x14ac:dyDescent="0.45">
      <c r="A292" s="2">
        <v>26268</v>
      </c>
      <c r="B292" s="3">
        <v>6</v>
      </c>
      <c r="C292" s="4">
        <v>0</v>
      </c>
    </row>
    <row r="293" spans="1:3" x14ac:dyDescent="0.45">
      <c r="A293" s="2">
        <v>26299</v>
      </c>
      <c r="B293" s="3">
        <v>5.8</v>
      </c>
      <c r="C293" s="4">
        <v>-0.20000000000000018</v>
      </c>
    </row>
    <row r="294" spans="1:3" x14ac:dyDescent="0.45">
      <c r="A294" s="2">
        <v>26330</v>
      </c>
      <c r="B294" s="3">
        <v>5.7</v>
      </c>
      <c r="C294" s="4">
        <v>-9.9999999999999645E-2</v>
      </c>
    </row>
    <row r="295" spans="1:3" x14ac:dyDescent="0.45">
      <c r="A295" s="2">
        <v>26359</v>
      </c>
      <c r="B295" s="3">
        <v>5.8</v>
      </c>
      <c r="C295" s="4">
        <v>9.9999999999999645E-2</v>
      </c>
    </row>
    <row r="296" spans="1:3" x14ac:dyDescent="0.45">
      <c r="A296" s="2">
        <v>26390</v>
      </c>
      <c r="B296" s="3">
        <v>5.7</v>
      </c>
      <c r="C296" s="4">
        <v>-9.9999999999999645E-2</v>
      </c>
    </row>
    <row r="297" spans="1:3" x14ac:dyDescent="0.45">
      <c r="A297" s="2">
        <v>26420</v>
      </c>
      <c r="B297" s="3">
        <v>5.7</v>
      </c>
      <c r="C297" s="4">
        <v>0</v>
      </c>
    </row>
    <row r="298" spans="1:3" x14ac:dyDescent="0.45">
      <c r="A298" s="2">
        <v>26451</v>
      </c>
      <c r="B298" s="3">
        <v>5.7</v>
      </c>
      <c r="C298" s="4">
        <v>0</v>
      </c>
    </row>
    <row r="299" spans="1:3" x14ac:dyDescent="0.45">
      <c r="A299" s="2">
        <v>26481</v>
      </c>
      <c r="B299" s="3">
        <v>5.6</v>
      </c>
      <c r="C299" s="4">
        <v>-0.10000000000000053</v>
      </c>
    </row>
    <row r="300" spans="1:3" x14ac:dyDescent="0.45">
      <c r="A300" s="2">
        <v>26512</v>
      </c>
      <c r="B300" s="3">
        <v>5.6</v>
      </c>
      <c r="C300" s="4">
        <v>0</v>
      </c>
    </row>
    <row r="301" spans="1:3" x14ac:dyDescent="0.45">
      <c r="A301" s="2">
        <v>26543</v>
      </c>
      <c r="B301" s="3">
        <v>5.5</v>
      </c>
      <c r="C301" s="4">
        <v>-9.9999999999999645E-2</v>
      </c>
    </row>
    <row r="302" spans="1:3" x14ac:dyDescent="0.45">
      <c r="A302" s="2">
        <v>26573</v>
      </c>
      <c r="B302" s="3">
        <v>5.6</v>
      </c>
      <c r="C302" s="4">
        <v>9.9999999999999645E-2</v>
      </c>
    </row>
    <row r="303" spans="1:3" x14ac:dyDescent="0.45">
      <c r="A303" s="2">
        <v>26604</v>
      </c>
      <c r="B303" s="3">
        <v>5.3</v>
      </c>
      <c r="C303" s="4">
        <v>-0.29999999999999982</v>
      </c>
    </row>
    <row r="304" spans="1:3" x14ac:dyDescent="0.45">
      <c r="A304" s="2">
        <v>26634</v>
      </c>
      <c r="B304" s="3">
        <v>5.2</v>
      </c>
      <c r="C304" s="4">
        <v>-9.9999999999999645E-2</v>
      </c>
    </row>
    <row r="305" spans="1:3" x14ac:dyDescent="0.45">
      <c r="A305" s="2">
        <v>26665</v>
      </c>
      <c r="B305" s="3">
        <v>4.9000000000000004</v>
      </c>
      <c r="C305" s="4">
        <v>-0.29999999999999982</v>
      </c>
    </row>
    <row r="306" spans="1:3" x14ac:dyDescent="0.45">
      <c r="A306" s="2">
        <v>26696</v>
      </c>
      <c r="B306" s="3">
        <v>5</v>
      </c>
      <c r="C306" s="4">
        <v>9.9999999999999645E-2</v>
      </c>
    </row>
    <row r="307" spans="1:3" x14ac:dyDescent="0.45">
      <c r="A307" s="2">
        <v>26724</v>
      </c>
      <c r="B307" s="3">
        <v>4.9000000000000004</v>
      </c>
      <c r="C307" s="4">
        <v>-9.9999999999999645E-2</v>
      </c>
    </row>
    <row r="308" spans="1:3" x14ac:dyDescent="0.45">
      <c r="A308" s="2">
        <v>26755</v>
      </c>
      <c r="B308" s="3">
        <v>5</v>
      </c>
      <c r="C308" s="4">
        <v>9.9999999999999645E-2</v>
      </c>
    </row>
    <row r="309" spans="1:3" x14ac:dyDescent="0.45">
      <c r="A309" s="2">
        <v>26785</v>
      </c>
      <c r="B309" s="3">
        <v>4.9000000000000004</v>
      </c>
      <c r="C309" s="4">
        <v>-9.9999999999999645E-2</v>
      </c>
    </row>
    <row r="310" spans="1:3" x14ac:dyDescent="0.45">
      <c r="A310" s="2">
        <v>26816</v>
      </c>
      <c r="B310" s="3">
        <v>4.9000000000000004</v>
      </c>
      <c r="C310" s="4">
        <v>0</v>
      </c>
    </row>
    <row r="311" spans="1:3" x14ac:dyDescent="0.45">
      <c r="A311" s="2">
        <v>26846</v>
      </c>
      <c r="B311" s="3">
        <v>4.8</v>
      </c>
      <c r="C311" s="4">
        <v>-0.10000000000000053</v>
      </c>
    </row>
    <row r="312" spans="1:3" x14ac:dyDescent="0.45">
      <c r="A312" s="2">
        <v>26877</v>
      </c>
      <c r="B312" s="3">
        <v>4.8</v>
      </c>
      <c r="C312" s="4">
        <v>0</v>
      </c>
    </row>
    <row r="313" spans="1:3" x14ac:dyDescent="0.45">
      <c r="A313" s="2">
        <v>26908</v>
      </c>
      <c r="B313" s="3">
        <v>4.8</v>
      </c>
      <c r="C313" s="4">
        <v>0</v>
      </c>
    </row>
    <row r="314" spans="1:3" x14ac:dyDescent="0.45">
      <c r="A314" s="2">
        <v>26938</v>
      </c>
      <c r="B314" s="3">
        <v>4.5999999999999996</v>
      </c>
      <c r="C314" s="4">
        <v>-0.20000000000000018</v>
      </c>
    </row>
    <row r="315" spans="1:3" x14ac:dyDescent="0.45">
      <c r="A315" s="2">
        <v>26969</v>
      </c>
      <c r="B315" s="3">
        <v>4.8</v>
      </c>
      <c r="C315" s="4">
        <v>0.20000000000000018</v>
      </c>
    </row>
    <row r="316" spans="1:3" x14ac:dyDescent="0.45">
      <c r="A316" s="2">
        <v>26999</v>
      </c>
      <c r="B316" s="3">
        <v>4.9000000000000004</v>
      </c>
      <c r="C316" s="4">
        <v>0.10000000000000053</v>
      </c>
    </row>
    <row r="317" spans="1:3" x14ac:dyDescent="0.45">
      <c r="A317" s="2">
        <v>27030</v>
      </c>
      <c r="B317" s="3">
        <v>5.0999999999999996</v>
      </c>
      <c r="C317" s="4">
        <v>0.19999999999999929</v>
      </c>
    </row>
    <row r="318" spans="1:3" x14ac:dyDescent="0.45">
      <c r="A318" s="2">
        <v>27061</v>
      </c>
      <c r="B318" s="3">
        <v>5.2</v>
      </c>
      <c r="C318" s="4">
        <v>0.10000000000000053</v>
      </c>
    </row>
    <row r="319" spans="1:3" x14ac:dyDescent="0.45">
      <c r="A319" s="2">
        <v>27089</v>
      </c>
      <c r="B319" s="3">
        <v>5.0999999999999996</v>
      </c>
      <c r="C319" s="4">
        <v>-0.10000000000000053</v>
      </c>
    </row>
    <row r="320" spans="1:3" x14ac:dyDescent="0.45">
      <c r="A320" s="2">
        <v>27120</v>
      </c>
      <c r="B320" s="3">
        <v>5.0999999999999996</v>
      </c>
      <c r="C320" s="4">
        <v>0</v>
      </c>
    </row>
    <row r="321" spans="1:3" x14ac:dyDescent="0.45">
      <c r="A321" s="2">
        <v>27150</v>
      </c>
      <c r="B321" s="3">
        <v>5.0999999999999996</v>
      </c>
      <c r="C321" s="4">
        <v>0</v>
      </c>
    </row>
    <row r="322" spans="1:3" x14ac:dyDescent="0.45">
      <c r="A322" s="2">
        <v>27181</v>
      </c>
      <c r="B322" s="3">
        <v>5.4</v>
      </c>
      <c r="C322" s="4">
        <v>0.30000000000000071</v>
      </c>
    </row>
    <row r="323" spans="1:3" x14ac:dyDescent="0.45">
      <c r="A323" s="2">
        <v>27211</v>
      </c>
      <c r="B323" s="3">
        <v>5.5</v>
      </c>
      <c r="C323" s="4">
        <v>9.9999999999999645E-2</v>
      </c>
    </row>
    <row r="324" spans="1:3" x14ac:dyDescent="0.45">
      <c r="A324" s="2">
        <v>27242</v>
      </c>
      <c r="B324" s="3">
        <v>5.5</v>
      </c>
      <c r="C324" s="4">
        <v>0</v>
      </c>
    </row>
    <row r="325" spans="1:3" x14ac:dyDescent="0.45">
      <c r="A325" s="2">
        <v>27273</v>
      </c>
      <c r="B325" s="3">
        <v>5.9</v>
      </c>
      <c r="C325" s="4">
        <v>0.40000000000000036</v>
      </c>
    </row>
    <row r="326" spans="1:3" x14ac:dyDescent="0.45">
      <c r="A326" s="2">
        <v>27303</v>
      </c>
      <c r="B326" s="3">
        <v>6</v>
      </c>
      <c r="C326" s="4">
        <v>9.9999999999999645E-2</v>
      </c>
    </row>
    <row r="327" spans="1:3" x14ac:dyDescent="0.45">
      <c r="A327" s="2">
        <v>27334</v>
      </c>
      <c r="B327" s="3">
        <v>6.6</v>
      </c>
      <c r="C327" s="4">
        <v>0.59999999999999964</v>
      </c>
    </row>
    <row r="328" spans="1:3" x14ac:dyDescent="0.45">
      <c r="A328" s="2">
        <v>27364</v>
      </c>
      <c r="B328" s="3">
        <v>7.2</v>
      </c>
      <c r="C328" s="4">
        <v>0.60000000000000053</v>
      </c>
    </row>
    <row r="329" spans="1:3" x14ac:dyDescent="0.45">
      <c r="A329" s="2">
        <v>27395</v>
      </c>
      <c r="B329" s="3">
        <v>8.1</v>
      </c>
      <c r="C329" s="4">
        <v>0.89999999999999947</v>
      </c>
    </row>
    <row r="330" spans="1:3" x14ac:dyDescent="0.45">
      <c r="A330" s="2">
        <v>27426</v>
      </c>
      <c r="B330" s="3">
        <v>8.1</v>
      </c>
      <c r="C330" s="4">
        <v>0</v>
      </c>
    </row>
    <row r="331" spans="1:3" x14ac:dyDescent="0.45">
      <c r="A331" s="2">
        <v>27454</v>
      </c>
      <c r="B331" s="3">
        <v>8.6</v>
      </c>
      <c r="C331" s="4">
        <v>0.5</v>
      </c>
    </row>
    <row r="332" spans="1:3" x14ac:dyDescent="0.45">
      <c r="A332" s="2">
        <v>27485</v>
      </c>
      <c r="B332" s="3">
        <v>8.8000000000000007</v>
      </c>
      <c r="C332" s="4">
        <v>0.20000000000000107</v>
      </c>
    </row>
    <row r="333" spans="1:3" x14ac:dyDescent="0.45">
      <c r="A333" s="2">
        <v>27515</v>
      </c>
      <c r="B333" s="3">
        <v>9</v>
      </c>
      <c r="C333" s="4">
        <v>0.19999999999999929</v>
      </c>
    </row>
    <row r="334" spans="1:3" x14ac:dyDescent="0.45">
      <c r="A334" s="2">
        <v>27546</v>
      </c>
      <c r="B334" s="3">
        <v>8.8000000000000007</v>
      </c>
      <c r="C334" s="4">
        <v>-0.19999999999999929</v>
      </c>
    </row>
    <row r="335" spans="1:3" x14ac:dyDescent="0.45">
      <c r="A335" s="2">
        <v>27576</v>
      </c>
      <c r="B335" s="3">
        <v>8.6</v>
      </c>
      <c r="C335" s="4">
        <v>-0.20000000000000107</v>
      </c>
    </row>
    <row r="336" spans="1:3" x14ac:dyDescent="0.45">
      <c r="A336" s="2">
        <v>27607</v>
      </c>
      <c r="B336" s="3">
        <v>8.4</v>
      </c>
      <c r="C336" s="4">
        <v>-0.19999999999999929</v>
      </c>
    </row>
    <row r="337" spans="1:3" x14ac:dyDescent="0.45">
      <c r="A337" s="2">
        <v>27638</v>
      </c>
      <c r="B337" s="3">
        <v>8.4</v>
      </c>
      <c r="C337" s="4">
        <v>0</v>
      </c>
    </row>
    <row r="338" spans="1:3" x14ac:dyDescent="0.45">
      <c r="A338" s="2">
        <v>27668</v>
      </c>
      <c r="B338" s="3">
        <v>8.4</v>
      </c>
      <c r="C338" s="4">
        <v>0</v>
      </c>
    </row>
    <row r="339" spans="1:3" x14ac:dyDescent="0.45">
      <c r="A339" s="2">
        <v>27699</v>
      </c>
      <c r="B339" s="3">
        <v>8.3000000000000007</v>
      </c>
      <c r="C339" s="4">
        <v>-9.9999999999999645E-2</v>
      </c>
    </row>
    <row r="340" spans="1:3" x14ac:dyDescent="0.45">
      <c r="A340" s="2">
        <v>27729</v>
      </c>
      <c r="B340" s="3">
        <v>8.1999999999999993</v>
      </c>
      <c r="C340" s="4">
        <v>-0.10000000000000142</v>
      </c>
    </row>
    <row r="341" spans="1:3" x14ac:dyDescent="0.45">
      <c r="A341" s="2">
        <v>27760</v>
      </c>
      <c r="B341" s="3">
        <v>7.9</v>
      </c>
      <c r="C341" s="4">
        <v>-0.29999999999999893</v>
      </c>
    </row>
    <row r="342" spans="1:3" x14ac:dyDescent="0.45">
      <c r="A342" s="2">
        <v>27791</v>
      </c>
      <c r="B342" s="3">
        <v>7.7</v>
      </c>
      <c r="C342" s="4">
        <v>-0.20000000000000018</v>
      </c>
    </row>
    <row r="343" spans="1:3" x14ac:dyDescent="0.45">
      <c r="A343" s="2">
        <v>27820</v>
      </c>
      <c r="B343" s="3">
        <v>7.6</v>
      </c>
      <c r="C343" s="4">
        <v>-0.10000000000000053</v>
      </c>
    </row>
    <row r="344" spans="1:3" x14ac:dyDescent="0.45">
      <c r="A344" s="2">
        <v>27851</v>
      </c>
      <c r="B344" s="3">
        <v>7.7</v>
      </c>
      <c r="C344" s="4">
        <v>0.10000000000000053</v>
      </c>
    </row>
    <row r="345" spans="1:3" x14ac:dyDescent="0.45">
      <c r="A345" s="2">
        <v>27881</v>
      </c>
      <c r="B345" s="3">
        <v>7.4</v>
      </c>
      <c r="C345" s="4">
        <v>-0.29999999999999982</v>
      </c>
    </row>
    <row r="346" spans="1:3" x14ac:dyDescent="0.45">
      <c r="A346" s="2">
        <v>27912</v>
      </c>
      <c r="B346" s="3">
        <v>7.6</v>
      </c>
      <c r="C346" s="4">
        <v>0.19999999999999929</v>
      </c>
    </row>
    <row r="347" spans="1:3" x14ac:dyDescent="0.45">
      <c r="A347" s="2">
        <v>27942</v>
      </c>
      <c r="B347" s="3">
        <v>7.8</v>
      </c>
      <c r="C347" s="4">
        <v>0.20000000000000018</v>
      </c>
    </row>
    <row r="348" spans="1:3" x14ac:dyDescent="0.45">
      <c r="A348" s="2">
        <v>27973</v>
      </c>
      <c r="B348" s="3">
        <v>7.8</v>
      </c>
      <c r="C348" s="4">
        <v>0</v>
      </c>
    </row>
    <row r="349" spans="1:3" x14ac:dyDescent="0.45">
      <c r="A349" s="2">
        <v>28004</v>
      </c>
      <c r="B349" s="3">
        <v>7.6</v>
      </c>
      <c r="C349" s="4">
        <v>-0.20000000000000018</v>
      </c>
    </row>
    <row r="350" spans="1:3" x14ac:dyDescent="0.45">
      <c r="A350" s="2">
        <v>28034</v>
      </c>
      <c r="B350" s="3">
        <v>7.7</v>
      </c>
      <c r="C350" s="4">
        <v>0.10000000000000053</v>
      </c>
    </row>
    <row r="351" spans="1:3" x14ac:dyDescent="0.45">
      <c r="A351" s="2">
        <v>28065</v>
      </c>
      <c r="B351" s="3">
        <v>7.8</v>
      </c>
      <c r="C351" s="4">
        <v>9.9999999999999645E-2</v>
      </c>
    </row>
    <row r="352" spans="1:3" x14ac:dyDescent="0.45">
      <c r="A352" s="2">
        <v>28095</v>
      </c>
      <c r="B352" s="3">
        <v>7.8</v>
      </c>
      <c r="C352" s="4">
        <v>0</v>
      </c>
    </row>
    <row r="353" spans="1:3" x14ac:dyDescent="0.45">
      <c r="A353" s="2">
        <v>28126</v>
      </c>
      <c r="B353" s="3">
        <v>7.5</v>
      </c>
      <c r="C353" s="4">
        <v>-0.29999999999999982</v>
      </c>
    </row>
    <row r="354" spans="1:3" x14ac:dyDescent="0.45">
      <c r="A354" s="2">
        <v>28157</v>
      </c>
      <c r="B354" s="3">
        <v>7.6</v>
      </c>
      <c r="C354" s="4">
        <v>9.9999999999999645E-2</v>
      </c>
    </row>
    <row r="355" spans="1:3" x14ac:dyDescent="0.45">
      <c r="A355" s="2">
        <v>28185</v>
      </c>
      <c r="B355" s="3">
        <v>7.4</v>
      </c>
      <c r="C355" s="4">
        <v>-0.19999999999999929</v>
      </c>
    </row>
    <row r="356" spans="1:3" x14ac:dyDescent="0.45">
      <c r="A356" s="2">
        <v>28216</v>
      </c>
      <c r="B356" s="3">
        <v>7.2</v>
      </c>
      <c r="C356" s="4">
        <v>-0.20000000000000018</v>
      </c>
    </row>
    <row r="357" spans="1:3" x14ac:dyDescent="0.45">
      <c r="A357" s="2">
        <v>28246</v>
      </c>
      <c r="B357" s="3">
        <v>7</v>
      </c>
      <c r="C357" s="4">
        <v>-0.20000000000000018</v>
      </c>
    </row>
    <row r="358" spans="1:3" x14ac:dyDescent="0.45">
      <c r="A358" s="2">
        <v>28277</v>
      </c>
      <c r="B358" s="3">
        <v>7.2</v>
      </c>
      <c r="C358" s="4">
        <v>0.20000000000000018</v>
      </c>
    </row>
    <row r="359" spans="1:3" x14ac:dyDescent="0.45">
      <c r="A359" s="2">
        <v>28307</v>
      </c>
      <c r="B359" s="3">
        <v>6.9</v>
      </c>
      <c r="C359" s="4">
        <v>-0.29999999999999982</v>
      </c>
    </row>
    <row r="360" spans="1:3" x14ac:dyDescent="0.45">
      <c r="A360" s="2">
        <v>28338</v>
      </c>
      <c r="B360" s="3">
        <v>7</v>
      </c>
      <c r="C360" s="4">
        <v>9.9999999999999645E-2</v>
      </c>
    </row>
    <row r="361" spans="1:3" x14ac:dyDescent="0.45">
      <c r="A361" s="2">
        <v>28369</v>
      </c>
      <c r="B361" s="3">
        <v>6.8</v>
      </c>
      <c r="C361" s="4">
        <v>-0.20000000000000018</v>
      </c>
    </row>
    <row r="362" spans="1:3" x14ac:dyDescent="0.45">
      <c r="A362" s="2">
        <v>28399</v>
      </c>
      <c r="B362" s="3">
        <v>6.8</v>
      </c>
      <c r="C362" s="4">
        <v>0</v>
      </c>
    </row>
    <row r="363" spans="1:3" x14ac:dyDescent="0.45">
      <c r="A363" s="2">
        <v>28430</v>
      </c>
      <c r="B363" s="3">
        <v>6.8</v>
      </c>
      <c r="C363" s="4">
        <v>0</v>
      </c>
    </row>
    <row r="364" spans="1:3" x14ac:dyDescent="0.45">
      <c r="A364" s="2">
        <v>28460</v>
      </c>
      <c r="B364" s="3">
        <v>6.4</v>
      </c>
      <c r="C364" s="4">
        <v>-0.39999999999999947</v>
      </c>
    </row>
    <row r="365" spans="1:3" x14ac:dyDescent="0.45">
      <c r="A365" s="2">
        <v>28491</v>
      </c>
      <c r="B365" s="3">
        <v>6.4</v>
      </c>
      <c r="C365" s="4">
        <v>0</v>
      </c>
    </row>
    <row r="366" spans="1:3" x14ac:dyDescent="0.45">
      <c r="A366" s="2">
        <v>28522</v>
      </c>
      <c r="B366" s="3">
        <v>6.3</v>
      </c>
      <c r="C366" s="4">
        <v>-0.10000000000000053</v>
      </c>
    </row>
    <row r="367" spans="1:3" x14ac:dyDescent="0.45">
      <c r="A367" s="2">
        <v>28550</v>
      </c>
      <c r="B367" s="3">
        <v>6.3</v>
      </c>
      <c r="C367" s="4">
        <v>0</v>
      </c>
    </row>
    <row r="368" spans="1:3" x14ac:dyDescent="0.45">
      <c r="A368" s="2">
        <v>28581</v>
      </c>
      <c r="B368" s="3">
        <v>6.1</v>
      </c>
      <c r="C368" s="4">
        <v>-0.20000000000000018</v>
      </c>
    </row>
    <row r="369" spans="1:3" x14ac:dyDescent="0.45">
      <c r="A369" s="2">
        <v>28611</v>
      </c>
      <c r="B369" s="3">
        <v>6</v>
      </c>
      <c r="C369" s="4">
        <v>-9.9999999999999645E-2</v>
      </c>
    </row>
    <row r="370" spans="1:3" x14ac:dyDescent="0.45">
      <c r="A370" s="2">
        <v>28642</v>
      </c>
      <c r="B370" s="3">
        <v>5.9</v>
      </c>
      <c r="C370" s="4">
        <v>-9.9999999999999645E-2</v>
      </c>
    </row>
    <row r="371" spans="1:3" x14ac:dyDescent="0.45">
      <c r="A371" s="2">
        <v>28672</v>
      </c>
      <c r="B371" s="3">
        <v>6.2</v>
      </c>
      <c r="C371" s="4">
        <v>0.29999999999999982</v>
      </c>
    </row>
    <row r="372" spans="1:3" x14ac:dyDescent="0.45">
      <c r="A372" s="2">
        <v>28703</v>
      </c>
      <c r="B372" s="3">
        <v>5.9</v>
      </c>
      <c r="C372" s="4">
        <v>-0.29999999999999982</v>
      </c>
    </row>
    <row r="373" spans="1:3" x14ac:dyDescent="0.45">
      <c r="A373" s="2">
        <v>28734</v>
      </c>
      <c r="B373" s="3">
        <v>6</v>
      </c>
      <c r="C373" s="4">
        <v>9.9999999999999645E-2</v>
      </c>
    </row>
    <row r="374" spans="1:3" x14ac:dyDescent="0.45">
      <c r="A374" s="2">
        <v>28764</v>
      </c>
      <c r="B374" s="3">
        <v>5.8</v>
      </c>
      <c r="C374" s="4">
        <v>-0.20000000000000018</v>
      </c>
    </row>
    <row r="375" spans="1:3" x14ac:dyDescent="0.45">
      <c r="A375" s="2">
        <v>28795</v>
      </c>
      <c r="B375" s="3">
        <v>5.9</v>
      </c>
      <c r="C375" s="4">
        <v>0.10000000000000053</v>
      </c>
    </row>
    <row r="376" spans="1:3" x14ac:dyDescent="0.45">
      <c r="A376" s="2">
        <v>28825</v>
      </c>
      <c r="B376" s="3">
        <v>6</v>
      </c>
      <c r="C376" s="4">
        <v>9.9999999999999645E-2</v>
      </c>
    </row>
    <row r="377" spans="1:3" x14ac:dyDescent="0.45">
      <c r="A377" s="2">
        <v>28856</v>
      </c>
      <c r="B377" s="3">
        <v>5.9</v>
      </c>
      <c r="C377" s="4">
        <v>-9.9999999999999645E-2</v>
      </c>
    </row>
    <row r="378" spans="1:3" x14ac:dyDescent="0.45">
      <c r="A378" s="2">
        <v>28887</v>
      </c>
      <c r="B378" s="3">
        <v>5.9</v>
      </c>
      <c r="C378" s="4">
        <v>0</v>
      </c>
    </row>
    <row r="379" spans="1:3" x14ac:dyDescent="0.45">
      <c r="A379" s="2">
        <v>28915</v>
      </c>
      <c r="B379" s="3">
        <v>5.8</v>
      </c>
      <c r="C379" s="4">
        <v>-0.10000000000000053</v>
      </c>
    </row>
    <row r="380" spans="1:3" x14ac:dyDescent="0.45">
      <c r="A380" s="2">
        <v>28946</v>
      </c>
      <c r="B380" s="3">
        <v>5.8</v>
      </c>
      <c r="C380" s="4">
        <v>0</v>
      </c>
    </row>
    <row r="381" spans="1:3" x14ac:dyDescent="0.45">
      <c r="A381" s="2">
        <v>28976</v>
      </c>
      <c r="B381" s="3">
        <v>5.6</v>
      </c>
      <c r="C381" s="4">
        <v>-0.20000000000000018</v>
      </c>
    </row>
    <row r="382" spans="1:3" x14ac:dyDescent="0.45">
      <c r="A382" s="2">
        <v>29007</v>
      </c>
      <c r="B382" s="3">
        <v>5.7</v>
      </c>
      <c r="C382" s="4">
        <v>0.10000000000000053</v>
      </c>
    </row>
    <row r="383" spans="1:3" x14ac:dyDescent="0.45">
      <c r="A383" s="2">
        <v>29037</v>
      </c>
      <c r="B383" s="3">
        <v>5.7</v>
      </c>
      <c r="C383" s="4">
        <v>0</v>
      </c>
    </row>
    <row r="384" spans="1:3" x14ac:dyDescent="0.45">
      <c r="A384" s="2">
        <v>29068</v>
      </c>
      <c r="B384" s="3">
        <v>6</v>
      </c>
      <c r="C384" s="4">
        <v>0.29999999999999982</v>
      </c>
    </row>
    <row r="385" spans="1:3" x14ac:dyDescent="0.45">
      <c r="A385" s="2">
        <v>29099</v>
      </c>
      <c r="B385" s="3">
        <v>5.9</v>
      </c>
      <c r="C385" s="4">
        <v>-9.9999999999999645E-2</v>
      </c>
    </row>
    <row r="386" spans="1:3" x14ac:dyDescent="0.45">
      <c r="A386" s="2">
        <v>29129</v>
      </c>
      <c r="B386" s="3">
        <v>6</v>
      </c>
      <c r="C386" s="4">
        <v>9.9999999999999645E-2</v>
      </c>
    </row>
    <row r="387" spans="1:3" x14ac:dyDescent="0.45">
      <c r="A387" s="2">
        <v>29160</v>
      </c>
      <c r="B387" s="3">
        <v>5.9</v>
      </c>
      <c r="C387" s="4">
        <v>-9.9999999999999645E-2</v>
      </c>
    </row>
    <row r="388" spans="1:3" x14ac:dyDescent="0.45">
      <c r="A388" s="2">
        <v>29190</v>
      </c>
      <c r="B388" s="3">
        <v>6</v>
      </c>
      <c r="C388" s="4">
        <v>9.9999999999999645E-2</v>
      </c>
    </row>
    <row r="389" spans="1:3" x14ac:dyDescent="0.45">
      <c r="A389" s="2">
        <v>29221</v>
      </c>
      <c r="B389" s="3">
        <v>6.3</v>
      </c>
      <c r="C389" s="4">
        <v>0.29999999999999982</v>
      </c>
    </row>
    <row r="390" spans="1:3" x14ac:dyDescent="0.45">
      <c r="A390" s="2">
        <v>29252</v>
      </c>
      <c r="B390" s="3">
        <v>6.3</v>
      </c>
      <c r="C390" s="4">
        <v>0</v>
      </c>
    </row>
    <row r="391" spans="1:3" x14ac:dyDescent="0.45">
      <c r="A391" s="2">
        <v>29281</v>
      </c>
      <c r="B391" s="3">
        <v>6.3</v>
      </c>
      <c r="C391" s="4">
        <v>0</v>
      </c>
    </row>
    <row r="392" spans="1:3" x14ac:dyDescent="0.45">
      <c r="A392" s="2">
        <v>29312</v>
      </c>
      <c r="B392" s="3">
        <v>6.9</v>
      </c>
      <c r="C392" s="4">
        <v>0.60000000000000053</v>
      </c>
    </row>
    <row r="393" spans="1:3" x14ac:dyDescent="0.45">
      <c r="A393" s="2">
        <v>29342</v>
      </c>
      <c r="B393" s="3">
        <v>7.5</v>
      </c>
      <c r="C393" s="4">
        <v>0.59999999999999964</v>
      </c>
    </row>
    <row r="394" spans="1:3" x14ac:dyDescent="0.45">
      <c r="A394" s="2">
        <v>29373</v>
      </c>
      <c r="B394" s="3">
        <v>7.6</v>
      </c>
      <c r="C394" s="4">
        <v>9.9999999999999645E-2</v>
      </c>
    </row>
    <row r="395" spans="1:3" x14ac:dyDescent="0.45">
      <c r="A395" s="2">
        <v>29403</v>
      </c>
      <c r="B395" s="3">
        <v>7.8</v>
      </c>
      <c r="C395" s="4">
        <v>0.20000000000000018</v>
      </c>
    </row>
    <row r="396" spans="1:3" x14ac:dyDescent="0.45">
      <c r="A396" s="2">
        <v>29434</v>
      </c>
      <c r="B396" s="3">
        <v>7.7</v>
      </c>
      <c r="C396" s="4">
        <v>-9.9999999999999645E-2</v>
      </c>
    </row>
    <row r="397" spans="1:3" x14ac:dyDescent="0.45">
      <c r="A397" s="2">
        <v>29465</v>
      </c>
      <c r="B397" s="3">
        <v>7.5</v>
      </c>
      <c r="C397" s="4">
        <v>-0.20000000000000018</v>
      </c>
    </row>
    <row r="398" spans="1:3" x14ac:dyDescent="0.45">
      <c r="A398" s="2">
        <v>29495</v>
      </c>
      <c r="B398" s="3">
        <v>7.5</v>
      </c>
      <c r="C398" s="4">
        <v>0</v>
      </c>
    </row>
    <row r="399" spans="1:3" x14ac:dyDescent="0.45">
      <c r="A399" s="2">
        <v>29526</v>
      </c>
      <c r="B399" s="3">
        <v>7.5</v>
      </c>
      <c r="C399" s="4">
        <v>0</v>
      </c>
    </row>
    <row r="400" spans="1:3" x14ac:dyDescent="0.45">
      <c r="A400" s="2">
        <v>29556</v>
      </c>
      <c r="B400" s="3">
        <v>7.2</v>
      </c>
      <c r="C400" s="4">
        <v>-0.29999999999999982</v>
      </c>
    </row>
    <row r="401" spans="1:3" x14ac:dyDescent="0.45">
      <c r="A401" s="2">
        <v>29587</v>
      </c>
      <c r="B401" s="3">
        <v>7.5</v>
      </c>
      <c r="C401" s="4">
        <v>0.29999999999999982</v>
      </c>
    </row>
    <row r="402" spans="1:3" x14ac:dyDescent="0.45">
      <c r="A402" s="2">
        <v>29618</v>
      </c>
      <c r="B402" s="3">
        <v>7.4</v>
      </c>
      <c r="C402" s="4">
        <v>-9.9999999999999645E-2</v>
      </c>
    </row>
    <row r="403" spans="1:3" x14ac:dyDescent="0.45">
      <c r="A403" s="2">
        <v>29646</v>
      </c>
      <c r="B403" s="3">
        <v>7.4</v>
      </c>
      <c r="C403" s="4">
        <v>0</v>
      </c>
    </row>
    <row r="404" spans="1:3" x14ac:dyDescent="0.45">
      <c r="A404" s="2">
        <v>29677</v>
      </c>
      <c r="B404" s="3">
        <v>7.2</v>
      </c>
      <c r="C404" s="4">
        <v>-0.20000000000000018</v>
      </c>
    </row>
    <row r="405" spans="1:3" x14ac:dyDescent="0.45">
      <c r="A405" s="2">
        <v>29707</v>
      </c>
      <c r="B405" s="3">
        <v>7.5</v>
      </c>
      <c r="C405" s="4">
        <v>0.29999999999999982</v>
      </c>
    </row>
    <row r="406" spans="1:3" x14ac:dyDescent="0.45">
      <c r="A406" s="2">
        <v>29738</v>
      </c>
      <c r="B406" s="3">
        <v>7.5</v>
      </c>
      <c r="C406" s="4">
        <v>0</v>
      </c>
    </row>
    <row r="407" spans="1:3" x14ac:dyDescent="0.45">
      <c r="A407" s="2">
        <v>29768</v>
      </c>
      <c r="B407" s="3">
        <v>7.2</v>
      </c>
      <c r="C407" s="4">
        <v>-0.29999999999999982</v>
      </c>
    </row>
    <row r="408" spans="1:3" x14ac:dyDescent="0.45">
      <c r="A408" s="2">
        <v>29799</v>
      </c>
      <c r="B408" s="3">
        <v>7.4</v>
      </c>
      <c r="C408" s="4">
        <v>0.20000000000000018</v>
      </c>
    </row>
    <row r="409" spans="1:3" x14ac:dyDescent="0.45">
      <c r="A409" s="2">
        <v>29830</v>
      </c>
      <c r="B409" s="3">
        <v>7.6</v>
      </c>
      <c r="C409" s="4">
        <v>0.19999999999999929</v>
      </c>
    </row>
    <row r="410" spans="1:3" x14ac:dyDescent="0.45">
      <c r="A410" s="2">
        <v>29860</v>
      </c>
      <c r="B410" s="3">
        <v>7.9</v>
      </c>
      <c r="C410" s="4">
        <v>0.30000000000000071</v>
      </c>
    </row>
    <row r="411" spans="1:3" x14ac:dyDescent="0.45">
      <c r="A411" s="2">
        <v>29891</v>
      </c>
      <c r="B411" s="3">
        <v>8.3000000000000007</v>
      </c>
      <c r="C411" s="4">
        <v>0.40000000000000036</v>
      </c>
    </row>
    <row r="412" spans="1:3" x14ac:dyDescent="0.45">
      <c r="A412" s="2">
        <v>29921</v>
      </c>
      <c r="B412" s="3">
        <v>8.5</v>
      </c>
      <c r="C412" s="4">
        <v>0.19999999999999929</v>
      </c>
    </row>
    <row r="413" spans="1:3" x14ac:dyDescent="0.45">
      <c r="A413" s="2">
        <v>29952</v>
      </c>
      <c r="B413" s="3">
        <v>8.6</v>
      </c>
      <c r="C413" s="4">
        <v>9.9999999999999645E-2</v>
      </c>
    </row>
    <row r="414" spans="1:3" x14ac:dyDescent="0.45">
      <c r="A414" s="2">
        <v>29983</v>
      </c>
      <c r="B414" s="3">
        <v>8.9</v>
      </c>
      <c r="C414" s="4">
        <v>0.30000000000000071</v>
      </c>
    </row>
    <row r="415" spans="1:3" x14ac:dyDescent="0.45">
      <c r="A415" s="2">
        <v>30011</v>
      </c>
      <c r="B415" s="3">
        <v>9</v>
      </c>
      <c r="C415" s="4">
        <v>9.9999999999999645E-2</v>
      </c>
    </row>
    <row r="416" spans="1:3" x14ac:dyDescent="0.45">
      <c r="A416" s="2">
        <v>30042</v>
      </c>
      <c r="B416" s="3">
        <v>9.3000000000000007</v>
      </c>
      <c r="C416" s="4">
        <v>0.30000000000000071</v>
      </c>
    </row>
    <row r="417" spans="1:3" x14ac:dyDescent="0.45">
      <c r="A417" s="2">
        <v>30072</v>
      </c>
      <c r="B417" s="3">
        <v>9.4</v>
      </c>
      <c r="C417" s="4">
        <v>9.9999999999999645E-2</v>
      </c>
    </row>
    <row r="418" spans="1:3" x14ac:dyDescent="0.45">
      <c r="A418" s="2">
        <v>30103</v>
      </c>
      <c r="B418" s="3">
        <v>9.6</v>
      </c>
      <c r="C418" s="4">
        <v>0.19999999999999929</v>
      </c>
    </row>
    <row r="419" spans="1:3" x14ac:dyDescent="0.45">
      <c r="A419" s="2">
        <v>30133</v>
      </c>
      <c r="B419" s="3">
        <v>9.8000000000000007</v>
      </c>
      <c r="C419" s="4">
        <v>0.20000000000000107</v>
      </c>
    </row>
    <row r="420" spans="1:3" x14ac:dyDescent="0.45">
      <c r="A420" s="2">
        <v>30164</v>
      </c>
      <c r="B420" s="3">
        <v>9.8000000000000007</v>
      </c>
      <c r="C420" s="4">
        <v>0</v>
      </c>
    </row>
    <row r="421" spans="1:3" x14ac:dyDescent="0.45">
      <c r="A421" s="2">
        <v>30195</v>
      </c>
      <c r="B421" s="3">
        <v>10.1</v>
      </c>
      <c r="C421" s="4">
        <v>0.29999999999999893</v>
      </c>
    </row>
    <row r="422" spans="1:3" x14ac:dyDescent="0.45">
      <c r="A422" s="2">
        <v>30225</v>
      </c>
      <c r="B422" s="3">
        <v>10.4</v>
      </c>
      <c r="C422" s="4">
        <v>0.30000000000000071</v>
      </c>
    </row>
    <row r="423" spans="1:3" x14ac:dyDescent="0.45">
      <c r="A423" s="2">
        <v>30256</v>
      </c>
      <c r="B423" s="3">
        <v>10.8</v>
      </c>
      <c r="C423" s="4">
        <v>0.40000000000000036</v>
      </c>
    </row>
    <row r="424" spans="1:3" x14ac:dyDescent="0.45">
      <c r="A424" s="2">
        <v>30286</v>
      </c>
      <c r="B424" s="3">
        <v>10.8</v>
      </c>
      <c r="C424" s="4">
        <v>0</v>
      </c>
    </row>
    <row r="425" spans="1:3" x14ac:dyDescent="0.45">
      <c r="A425" s="2">
        <v>30317</v>
      </c>
      <c r="B425" s="3">
        <v>10.4</v>
      </c>
      <c r="C425" s="4">
        <v>-0.40000000000000036</v>
      </c>
    </row>
    <row r="426" spans="1:3" x14ac:dyDescent="0.45">
      <c r="A426" s="2">
        <v>30348</v>
      </c>
      <c r="B426" s="3">
        <v>10.4</v>
      </c>
      <c r="C426" s="4">
        <v>0</v>
      </c>
    </row>
    <row r="427" spans="1:3" x14ac:dyDescent="0.45">
      <c r="A427" s="2">
        <v>30376</v>
      </c>
      <c r="B427" s="3">
        <v>10.3</v>
      </c>
      <c r="C427" s="4">
        <v>-9.9999999999999645E-2</v>
      </c>
    </row>
    <row r="428" spans="1:3" x14ac:dyDescent="0.45">
      <c r="A428" s="2">
        <v>30407</v>
      </c>
      <c r="B428" s="3">
        <v>10.199999999999999</v>
      </c>
      <c r="C428" s="4">
        <v>-0.10000000000000142</v>
      </c>
    </row>
    <row r="429" spans="1:3" x14ac:dyDescent="0.45">
      <c r="A429" s="2">
        <v>30437</v>
      </c>
      <c r="B429" s="3">
        <v>10.1</v>
      </c>
      <c r="C429" s="4">
        <v>-9.9999999999999645E-2</v>
      </c>
    </row>
    <row r="430" spans="1:3" x14ac:dyDescent="0.45">
      <c r="A430" s="2">
        <v>30468</v>
      </c>
      <c r="B430" s="3">
        <v>10.1</v>
      </c>
      <c r="C430" s="4">
        <v>0</v>
      </c>
    </row>
    <row r="431" spans="1:3" x14ac:dyDescent="0.45">
      <c r="A431" s="2">
        <v>30498</v>
      </c>
      <c r="B431" s="3">
        <v>9.4</v>
      </c>
      <c r="C431" s="4">
        <v>-0.69999999999999929</v>
      </c>
    </row>
    <row r="432" spans="1:3" x14ac:dyDescent="0.45">
      <c r="A432" s="2">
        <v>30529</v>
      </c>
      <c r="B432" s="3">
        <v>9.5</v>
      </c>
      <c r="C432" s="4">
        <v>9.9999999999999645E-2</v>
      </c>
    </row>
    <row r="433" spans="1:3" x14ac:dyDescent="0.45">
      <c r="A433" s="2">
        <v>30560</v>
      </c>
      <c r="B433" s="3">
        <v>9.1999999999999993</v>
      </c>
      <c r="C433" s="4">
        <v>-0.30000000000000071</v>
      </c>
    </row>
    <row r="434" spans="1:3" x14ac:dyDescent="0.45">
      <c r="A434" s="2">
        <v>30590</v>
      </c>
      <c r="B434" s="3">
        <v>8.8000000000000007</v>
      </c>
      <c r="C434" s="4">
        <v>-0.39999999999999858</v>
      </c>
    </row>
    <row r="435" spans="1:3" x14ac:dyDescent="0.45">
      <c r="A435" s="2">
        <v>30621</v>
      </c>
      <c r="B435" s="3">
        <v>8.5</v>
      </c>
      <c r="C435" s="4">
        <v>-0.30000000000000071</v>
      </c>
    </row>
    <row r="436" spans="1:3" x14ac:dyDescent="0.45">
      <c r="A436" s="2">
        <v>30651</v>
      </c>
      <c r="B436" s="3">
        <v>8.3000000000000007</v>
      </c>
      <c r="C436" s="4">
        <v>-0.19999999999999929</v>
      </c>
    </row>
    <row r="437" spans="1:3" x14ac:dyDescent="0.45">
      <c r="A437" s="2">
        <v>30682</v>
      </c>
      <c r="B437" s="3">
        <v>8</v>
      </c>
      <c r="C437" s="4">
        <v>-0.30000000000000071</v>
      </c>
    </row>
    <row r="438" spans="1:3" x14ac:dyDescent="0.45">
      <c r="A438" s="2">
        <v>30713</v>
      </c>
      <c r="B438" s="3">
        <v>7.8</v>
      </c>
      <c r="C438" s="4">
        <v>-0.20000000000000018</v>
      </c>
    </row>
    <row r="439" spans="1:3" x14ac:dyDescent="0.45">
      <c r="A439" s="2">
        <v>30742</v>
      </c>
      <c r="B439" s="3">
        <v>7.8</v>
      </c>
      <c r="C439" s="4">
        <v>0</v>
      </c>
    </row>
    <row r="440" spans="1:3" x14ac:dyDescent="0.45">
      <c r="A440" s="2">
        <v>30773</v>
      </c>
      <c r="B440" s="3">
        <v>7.7</v>
      </c>
      <c r="C440" s="4">
        <v>-9.9999999999999645E-2</v>
      </c>
    </row>
    <row r="441" spans="1:3" x14ac:dyDescent="0.45">
      <c r="A441" s="2">
        <v>30803</v>
      </c>
      <c r="B441" s="3">
        <v>7.4</v>
      </c>
      <c r="C441" s="4">
        <v>-0.29999999999999982</v>
      </c>
    </row>
    <row r="442" spans="1:3" x14ac:dyDescent="0.45">
      <c r="A442" s="2">
        <v>30834</v>
      </c>
      <c r="B442" s="3">
        <v>7.2</v>
      </c>
      <c r="C442" s="4">
        <v>-0.20000000000000018</v>
      </c>
    </row>
    <row r="443" spans="1:3" x14ac:dyDescent="0.45">
      <c r="A443" s="2">
        <v>30864</v>
      </c>
      <c r="B443" s="3">
        <v>7.5</v>
      </c>
      <c r="C443" s="4">
        <v>0.29999999999999982</v>
      </c>
    </row>
    <row r="444" spans="1:3" x14ac:dyDescent="0.45">
      <c r="A444" s="2">
        <v>30895</v>
      </c>
      <c r="B444" s="3">
        <v>7.5</v>
      </c>
      <c r="C444" s="4">
        <v>0</v>
      </c>
    </row>
    <row r="445" spans="1:3" x14ac:dyDescent="0.45">
      <c r="A445" s="2">
        <v>30926</v>
      </c>
      <c r="B445" s="3">
        <v>7.3</v>
      </c>
      <c r="C445" s="4">
        <v>-0.20000000000000018</v>
      </c>
    </row>
    <row r="446" spans="1:3" x14ac:dyDescent="0.45">
      <c r="A446" s="2">
        <v>30956</v>
      </c>
      <c r="B446" s="3">
        <v>7.4</v>
      </c>
      <c r="C446" s="4">
        <v>0.10000000000000053</v>
      </c>
    </row>
    <row r="447" spans="1:3" x14ac:dyDescent="0.45">
      <c r="A447" s="2">
        <v>30987</v>
      </c>
      <c r="B447" s="3">
        <v>7.2</v>
      </c>
      <c r="C447" s="4">
        <v>-0.20000000000000018</v>
      </c>
    </row>
    <row r="448" spans="1:3" x14ac:dyDescent="0.45">
      <c r="A448" s="2">
        <v>31017</v>
      </c>
      <c r="B448" s="3">
        <v>7.3</v>
      </c>
      <c r="C448" s="4">
        <v>9.9999999999999645E-2</v>
      </c>
    </row>
    <row r="449" spans="1:3" x14ac:dyDescent="0.45">
      <c r="A449" s="2">
        <v>31048</v>
      </c>
      <c r="B449" s="3">
        <v>7.3</v>
      </c>
      <c r="C449" s="4">
        <v>0</v>
      </c>
    </row>
    <row r="450" spans="1:3" x14ac:dyDescent="0.45">
      <c r="A450" s="2">
        <v>31079</v>
      </c>
      <c r="B450" s="3">
        <v>7.2</v>
      </c>
      <c r="C450" s="4">
        <v>-9.9999999999999645E-2</v>
      </c>
    </row>
    <row r="451" spans="1:3" x14ac:dyDescent="0.45">
      <c r="A451" s="2">
        <v>31107</v>
      </c>
      <c r="B451" s="3">
        <v>7.2</v>
      </c>
      <c r="C451" s="4">
        <v>0</v>
      </c>
    </row>
    <row r="452" spans="1:3" x14ac:dyDescent="0.45">
      <c r="A452" s="2">
        <v>31138</v>
      </c>
      <c r="B452" s="3">
        <v>7.3</v>
      </c>
      <c r="C452" s="4">
        <v>9.9999999999999645E-2</v>
      </c>
    </row>
    <row r="453" spans="1:3" x14ac:dyDescent="0.45">
      <c r="A453" s="2">
        <v>31168</v>
      </c>
      <c r="B453" s="3">
        <v>7.2</v>
      </c>
      <c r="C453" s="4">
        <v>-9.9999999999999645E-2</v>
      </c>
    </row>
    <row r="454" spans="1:3" x14ac:dyDescent="0.45">
      <c r="A454" s="2">
        <v>31199</v>
      </c>
      <c r="B454" s="3">
        <v>7.4</v>
      </c>
      <c r="C454" s="4">
        <v>0.20000000000000018</v>
      </c>
    </row>
    <row r="455" spans="1:3" x14ac:dyDescent="0.45">
      <c r="A455" s="2">
        <v>31229</v>
      </c>
      <c r="B455" s="3">
        <v>7.4</v>
      </c>
      <c r="C455" s="4">
        <v>0</v>
      </c>
    </row>
    <row r="456" spans="1:3" x14ac:dyDescent="0.45">
      <c r="A456" s="2">
        <v>31260</v>
      </c>
      <c r="B456" s="3">
        <v>7.1</v>
      </c>
      <c r="C456" s="4">
        <v>-0.30000000000000071</v>
      </c>
    </row>
    <row r="457" spans="1:3" x14ac:dyDescent="0.45">
      <c r="A457" s="2">
        <v>31291</v>
      </c>
      <c r="B457" s="3">
        <v>7.1</v>
      </c>
      <c r="C457" s="4">
        <v>0</v>
      </c>
    </row>
    <row r="458" spans="1:3" x14ac:dyDescent="0.45">
      <c r="A458" s="2">
        <v>31321</v>
      </c>
      <c r="B458" s="3">
        <v>7.1</v>
      </c>
      <c r="C458" s="4">
        <v>0</v>
      </c>
    </row>
    <row r="459" spans="1:3" x14ac:dyDescent="0.45">
      <c r="A459" s="2">
        <v>31352</v>
      </c>
      <c r="B459" s="3">
        <v>7</v>
      </c>
      <c r="C459" s="4">
        <v>-9.9999999999999645E-2</v>
      </c>
    </row>
    <row r="460" spans="1:3" x14ac:dyDescent="0.45">
      <c r="A460" s="2">
        <v>31382</v>
      </c>
      <c r="B460" s="3">
        <v>7</v>
      </c>
      <c r="C460" s="4">
        <v>0</v>
      </c>
    </row>
    <row r="461" spans="1:3" x14ac:dyDescent="0.45">
      <c r="A461" s="2">
        <v>31413</v>
      </c>
      <c r="B461" s="3">
        <v>6.7</v>
      </c>
      <c r="C461" s="4">
        <v>-0.29999999999999982</v>
      </c>
    </row>
    <row r="462" spans="1:3" x14ac:dyDescent="0.45">
      <c r="A462" s="2">
        <v>31444</v>
      </c>
      <c r="B462" s="3">
        <v>7.2</v>
      </c>
      <c r="C462" s="4">
        <v>0.5</v>
      </c>
    </row>
    <row r="463" spans="1:3" x14ac:dyDescent="0.45">
      <c r="A463" s="2">
        <v>31472</v>
      </c>
      <c r="B463" s="3">
        <v>7.2</v>
      </c>
      <c r="C463" s="4">
        <v>0</v>
      </c>
    </row>
    <row r="464" spans="1:3" x14ac:dyDescent="0.45">
      <c r="A464" s="2">
        <v>31503</v>
      </c>
      <c r="B464" s="3">
        <v>7.1</v>
      </c>
      <c r="C464" s="4">
        <v>-0.10000000000000053</v>
      </c>
    </row>
    <row r="465" spans="1:3" x14ac:dyDescent="0.45">
      <c r="A465" s="2">
        <v>31533</v>
      </c>
      <c r="B465" s="3">
        <v>7.2</v>
      </c>
      <c r="C465" s="4">
        <v>0.10000000000000053</v>
      </c>
    </row>
    <row r="466" spans="1:3" x14ac:dyDescent="0.45">
      <c r="A466" s="2">
        <v>31564</v>
      </c>
      <c r="B466" s="3">
        <v>7.2</v>
      </c>
      <c r="C466" s="4">
        <v>0</v>
      </c>
    </row>
    <row r="467" spans="1:3" x14ac:dyDescent="0.45">
      <c r="A467" s="2">
        <v>31594</v>
      </c>
      <c r="B467" s="3">
        <v>7</v>
      </c>
      <c r="C467" s="4">
        <v>-0.20000000000000018</v>
      </c>
    </row>
    <row r="468" spans="1:3" x14ac:dyDescent="0.45">
      <c r="A468" s="2">
        <v>31625</v>
      </c>
      <c r="B468" s="3">
        <v>6.9</v>
      </c>
      <c r="C468" s="4">
        <v>-9.9999999999999645E-2</v>
      </c>
    </row>
    <row r="469" spans="1:3" x14ac:dyDescent="0.45">
      <c r="A469" s="2">
        <v>31656</v>
      </c>
      <c r="B469" s="3">
        <v>7</v>
      </c>
      <c r="C469" s="4">
        <v>9.9999999999999645E-2</v>
      </c>
    </row>
    <row r="470" spans="1:3" x14ac:dyDescent="0.45">
      <c r="A470" s="2">
        <v>31686</v>
      </c>
      <c r="B470" s="3">
        <v>7</v>
      </c>
      <c r="C470" s="4">
        <v>0</v>
      </c>
    </row>
    <row r="471" spans="1:3" x14ac:dyDescent="0.45">
      <c r="A471" s="2">
        <v>31717</v>
      </c>
      <c r="B471" s="3">
        <v>6.9</v>
      </c>
      <c r="C471" s="4">
        <v>-9.9999999999999645E-2</v>
      </c>
    </row>
    <row r="472" spans="1:3" x14ac:dyDescent="0.45">
      <c r="A472" s="2">
        <v>31747</v>
      </c>
      <c r="B472" s="3">
        <v>6.6</v>
      </c>
      <c r="C472" s="4">
        <v>-0.30000000000000071</v>
      </c>
    </row>
    <row r="473" spans="1:3" x14ac:dyDescent="0.45">
      <c r="A473" s="2">
        <v>31778</v>
      </c>
      <c r="B473" s="3">
        <v>6.6</v>
      </c>
      <c r="C473" s="4">
        <v>0</v>
      </c>
    </row>
    <row r="474" spans="1:3" x14ac:dyDescent="0.45">
      <c r="A474" s="2">
        <v>31809</v>
      </c>
      <c r="B474" s="3">
        <v>6.6</v>
      </c>
      <c r="C474" s="4">
        <v>0</v>
      </c>
    </row>
    <row r="475" spans="1:3" x14ac:dyDescent="0.45">
      <c r="A475" s="2">
        <v>31837</v>
      </c>
      <c r="B475" s="3">
        <v>6.6</v>
      </c>
      <c r="C475" s="4">
        <v>0</v>
      </c>
    </row>
    <row r="476" spans="1:3" x14ac:dyDescent="0.45">
      <c r="A476" s="2">
        <v>31868</v>
      </c>
      <c r="B476" s="3">
        <v>6.3</v>
      </c>
      <c r="C476" s="4">
        <v>-0.29999999999999982</v>
      </c>
    </row>
    <row r="477" spans="1:3" x14ac:dyDescent="0.45">
      <c r="A477" s="2">
        <v>31898</v>
      </c>
      <c r="B477" s="3">
        <v>6.3</v>
      </c>
      <c r="C477" s="4">
        <v>0</v>
      </c>
    </row>
    <row r="478" spans="1:3" x14ac:dyDescent="0.45">
      <c r="A478" s="2">
        <v>31929</v>
      </c>
      <c r="B478" s="3">
        <v>6.2</v>
      </c>
      <c r="C478" s="4">
        <v>-9.9999999999999645E-2</v>
      </c>
    </row>
    <row r="479" spans="1:3" x14ac:dyDescent="0.45">
      <c r="A479" s="2">
        <v>31959</v>
      </c>
      <c r="B479" s="3">
        <v>6.1</v>
      </c>
      <c r="C479" s="4">
        <v>-0.10000000000000053</v>
      </c>
    </row>
    <row r="480" spans="1:3" x14ac:dyDescent="0.45">
      <c r="A480" s="2">
        <v>31990</v>
      </c>
      <c r="B480" s="3">
        <v>6</v>
      </c>
      <c r="C480" s="4">
        <v>-9.9999999999999645E-2</v>
      </c>
    </row>
    <row r="481" spans="1:3" x14ac:dyDescent="0.45">
      <c r="A481" s="2">
        <v>32021</v>
      </c>
      <c r="B481" s="3">
        <v>5.9</v>
      </c>
      <c r="C481" s="4">
        <v>-9.9999999999999645E-2</v>
      </c>
    </row>
    <row r="482" spans="1:3" x14ac:dyDescent="0.45">
      <c r="A482" s="2">
        <v>32051</v>
      </c>
      <c r="B482" s="3">
        <v>6</v>
      </c>
      <c r="C482" s="4">
        <v>9.9999999999999645E-2</v>
      </c>
    </row>
    <row r="483" spans="1:3" x14ac:dyDescent="0.45">
      <c r="A483" s="2">
        <v>32082</v>
      </c>
      <c r="B483" s="3">
        <v>5.8</v>
      </c>
      <c r="C483" s="4">
        <v>-0.20000000000000018</v>
      </c>
    </row>
    <row r="484" spans="1:3" x14ac:dyDescent="0.45">
      <c r="A484" s="2">
        <v>32112</v>
      </c>
      <c r="B484" s="3">
        <v>5.7</v>
      </c>
      <c r="C484" s="4">
        <v>-9.9999999999999645E-2</v>
      </c>
    </row>
    <row r="485" spans="1:3" x14ac:dyDescent="0.45">
      <c r="A485" s="2">
        <v>32143</v>
      </c>
      <c r="B485" s="3">
        <v>5.7</v>
      </c>
      <c r="C485" s="4">
        <v>0</v>
      </c>
    </row>
    <row r="486" spans="1:3" x14ac:dyDescent="0.45">
      <c r="A486" s="2">
        <v>32174</v>
      </c>
      <c r="B486" s="3">
        <v>5.7</v>
      </c>
      <c r="C486" s="4">
        <v>0</v>
      </c>
    </row>
    <row r="487" spans="1:3" x14ac:dyDescent="0.45">
      <c r="A487" s="2">
        <v>32203</v>
      </c>
      <c r="B487" s="3">
        <v>5.7</v>
      </c>
      <c r="C487" s="4">
        <v>0</v>
      </c>
    </row>
    <row r="488" spans="1:3" x14ac:dyDescent="0.45">
      <c r="A488" s="2">
        <v>32234</v>
      </c>
      <c r="B488" s="3">
        <v>5.4</v>
      </c>
      <c r="C488" s="4">
        <v>-0.29999999999999982</v>
      </c>
    </row>
    <row r="489" spans="1:3" x14ac:dyDescent="0.45">
      <c r="A489" s="2">
        <v>32264</v>
      </c>
      <c r="B489" s="3">
        <v>5.6</v>
      </c>
      <c r="C489" s="4">
        <v>0.19999999999999929</v>
      </c>
    </row>
    <row r="490" spans="1:3" x14ac:dyDescent="0.45">
      <c r="A490" s="2">
        <v>32295</v>
      </c>
      <c r="B490" s="3">
        <v>5.4</v>
      </c>
      <c r="C490" s="4">
        <v>-0.19999999999999929</v>
      </c>
    </row>
    <row r="491" spans="1:3" x14ac:dyDescent="0.45">
      <c r="A491" s="2">
        <v>32325</v>
      </c>
      <c r="B491" s="3">
        <v>5.4</v>
      </c>
      <c r="C491" s="4">
        <v>0</v>
      </c>
    </row>
    <row r="492" spans="1:3" x14ac:dyDescent="0.45">
      <c r="A492" s="2">
        <v>32356</v>
      </c>
      <c r="B492" s="3">
        <v>5.6</v>
      </c>
      <c r="C492" s="4">
        <v>0.19999999999999929</v>
      </c>
    </row>
    <row r="493" spans="1:3" x14ac:dyDescent="0.45">
      <c r="A493" s="2">
        <v>32387</v>
      </c>
      <c r="B493" s="3">
        <v>5.4</v>
      </c>
      <c r="C493" s="4">
        <v>-0.19999999999999929</v>
      </c>
    </row>
    <row r="494" spans="1:3" x14ac:dyDescent="0.45">
      <c r="A494" s="2">
        <v>32417</v>
      </c>
      <c r="B494" s="3">
        <v>5.4</v>
      </c>
      <c r="C494" s="4">
        <v>0</v>
      </c>
    </row>
    <row r="495" spans="1:3" x14ac:dyDescent="0.45">
      <c r="A495" s="2">
        <v>32448</v>
      </c>
      <c r="B495" s="3">
        <v>5.3</v>
      </c>
      <c r="C495" s="4">
        <v>-0.10000000000000053</v>
      </c>
    </row>
    <row r="496" spans="1:3" x14ac:dyDescent="0.45">
      <c r="A496" s="2">
        <v>32478</v>
      </c>
      <c r="B496" s="3">
        <v>5.3</v>
      </c>
      <c r="C496" s="4">
        <v>0</v>
      </c>
    </row>
    <row r="497" spans="1:3" x14ac:dyDescent="0.45">
      <c r="A497" s="2">
        <v>32509</v>
      </c>
      <c r="B497" s="3">
        <v>5.4</v>
      </c>
      <c r="C497" s="4">
        <v>0.10000000000000053</v>
      </c>
    </row>
    <row r="498" spans="1:3" x14ac:dyDescent="0.45">
      <c r="A498" s="2">
        <v>32540</v>
      </c>
      <c r="B498" s="3">
        <v>5.2</v>
      </c>
      <c r="C498" s="4">
        <v>-0.20000000000000018</v>
      </c>
    </row>
    <row r="499" spans="1:3" x14ac:dyDescent="0.45">
      <c r="A499" s="2">
        <v>32568</v>
      </c>
      <c r="B499" s="3">
        <v>5</v>
      </c>
      <c r="C499" s="4">
        <v>-0.20000000000000018</v>
      </c>
    </row>
    <row r="500" spans="1:3" x14ac:dyDescent="0.45">
      <c r="A500" s="2">
        <v>32599</v>
      </c>
      <c r="B500" s="3">
        <v>5.2</v>
      </c>
      <c r="C500" s="4">
        <v>0.20000000000000018</v>
      </c>
    </row>
    <row r="501" spans="1:3" x14ac:dyDescent="0.45">
      <c r="A501" s="2">
        <v>32629</v>
      </c>
      <c r="B501" s="3">
        <v>5.2</v>
      </c>
      <c r="C501" s="4">
        <v>0</v>
      </c>
    </row>
    <row r="502" spans="1:3" x14ac:dyDescent="0.45">
      <c r="A502" s="2">
        <v>32660</v>
      </c>
      <c r="B502" s="3">
        <v>5.3</v>
      </c>
      <c r="C502" s="4">
        <v>9.9999999999999645E-2</v>
      </c>
    </row>
    <row r="503" spans="1:3" x14ac:dyDescent="0.45">
      <c r="A503" s="2">
        <v>32690</v>
      </c>
      <c r="B503" s="3">
        <v>5.2</v>
      </c>
      <c r="C503" s="4">
        <v>-9.9999999999999645E-2</v>
      </c>
    </row>
    <row r="504" spans="1:3" x14ac:dyDescent="0.45">
      <c r="A504" s="2">
        <v>32721</v>
      </c>
      <c r="B504" s="3">
        <v>5.2</v>
      </c>
      <c r="C504" s="4">
        <v>0</v>
      </c>
    </row>
    <row r="505" spans="1:3" x14ac:dyDescent="0.45">
      <c r="A505" s="2">
        <v>32752</v>
      </c>
      <c r="B505" s="3">
        <v>5.3</v>
      </c>
      <c r="C505" s="4">
        <v>9.9999999999999645E-2</v>
      </c>
    </row>
    <row r="506" spans="1:3" x14ac:dyDescent="0.45">
      <c r="A506" s="2">
        <v>32782</v>
      </c>
      <c r="B506" s="3">
        <v>5.3</v>
      </c>
      <c r="C506" s="4">
        <v>0</v>
      </c>
    </row>
    <row r="507" spans="1:3" x14ac:dyDescent="0.45">
      <c r="A507" s="2">
        <v>32813</v>
      </c>
      <c r="B507" s="3">
        <v>5.4</v>
      </c>
      <c r="C507" s="4">
        <v>0.10000000000000053</v>
      </c>
    </row>
    <row r="508" spans="1:3" x14ac:dyDescent="0.45">
      <c r="A508" s="2">
        <v>32843</v>
      </c>
      <c r="B508" s="3">
        <v>5.4</v>
      </c>
      <c r="C508" s="4">
        <v>0</v>
      </c>
    </row>
    <row r="509" spans="1:3" x14ac:dyDescent="0.45">
      <c r="A509" s="2">
        <v>32874</v>
      </c>
      <c r="B509" s="3">
        <v>5.4</v>
      </c>
      <c r="C509" s="4">
        <v>0</v>
      </c>
    </row>
    <row r="510" spans="1:3" x14ac:dyDescent="0.45">
      <c r="A510" s="2">
        <v>32905</v>
      </c>
      <c r="B510" s="3">
        <v>5.3</v>
      </c>
      <c r="C510" s="4">
        <v>-0.10000000000000053</v>
      </c>
    </row>
    <row r="511" spans="1:3" x14ac:dyDescent="0.45">
      <c r="A511" s="2">
        <v>32933</v>
      </c>
      <c r="B511" s="3">
        <v>5.2</v>
      </c>
      <c r="C511" s="4">
        <v>-9.9999999999999645E-2</v>
      </c>
    </row>
    <row r="512" spans="1:3" x14ac:dyDescent="0.45">
      <c r="A512" s="2">
        <v>32964</v>
      </c>
      <c r="B512" s="3">
        <v>5.4</v>
      </c>
      <c r="C512" s="4">
        <v>0.20000000000000018</v>
      </c>
    </row>
    <row r="513" spans="1:3" x14ac:dyDescent="0.45">
      <c r="A513" s="2">
        <v>32994</v>
      </c>
      <c r="B513" s="3">
        <v>5.4</v>
      </c>
      <c r="C513" s="4">
        <v>0</v>
      </c>
    </row>
    <row r="514" spans="1:3" x14ac:dyDescent="0.45">
      <c r="A514" s="2">
        <v>33025</v>
      </c>
      <c r="B514" s="3">
        <v>5.2</v>
      </c>
      <c r="C514" s="4">
        <v>-0.20000000000000018</v>
      </c>
    </row>
    <row r="515" spans="1:3" x14ac:dyDescent="0.45">
      <c r="A515" s="2">
        <v>33055</v>
      </c>
      <c r="B515" s="3">
        <v>5.5</v>
      </c>
      <c r="C515" s="4">
        <v>0.29999999999999982</v>
      </c>
    </row>
    <row r="516" spans="1:3" x14ac:dyDescent="0.45">
      <c r="A516" s="2">
        <v>33086</v>
      </c>
      <c r="B516" s="3">
        <v>5.7</v>
      </c>
      <c r="C516" s="4">
        <v>0.20000000000000018</v>
      </c>
    </row>
    <row r="517" spans="1:3" x14ac:dyDescent="0.45">
      <c r="A517" s="2">
        <v>33117</v>
      </c>
      <c r="B517" s="3">
        <v>5.9</v>
      </c>
      <c r="C517" s="4">
        <v>0.20000000000000018</v>
      </c>
    </row>
    <row r="518" spans="1:3" x14ac:dyDescent="0.45">
      <c r="A518" s="2">
        <v>33147</v>
      </c>
      <c r="B518" s="3">
        <v>5.9</v>
      </c>
      <c r="C518" s="4">
        <v>0</v>
      </c>
    </row>
    <row r="519" spans="1:3" x14ac:dyDescent="0.45">
      <c r="A519" s="2">
        <v>33178</v>
      </c>
      <c r="B519" s="3">
        <v>6.2</v>
      </c>
      <c r="C519" s="4">
        <v>0.29999999999999982</v>
      </c>
    </row>
    <row r="520" spans="1:3" x14ac:dyDescent="0.45">
      <c r="A520" s="2">
        <v>33208</v>
      </c>
      <c r="B520" s="3">
        <v>6.3</v>
      </c>
      <c r="C520" s="4">
        <v>9.9999999999999645E-2</v>
      </c>
    </row>
    <row r="521" spans="1:3" x14ac:dyDescent="0.45">
      <c r="A521" s="2">
        <v>33239</v>
      </c>
      <c r="B521" s="3">
        <v>6.4</v>
      </c>
      <c r="C521" s="4">
        <v>0.10000000000000053</v>
      </c>
    </row>
    <row r="522" spans="1:3" x14ac:dyDescent="0.45">
      <c r="A522" s="2">
        <v>33270</v>
      </c>
      <c r="B522" s="3">
        <v>6.6</v>
      </c>
      <c r="C522" s="4">
        <v>0.19999999999999929</v>
      </c>
    </row>
    <row r="523" spans="1:3" x14ac:dyDescent="0.45">
      <c r="A523" s="2">
        <v>33298</v>
      </c>
      <c r="B523" s="3">
        <v>6.8</v>
      </c>
      <c r="C523" s="4">
        <v>0.20000000000000018</v>
      </c>
    </row>
    <row r="524" spans="1:3" x14ac:dyDescent="0.45">
      <c r="A524" s="2">
        <v>33329</v>
      </c>
      <c r="B524" s="3">
        <v>6.7</v>
      </c>
      <c r="C524" s="4">
        <v>-9.9999999999999645E-2</v>
      </c>
    </row>
    <row r="525" spans="1:3" x14ac:dyDescent="0.45">
      <c r="A525" s="2">
        <v>33359</v>
      </c>
      <c r="B525" s="3">
        <v>6.9</v>
      </c>
      <c r="C525" s="4">
        <v>0.20000000000000018</v>
      </c>
    </row>
    <row r="526" spans="1:3" x14ac:dyDescent="0.45">
      <c r="A526" s="2">
        <v>33390</v>
      </c>
      <c r="B526" s="3">
        <v>6.9</v>
      </c>
      <c r="C526" s="4">
        <v>0</v>
      </c>
    </row>
    <row r="527" spans="1:3" x14ac:dyDescent="0.45">
      <c r="A527" s="2">
        <v>33420</v>
      </c>
      <c r="B527" s="3">
        <v>6.8</v>
      </c>
      <c r="C527" s="4">
        <v>-0.10000000000000053</v>
      </c>
    </row>
    <row r="528" spans="1:3" x14ac:dyDescent="0.45">
      <c r="A528" s="2">
        <v>33451</v>
      </c>
      <c r="B528" s="3">
        <v>6.9</v>
      </c>
      <c r="C528" s="4">
        <v>0.10000000000000053</v>
      </c>
    </row>
    <row r="529" spans="1:3" x14ac:dyDescent="0.45">
      <c r="A529" s="2">
        <v>33482</v>
      </c>
      <c r="B529" s="3">
        <v>6.9</v>
      </c>
      <c r="C529" s="4">
        <v>0</v>
      </c>
    </row>
    <row r="530" spans="1:3" x14ac:dyDescent="0.45">
      <c r="A530" s="2">
        <v>33512</v>
      </c>
      <c r="B530" s="3">
        <v>7</v>
      </c>
      <c r="C530" s="4">
        <v>9.9999999999999645E-2</v>
      </c>
    </row>
    <row r="531" spans="1:3" x14ac:dyDescent="0.45">
      <c r="A531" s="2">
        <v>33543</v>
      </c>
      <c r="B531" s="3">
        <v>7</v>
      </c>
      <c r="C531" s="4">
        <v>0</v>
      </c>
    </row>
    <row r="532" spans="1:3" x14ac:dyDescent="0.45">
      <c r="A532" s="2">
        <v>33573</v>
      </c>
      <c r="B532" s="3">
        <v>7.3</v>
      </c>
      <c r="C532" s="4">
        <v>0.29999999999999982</v>
      </c>
    </row>
    <row r="533" spans="1:3" x14ac:dyDescent="0.45">
      <c r="A533" s="2">
        <v>33604</v>
      </c>
      <c r="B533" s="3">
        <v>7.3</v>
      </c>
      <c r="C533" s="4">
        <v>0</v>
      </c>
    </row>
    <row r="534" spans="1:3" x14ac:dyDescent="0.45">
      <c r="A534" s="2">
        <v>33635</v>
      </c>
      <c r="B534" s="3">
        <v>7.4</v>
      </c>
      <c r="C534" s="4">
        <v>0.10000000000000053</v>
      </c>
    </row>
    <row r="535" spans="1:3" x14ac:dyDescent="0.45">
      <c r="A535" s="2">
        <v>33664</v>
      </c>
      <c r="B535" s="3">
        <v>7.4</v>
      </c>
      <c r="C535" s="4">
        <v>0</v>
      </c>
    </row>
    <row r="536" spans="1:3" x14ac:dyDescent="0.45">
      <c r="A536" s="2">
        <v>33695</v>
      </c>
      <c r="B536" s="3">
        <v>7.4</v>
      </c>
      <c r="C536" s="4">
        <v>0</v>
      </c>
    </row>
    <row r="537" spans="1:3" x14ac:dyDescent="0.45">
      <c r="A537" s="2">
        <v>33725</v>
      </c>
      <c r="B537" s="3">
        <v>7.6</v>
      </c>
      <c r="C537" s="4">
        <v>0.19999999999999929</v>
      </c>
    </row>
    <row r="538" spans="1:3" x14ac:dyDescent="0.45">
      <c r="A538" s="2">
        <v>33756</v>
      </c>
      <c r="B538" s="3">
        <v>7.8</v>
      </c>
      <c r="C538" s="4">
        <v>0.20000000000000018</v>
      </c>
    </row>
    <row r="539" spans="1:3" x14ac:dyDescent="0.45">
      <c r="A539" s="2">
        <v>33786</v>
      </c>
      <c r="B539" s="3">
        <v>7.7</v>
      </c>
      <c r="C539" s="4">
        <v>-9.9999999999999645E-2</v>
      </c>
    </row>
    <row r="540" spans="1:3" x14ac:dyDescent="0.45">
      <c r="A540" s="2">
        <v>33817</v>
      </c>
      <c r="B540" s="3">
        <v>7.6</v>
      </c>
      <c r="C540" s="4">
        <v>-0.10000000000000053</v>
      </c>
    </row>
    <row r="541" spans="1:3" x14ac:dyDescent="0.45">
      <c r="A541" s="2">
        <v>33848</v>
      </c>
      <c r="B541" s="3">
        <v>7.6</v>
      </c>
      <c r="C541" s="4">
        <v>0</v>
      </c>
    </row>
    <row r="542" spans="1:3" x14ac:dyDescent="0.45">
      <c r="A542" s="2">
        <v>33878</v>
      </c>
      <c r="B542" s="3">
        <v>7.3</v>
      </c>
      <c r="C542" s="4">
        <v>-0.29999999999999982</v>
      </c>
    </row>
    <row r="543" spans="1:3" x14ac:dyDescent="0.45">
      <c r="A543" s="2">
        <v>33909</v>
      </c>
      <c r="B543" s="3">
        <v>7.4</v>
      </c>
      <c r="C543" s="4">
        <v>0.10000000000000053</v>
      </c>
    </row>
    <row r="544" spans="1:3" x14ac:dyDescent="0.45">
      <c r="A544" s="2">
        <v>33939</v>
      </c>
      <c r="B544" s="3">
        <v>7.4</v>
      </c>
      <c r="C544" s="4">
        <v>0</v>
      </c>
    </row>
    <row r="545" spans="1:3" x14ac:dyDescent="0.45">
      <c r="A545" s="2">
        <v>33970</v>
      </c>
      <c r="B545" s="3">
        <v>7.3</v>
      </c>
      <c r="C545" s="4">
        <v>-0.10000000000000053</v>
      </c>
    </row>
    <row r="546" spans="1:3" x14ac:dyDescent="0.45">
      <c r="A546" s="2">
        <v>34001</v>
      </c>
      <c r="B546" s="3">
        <v>7.1</v>
      </c>
      <c r="C546" s="4">
        <v>-0.20000000000000018</v>
      </c>
    </row>
    <row r="547" spans="1:3" x14ac:dyDescent="0.45">
      <c r="A547" s="2">
        <v>34029</v>
      </c>
      <c r="B547" s="3">
        <v>7</v>
      </c>
      <c r="C547" s="4">
        <v>-9.9999999999999645E-2</v>
      </c>
    </row>
    <row r="548" spans="1:3" x14ac:dyDescent="0.45">
      <c r="A548" s="2">
        <v>34060</v>
      </c>
      <c r="B548" s="3">
        <v>7.1</v>
      </c>
      <c r="C548" s="4">
        <v>9.9999999999999645E-2</v>
      </c>
    </row>
    <row r="549" spans="1:3" x14ac:dyDescent="0.45">
      <c r="A549" s="2">
        <v>34090</v>
      </c>
      <c r="B549" s="3">
        <v>7.1</v>
      </c>
      <c r="C549" s="4">
        <v>0</v>
      </c>
    </row>
    <row r="550" spans="1:3" x14ac:dyDescent="0.45">
      <c r="A550" s="2">
        <v>34121</v>
      </c>
      <c r="B550" s="3">
        <v>7</v>
      </c>
      <c r="C550" s="4">
        <v>-9.9999999999999645E-2</v>
      </c>
    </row>
    <row r="551" spans="1:3" x14ac:dyDescent="0.45">
      <c r="A551" s="2">
        <v>34151</v>
      </c>
      <c r="B551" s="3">
        <v>6.9</v>
      </c>
      <c r="C551" s="4">
        <v>-9.9999999999999645E-2</v>
      </c>
    </row>
    <row r="552" spans="1:3" x14ac:dyDescent="0.45">
      <c r="A552" s="2">
        <v>34182</v>
      </c>
      <c r="B552" s="3">
        <v>6.8</v>
      </c>
      <c r="C552" s="4">
        <v>-0.10000000000000053</v>
      </c>
    </row>
    <row r="553" spans="1:3" x14ac:dyDescent="0.45">
      <c r="A553" s="2">
        <v>34213</v>
      </c>
      <c r="B553" s="3">
        <v>6.7</v>
      </c>
      <c r="C553" s="4">
        <v>-9.9999999999999645E-2</v>
      </c>
    </row>
    <row r="554" spans="1:3" x14ac:dyDescent="0.45">
      <c r="A554" s="2">
        <v>34243</v>
      </c>
      <c r="B554" s="3">
        <v>6.8</v>
      </c>
      <c r="C554" s="4">
        <v>9.9999999999999645E-2</v>
      </c>
    </row>
    <row r="555" spans="1:3" x14ac:dyDescent="0.45">
      <c r="A555" s="2">
        <v>34274</v>
      </c>
      <c r="B555" s="3">
        <v>6.6</v>
      </c>
      <c r="C555" s="4">
        <v>-0.20000000000000018</v>
      </c>
    </row>
    <row r="556" spans="1:3" x14ac:dyDescent="0.45">
      <c r="A556" s="2">
        <v>34304</v>
      </c>
      <c r="B556" s="3">
        <v>6.5</v>
      </c>
      <c r="C556" s="4">
        <v>-9.9999999999999645E-2</v>
      </c>
    </row>
    <row r="557" spans="1:3" x14ac:dyDescent="0.45">
      <c r="A557" s="2">
        <v>34335</v>
      </c>
      <c r="B557" s="3">
        <v>6.6</v>
      </c>
      <c r="C557" s="4">
        <v>9.9999999999999645E-2</v>
      </c>
    </row>
    <row r="558" spans="1:3" x14ac:dyDescent="0.45">
      <c r="A558" s="2">
        <v>34366</v>
      </c>
      <c r="B558" s="3">
        <v>6.6</v>
      </c>
      <c r="C558" s="4">
        <v>0</v>
      </c>
    </row>
    <row r="559" spans="1:3" x14ac:dyDescent="0.45">
      <c r="A559" s="2">
        <v>34394</v>
      </c>
      <c r="B559" s="3">
        <v>6.5</v>
      </c>
      <c r="C559" s="4">
        <v>-9.9999999999999645E-2</v>
      </c>
    </row>
    <row r="560" spans="1:3" x14ac:dyDescent="0.45">
      <c r="A560" s="2">
        <v>34425</v>
      </c>
      <c r="B560" s="3">
        <v>6.4</v>
      </c>
      <c r="C560" s="4">
        <v>-9.9999999999999645E-2</v>
      </c>
    </row>
    <row r="561" spans="1:3" x14ac:dyDescent="0.45">
      <c r="A561" s="2">
        <v>34455</v>
      </c>
      <c r="B561" s="3">
        <v>6.1</v>
      </c>
      <c r="C561" s="4">
        <v>-0.30000000000000071</v>
      </c>
    </row>
    <row r="562" spans="1:3" x14ac:dyDescent="0.45">
      <c r="A562" s="2">
        <v>34486</v>
      </c>
      <c r="B562" s="3">
        <v>6.1</v>
      </c>
      <c r="C562" s="4">
        <v>0</v>
      </c>
    </row>
    <row r="563" spans="1:3" x14ac:dyDescent="0.45">
      <c r="A563" s="2">
        <v>34516</v>
      </c>
      <c r="B563" s="3">
        <v>6.1</v>
      </c>
      <c r="C563" s="4">
        <v>0</v>
      </c>
    </row>
    <row r="564" spans="1:3" x14ac:dyDescent="0.45">
      <c r="A564" s="2">
        <v>34547</v>
      </c>
      <c r="B564" s="3">
        <v>6</v>
      </c>
      <c r="C564" s="4">
        <v>-9.9999999999999645E-2</v>
      </c>
    </row>
    <row r="565" spans="1:3" x14ac:dyDescent="0.45">
      <c r="A565" s="2">
        <v>34578</v>
      </c>
      <c r="B565" s="3">
        <v>5.9</v>
      </c>
      <c r="C565" s="4">
        <v>-9.9999999999999645E-2</v>
      </c>
    </row>
    <row r="566" spans="1:3" x14ac:dyDescent="0.45">
      <c r="A566" s="2">
        <v>34608</v>
      </c>
      <c r="B566" s="3">
        <v>5.8</v>
      </c>
      <c r="C566" s="4">
        <v>-0.10000000000000053</v>
      </c>
    </row>
    <row r="567" spans="1:3" x14ac:dyDescent="0.45">
      <c r="A567" s="2">
        <v>34639</v>
      </c>
      <c r="B567" s="3">
        <v>5.6</v>
      </c>
      <c r="C567" s="4">
        <v>-0.20000000000000018</v>
      </c>
    </row>
    <row r="568" spans="1:3" x14ac:dyDescent="0.45">
      <c r="A568" s="2">
        <v>34669</v>
      </c>
      <c r="B568" s="3">
        <v>5.5</v>
      </c>
      <c r="C568" s="4">
        <v>-9.9999999999999645E-2</v>
      </c>
    </row>
    <row r="569" spans="1:3" x14ac:dyDescent="0.45">
      <c r="A569" s="2">
        <v>34700</v>
      </c>
      <c r="B569" s="3">
        <v>5.6</v>
      </c>
      <c r="C569" s="4">
        <v>9.9999999999999645E-2</v>
      </c>
    </row>
    <row r="570" spans="1:3" x14ac:dyDescent="0.45">
      <c r="A570" s="2">
        <v>34731</v>
      </c>
      <c r="B570" s="3">
        <v>5.4</v>
      </c>
      <c r="C570" s="4">
        <v>-0.19999999999999929</v>
      </c>
    </row>
    <row r="571" spans="1:3" x14ac:dyDescent="0.45">
      <c r="A571" s="2">
        <v>34759</v>
      </c>
      <c r="B571" s="3">
        <v>5.4</v>
      </c>
      <c r="C571" s="4">
        <v>0</v>
      </c>
    </row>
    <row r="572" spans="1:3" x14ac:dyDescent="0.45">
      <c r="A572" s="2">
        <v>34790</v>
      </c>
      <c r="B572" s="3">
        <v>5.8</v>
      </c>
      <c r="C572" s="4">
        <v>0.39999999999999947</v>
      </c>
    </row>
    <row r="573" spans="1:3" x14ac:dyDescent="0.45">
      <c r="A573" s="2">
        <v>34820</v>
      </c>
      <c r="B573" s="3">
        <v>5.6</v>
      </c>
      <c r="C573" s="4">
        <v>-0.20000000000000018</v>
      </c>
    </row>
    <row r="574" spans="1:3" x14ac:dyDescent="0.45">
      <c r="A574" s="2">
        <v>34851</v>
      </c>
      <c r="B574" s="3">
        <v>5.6</v>
      </c>
      <c r="C574" s="4">
        <v>0</v>
      </c>
    </row>
    <row r="575" spans="1:3" x14ac:dyDescent="0.45">
      <c r="A575" s="2">
        <v>34881</v>
      </c>
      <c r="B575" s="3">
        <v>5.7</v>
      </c>
      <c r="C575" s="4">
        <v>0.10000000000000053</v>
      </c>
    </row>
    <row r="576" spans="1:3" x14ac:dyDescent="0.45">
      <c r="A576" s="2">
        <v>34912</v>
      </c>
      <c r="B576" s="3">
        <v>5.7</v>
      </c>
      <c r="C576" s="4">
        <v>0</v>
      </c>
    </row>
    <row r="577" spans="1:3" x14ac:dyDescent="0.45">
      <c r="A577" s="2">
        <v>34943</v>
      </c>
      <c r="B577" s="3">
        <v>5.6</v>
      </c>
      <c r="C577" s="4">
        <v>-0.10000000000000053</v>
      </c>
    </row>
    <row r="578" spans="1:3" x14ac:dyDescent="0.45">
      <c r="A578" s="2">
        <v>34973</v>
      </c>
      <c r="B578" s="3">
        <v>5.5</v>
      </c>
      <c r="C578" s="4">
        <v>-9.9999999999999645E-2</v>
      </c>
    </row>
    <row r="579" spans="1:3" x14ac:dyDescent="0.45">
      <c r="A579" s="2">
        <v>35004</v>
      </c>
      <c r="B579" s="3">
        <v>5.6</v>
      </c>
      <c r="C579" s="4">
        <v>9.9999999999999645E-2</v>
      </c>
    </row>
    <row r="580" spans="1:3" x14ac:dyDescent="0.45">
      <c r="A580" s="2">
        <v>35034</v>
      </c>
      <c r="B580" s="3">
        <v>5.6</v>
      </c>
      <c r="C580" s="4">
        <v>0</v>
      </c>
    </row>
    <row r="581" spans="1:3" x14ac:dyDescent="0.45">
      <c r="A581" s="2">
        <v>35065</v>
      </c>
      <c r="B581" s="3">
        <v>5.6</v>
      </c>
      <c r="C581" s="4">
        <v>0</v>
      </c>
    </row>
    <row r="582" spans="1:3" x14ac:dyDescent="0.45">
      <c r="A582" s="2">
        <v>35096</v>
      </c>
      <c r="B582" s="3">
        <v>5.5</v>
      </c>
      <c r="C582" s="4">
        <v>-9.9999999999999645E-2</v>
      </c>
    </row>
    <row r="583" spans="1:3" x14ac:dyDescent="0.45">
      <c r="A583" s="2">
        <v>35125</v>
      </c>
      <c r="B583" s="3">
        <v>5.5</v>
      </c>
      <c r="C583" s="4">
        <v>0</v>
      </c>
    </row>
    <row r="584" spans="1:3" x14ac:dyDescent="0.45">
      <c r="A584" s="2">
        <v>35156</v>
      </c>
      <c r="B584" s="3">
        <v>5.6</v>
      </c>
      <c r="C584" s="4">
        <v>9.9999999999999645E-2</v>
      </c>
    </row>
    <row r="585" spans="1:3" x14ac:dyDescent="0.45">
      <c r="A585" s="2">
        <v>35186</v>
      </c>
      <c r="B585" s="3">
        <v>5.6</v>
      </c>
      <c r="C585" s="4">
        <v>0</v>
      </c>
    </row>
    <row r="586" spans="1:3" x14ac:dyDescent="0.45">
      <c r="A586" s="2">
        <v>35217</v>
      </c>
      <c r="B586" s="3">
        <v>5.3</v>
      </c>
      <c r="C586" s="4">
        <v>-0.29999999999999982</v>
      </c>
    </row>
    <row r="587" spans="1:3" x14ac:dyDescent="0.45">
      <c r="A587" s="2">
        <v>35247</v>
      </c>
      <c r="B587" s="3">
        <v>5.5</v>
      </c>
      <c r="C587" s="4">
        <v>0.20000000000000018</v>
      </c>
    </row>
    <row r="588" spans="1:3" x14ac:dyDescent="0.45">
      <c r="A588" s="2">
        <v>35278</v>
      </c>
      <c r="B588" s="3">
        <v>5.0999999999999996</v>
      </c>
      <c r="C588" s="4">
        <v>-0.40000000000000036</v>
      </c>
    </row>
    <row r="589" spans="1:3" x14ac:dyDescent="0.45">
      <c r="A589" s="2">
        <v>35309</v>
      </c>
      <c r="B589" s="3">
        <v>5.2</v>
      </c>
      <c r="C589" s="4">
        <v>0.10000000000000053</v>
      </c>
    </row>
    <row r="590" spans="1:3" x14ac:dyDescent="0.45">
      <c r="A590" s="2">
        <v>35339</v>
      </c>
      <c r="B590" s="3">
        <v>5.2</v>
      </c>
      <c r="C590" s="4">
        <v>0</v>
      </c>
    </row>
    <row r="591" spans="1:3" x14ac:dyDescent="0.45">
      <c r="A591" s="2">
        <v>35370</v>
      </c>
      <c r="B591" s="3">
        <v>5.4</v>
      </c>
      <c r="C591" s="4">
        <v>0.20000000000000018</v>
      </c>
    </row>
    <row r="592" spans="1:3" x14ac:dyDescent="0.45">
      <c r="A592" s="2">
        <v>35400</v>
      </c>
      <c r="B592" s="3">
        <v>5.4</v>
      </c>
      <c r="C592" s="4">
        <v>0</v>
      </c>
    </row>
    <row r="593" spans="1:3" x14ac:dyDescent="0.45">
      <c r="A593" s="2">
        <v>35431</v>
      </c>
      <c r="B593" s="3">
        <v>5.3</v>
      </c>
      <c r="C593" s="4">
        <v>-0.10000000000000053</v>
      </c>
    </row>
    <row r="594" spans="1:3" x14ac:dyDescent="0.45">
      <c r="A594" s="2">
        <v>35462</v>
      </c>
      <c r="B594" s="3">
        <v>5.2</v>
      </c>
      <c r="C594" s="4">
        <v>-9.9999999999999645E-2</v>
      </c>
    </row>
    <row r="595" spans="1:3" x14ac:dyDescent="0.45">
      <c r="A595" s="2">
        <v>35490</v>
      </c>
      <c r="B595" s="3">
        <v>5.2</v>
      </c>
      <c r="C595" s="4">
        <v>0</v>
      </c>
    </row>
    <row r="596" spans="1:3" x14ac:dyDescent="0.45">
      <c r="A596" s="2">
        <v>35521</v>
      </c>
      <c r="B596" s="3">
        <v>5.0999999999999996</v>
      </c>
      <c r="C596" s="4">
        <v>-0.10000000000000053</v>
      </c>
    </row>
    <row r="597" spans="1:3" x14ac:dyDescent="0.45">
      <c r="A597" s="2">
        <v>35551</v>
      </c>
      <c r="B597" s="3">
        <v>4.9000000000000004</v>
      </c>
      <c r="C597" s="4">
        <v>-0.19999999999999929</v>
      </c>
    </row>
    <row r="598" spans="1:3" x14ac:dyDescent="0.45">
      <c r="A598" s="2">
        <v>35582</v>
      </c>
      <c r="B598" s="3">
        <v>5</v>
      </c>
      <c r="C598" s="4">
        <v>9.9999999999999645E-2</v>
      </c>
    </row>
    <row r="599" spans="1:3" x14ac:dyDescent="0.45">
      <c r="A599" s="2">
        <v>35612</v>
      </c>
      <c r="B599" s="3">
        <v>4.9000000000000004</v>
      </c>
      <c r="C599" s="4">
        <v>-9.9999999999999645E-2</v>
      </c>
    </row>
    <row r="600" spans="1:3" x14ac:dyDescent="0.45">
      <c r="A600" s="2">
        <v>35643</v>
      </c>
      <c r="B600" s="3">
        <v>4.8</v>
      </c>
      <c r="C600" s="4">
        <v>-0.10000000000000053</v>
      </c>
    </row>
    <row r="601" spans="1:3" x14ac:dyDescent="0.45">
      <c r="A601" s="2">
        <v>35674</v>
      </c>
      <c r="B601" s="3">
        <v>4.9000000000000004</v>
      </c>
      <c r="C601" s="4">
        <v>0.10000000000000053</v>
      </c>
    </row>
    <row r="602" spans="1:3" x14ac:dyDescent="0.45">
      <c r="A602" s="2">
        <v>35704</v>
      </c>
      <c r="B602" s="3">
        <v>4.7</v>
      </c>
      <c r="C602" s="4">
        <v>-0.20000000000000018</v>
      </c>
    </row>
    <row r="603" spans="1:3" x14ac:dyDescent="0.45">
      <c r="A603" s="2">
        <v>35735</v>
      </c>
      <c r="B603" s="3">
        <v>4.5999999999999996</v>
      </c>
      <c r="C603" s="4">
        <v>-0.10000000000000053</v>
      </c>
    </row>
    <row r="604" spans="1:3" x14ac:dyDescent="0.45">
      <c r="A604" s="2">
        <v>35765</v>
      </c>
      <c r="B604" s="3">
        <v>4.7</v>
      </c>
      <c r="C604" s="4">
        <v>0.10000000000000053</v>
      </c>
    </row>
    <row r="605" spans="1:3" x14ac:dyDescent="0.45">
      <c r="A605" s="2">
        <v>35796</v>
      </c>
      <c r="B605" s="3">
        <v>4.5999999999999996</v>
      </c>
      <c r="C605" s="4">
        <v>-0.10000000000000053</v>
      </c>
    </row>
    <row r="606" spans="1:3" x14ac:dyDescent="0.45">
      <c r="A606" s="2">
        <v>35827</v>
      </c>
      <c r="B606" s="3">
        <v>4.5999999999999996</v>
      </c>
      <c r="C606" s="4">
        <v>0</v>
      </c>
    </row>
    <row r="607" spans="1:3" x14ac:dyDescent="0.45">
      <c r="A607" s="2">
        <v>35855</v>
      </c>
      <c r="B607" s="3">
        <v>4.7</v>
      </c>
      <c r="C607" s="4">
        <v>0.10000000000000053</v>
      </c>
    </row>
    <row r="608" spans="1:3" x14ac:dyDescent="0.45">
      <c r="A608" s="2">
        <v>35886</v>
      </c>
      <c r="B608" s="3">
        <v>4.3</v>
      </c>
      <c r="C608" s="4">
        <v>-0.40000000000000036</v>
      </c>
    </row>
    <row r="609" spans="1:3" x14ac:dyDescent="0.45">
      <c r="A609" s="2">
        <v>35916</v>
      </c>
      <c r="B609" s="3">
        <v>4.4000000000000004</v>
      </c>
      <c r="C609" s="4">
        <v>0.10000000000000053</v>
      </c>
    </row>
    <row r="610" spans="1:3" x14ac:dyDescent="0.45">
      <c r="A610" s="2">
        <v>35947</v>
      </c>
      <c r="B610" s="3">
        <v>4.5</v>
      </c>
      <c r="C610" s="4">
        <v>9.9999999999999645E-2</v>
      </c>
    </row>
    <row r="611" spans="1:3" x14ac:dyDescent="0.45">
      <c r="A611" s="2">
        <v>35977</v>
      </c>
      <c r="B611" s="3">
        <v>4.5</v>
      </c>
      <c r="C611" s="4">
        <v>0</v>
      </c>
    </row>
    <row r="612" spans="1:3" x14ac:dyDescent="0.45">
      <c r="A612" s="2">
        <v>36008</v>
      </c>
      <c r="B612" s="3">
        <v>4.5</v>
      </c>
      <c r="C612" s="4">
        <v>0</v>
      </c>
    </row>
    <row r="613" spans="1:3" x14ac:dyDescent="0.45">
      <c r="A613" s="2">
        <v>36039</v>
      </c>
      <c r="B613" s="3">
        <v>4.5999999999999996</v>
      </c>
      <c r="C613" s="4">
        <v>9.9999999999999645E-2</v>
      </c>
    </row>
    <row r="614" spans="1:3" x14ac:dyDescent="0.45">
      <c r="A614" s="2">
        <v>36069</v>
      </c>
      <c r="B614" s="3">
        <v>4.5</v>
      </c>
      <c r="C614" s="4">
        <v>-9.9999999999999645E-2</v>
      </c>
    </row>
    <row r="615" spans="1:3" x14ac:dyDescent="0.45">
      <c r="A615" s="2">
        <v>36100</v>
      </c>
      <c r="B615" s="3">
        <v>4.4000000000000004</v>
      </c>
      <c r="C615" s="4">
        <v>-9.9999999999999645E-2</v>
      </c>
    </row>
    <row r="616" spans="1:3" x14ac:dyDescent="0.45">
      <c r="A616" s="2">
        <v>36130</v>
      </c>
      <c r="B616" s="3">
        <v>4.4000000000000004</v>
      </c>
      <c r="C616" s="4">
        <v>0</v>
      </c>
    </row>
    <row r="617" spans="1:3" x14ac:dyDescent="0.45">
      <c r="A617" s="2">
        <v>36161</v>
      </c>
      <c r="B617" s="3">
        <v>4.3</v>
      </c>
      <c r="C617" s="4">
        <v>-0.10000000000000053</v>
      </c>
    </row>
    <row r="618" spans="1:3" x14ac:dyDescent="0.45">
      <c r="A618" s="2">
        <v>36192</v>
      </c>
      <c r="B618" s="3">
        <v>4.4000000000000004</v>
      </c>
      <c r="C618" s="4">
        <v>0.10000000000000053</v>
      </c>
    </row>
    <row r="619" spans="1:3" x14ac:dyDescent="0.45">
      <c r="A619" s="2">
        <v>36220</v>
      </c>
      <c r="B619" s="3">
        <v>4.2</v>
      </c>
      <c r="C619" s="4">
        <v>-0.20000000000000018</v>
      </c>
    </row>
    <row r="620" spans="1:3" x14ac:dyDescent="0.45">
      <c r="A620" s="2">
        <v>36251</v>
      </c>
      <c r="B620" s="3">
        <v>4.3</v>
      </c>
      <c r="C620" s="4">
        <v>9.9999999999999645E-2</v>
      </c>
    </row>
    <row r="621" spans="1:3" x14ac:dyDescent="0.45">
      <c r="A621" s="2">
        <v>36281</v>
      </c>
      <c r="B621" s="3">
        <v>4.2</v>
      </c>
      <c r="C621" s="4">
        <v>-9.9999999999999645E-2</v>
      </c>
    </row>
    <row r="622" spans="1:3" x14ac:dyDescent="0.45">
      <c r="A622" s="2">
        <v>36312</v>
      </c>
      <c r="B622" s="3">
        <v>4.3</v>
      </c>
      <c r="C622" s="4">
        <v>9.9999999999999645E-2</v>
      </c>
    </row>
    <row r="623" spans="1:3" x14ac:dyDescent="0.45">
      <c r="A623" s="2">
        <v>36342</v>
      </c>
      <c r="B623" s="3">
        <v>4.3</v>
      </c>
      <c r="C623" s="4">
        <v>0</v>
      </c>
    </row>
    <row r="624" spans="1:3" x14ac:dyDescent="0.45">
      <c r="A624" s="2">
        <v>36373</v>
      </c>
      <c r="B624" s="3">
        <v>4.2</v>
      </c>
      <c r="C624" s="4">
        <v>-9.9999999999999645E-2</v>
      </c>
    </row>
    <row r="625" spans="1:3" x14ac:dyDescent="0.45">
      <c r="A625" s="2">
        <v>36404</v>
      </c>
      <c r="B625" s="3">
        <v>4.2</v>
      </c>
      <c r="C625" s="4">
        <v>0</v>
      </c>
    </row>
    <row r="626" spans="1:3" x14ac:dyDescent="0.45">
      <c r="A626" s="2">
        <v>36434</v>
      </c>
      <c r="B626" s="3">
        <v>4.0999999999999996</v>
      </c>
      <c r="C626" s="4">
        <v>-0.10000000000000053</v>
      </c>
    </row>
    <row r="627" spans="1:3" x14ac:dyDescent="0.45">
      <c r="A627" s="2">
        <v>36465</v>
      </c>
      <c r="B627" s="3">
        <v>4.0999999999999996</v>
      </c>
      <c r="C627" s="4">
        <v>0</v>
      </c>
    </row>
    <row r="628" spans="1:3" x14ac:dyDescent="0.45">
      <c r="A628" s="2">
        <v>36495</v>
      </c>
      <c r="B628" s="3">
        <v>4</v>
      </c>
      <c r="C628" s="4">
        <v>-9.9999999999999645E-2</v>
      </c>
    </row>
    <row r="629" spans="1:3" x14ac:dyDescent="0.45">
      <c r="A629" s="2">
        <v>36526</v>
      </c>
      <c r="B629" s="3">
        <v>4</v>
      </c>
      <c r="C629" s="4">
        <v>0</v>
      </c>
    </row>
    <row r="630" spans="1:3" x14ac:dyDescent="0.45">
      <c r="A630" s="2">
        <v>36557</v>
      </c>
      <c r="B630" s="3">
        <v>4.0999999999999996</v>
      </c>
      <c r="C630" s="4">
        <v>9.9999999999999645E-2</v>
      </c>
    </row>
    <row r="631" spans="1:3" x14ac:dyDescent="0.45">
      <c r="A631" s="2">
        <v>36586</v>
      </c>
      <c r="B631" s="3">
        <v>4</v>
      </c>
      <c r="C631" s="4">
        <v>-9.9999999999999645E-2</v>
      </c>
    </row>
    <row r="632" spans="1:3" x14ac:dyDescent="0.45">
      <c r="A632" s="2">
        <v>36617</v>
      </c>
      <c r="B632" s="3">
        <v>3.8</v>
      </c>
      <c r="C632" s="4">
        <v>-0.20000000000000018</v>
      </c>
    </row>
    <row r="633" spans="1:3" x14ac:dyDescent="0.45">
      <c r="A633" s="2">
        <v>36647</v>
      </c>
      <c r="B633" s="3">
        <v>4</v>
      </c>
      <c r="C633" s="4">
        <v>0.20000000000000018</v>
      </c>
    </row>
    <row r="634" spans="1:3" x14ac:dyDescent="0.45">
      <c r="A634" s="2">
        <v>36678</v>
      </c>
      <c r="B634" s="3">
        <v>4</v>
      </c>
      <c r="C634" s="4">
        <v>0</v>
      </c>
    </row>
    <row r="635" spans="1:3" x14ac:dyDescent="0.45">
      <c r="A635" s="2">
        <v>36708</v>
      </c>
      <c r="B635" s="3">
        <v>4</v>
      </c>
      <c r="C635" s="4">
        <v>0</v>
      </c>
    </row>
    <row r="636" spans="1:3" x14ac:dyDescent="0.45">
      <c r="A636" s="2">
        <v>36739</v>
      </c>
      <c r="B636" s="3">
        <v>4.0999999999999996</v>
      </c>
      <c r="C636" s="4">
        <v>9.9999999999999645E-2</v>
      </c>
    </row>
    <row r="637" spans="1:3" x14ac:dyDescent="0.45">
      <c r="A637" s="2">
        <v>36770</v>
      </c>
      <c r="B637" s="3">
        <v>3.9</v>
      </c>
      <c r="C637" s="4">
        <v>-0.19999999999999973</v>
      </c>
    </row>
    <row r="638" spans="1:3" x14ac:dyDescent="0.45">
      <c r="A638" s="2">
        <v>36800</v>
      </c>
      <c r="B638" s="3">
        <v>3.9</v>
      </c>
      <c r="C638" s="4">
        <v>0</v>
      </c>
    </row>
    <row r="639" spans="1:3" x14ac:dyDescent="0.45">
      <c r="A639" s="2">
        <v>36831</v>
      </c>
      <c r="B639" s="3">
        <v>3.9</v>
      </c>
      <c r="C639" s="4">
        <v>0</v>
      </c>
    </row>
    <row r="640" spans="1:3" x14ac:dyDescent="0.45">
      <c r="A640" s="2">
        <v>36861</v>
      </c>
      <c r="B640" s="3">
        <v>3.9</v>
      </c>
      <c r="C640" s="4">
        <v>0</v>
      </c>
    </row>
    <row r="641" spans="1:3" x14ac:dyDescent="0.45">
      <c r="A641" s="2">
        <v>36892</v>
      </c>
      <c r="B641" s="3">
        <v>4.2</v>
      </c>
      <c r="C641" s="4">
        <v>0.30000000000000027</v>
      </c>
    </row>
    <row r="642" spans="1:3" x14ac:dyDescent="0.45">
      <c r="A642" s="2">
        <v>36923</v>
      </c>
      <c r="B642" s="3">
        <v>4.2</v>
      </c>
      <c r="C642" s="4">
        <v>0</v>
      </c>
    </row>
    <row r="643" spans="1:3" x14ac:dyDescent="0.45">
      <c r="A643" s="2">
        <v>36951</v>
      </c>
      <c r="B643" s="3">
        <v>4.3</v>
      </c>
      <c r="C643" s="4">
        <v>9.9999999999999645E-2</v>
      </c>
    </row>
    <row r="644" spans="1:3" x14ac:dyDescent="0.45">
      <c r="A644" s="2">
        <v>36982</v>
      </c>
      <c r="B644" s="3">
        <v>4.4000000000000004</v>
      </c>
      <c r="C644" s="4">
        <v>0.10000000000000053</v>
      </c>
    </row>
    <row r="645" spans="1:3" x14ac:dyDescent="0.45">
      <c r="A645" s="2">
        <v>37012</v>
      </c>
      <c r="B645" s="3">
        <v>4.3</v>
      </c>
      <c r="C645" s="4">
        <v>-0.10000000000000053</v>
      </c>
    </row>
    <row r="646" spans="1:3" x14ac:dyDescent="0.45">
      <c r="A646" s="2">
        <v>37043</v>
      </c>
      <c r="B646" s="3">
        <v>4.5</v>
      </c>
      <c r="C646" s="4">
        <v>0.20000000000000018</v>
      </c>
    </row>
    <row r="647" spans="1:3" x14ac:dyDescent="0.45">
      <c r="A647" s="2">
        <v>37073</v>
      </c>
      <c r="B647" s="3">
        <v>4.5999999999999996</v>
      </c>
      <c r="C647" s="4">
        <v>9.9999999999999645E-2</v>
      </c>
    </row>
    <row r="648" spans="1:3" x14ac:dyDescent="0.45">
      <c r="A648" s="2">
        <v>37104</v>
      </c>
      <c r="B648" s="3">
        <v>4.9000000000000004</v>
      </c>
      <c r="C648" s="4">
        <v>0.30000000000000071</v>
      </c>
    </row>
    <row r="649" spans="1:3" x14ac:dyDescent="0.45">
      <c r="A649" s="2">
        <v>37135</v>
      </c>
      <c r="B649" s="3">
        <v>5</v>
      </c>
      <c r="C649" s="4">
        <v>9.9999999999999645E-2</v>
      </c>
    </row>
    <row r="650" spans="1:3" x14ac:dyDescent="0.45">
      <c r="A650" s="2">
        <v>37165</v>
      </c>
      <c r="B650" s="3">
        <v>5.3</v>
      </c>
      <c r="C650" s="4">
        <v>0.29999999999999982</v>
      </c>
    </row>
    <row r="651" spans="1:3" x14ac:dyDescent="0.45">
      <c r="A651" s="2">
        <v>37196</v>
      </c>
      <c r="B651" s="3">
        <v>5.5</v>
      </c>
      <c r="C651" s="4">
        <v>0.20000000000000018</v>
      </c>
    </row>
    <row r="652" spans="1:3" x14ac:dyDescent="0.45">
      <c r="A652" s="2">
        <v>37226</v>
      </c>
      <c r="B652" s="3">
        <v>5.7</v>
      </c>
      <c r="C652" s="4">
        <v>0.20000000000000018</v>
      </c>
    </row>
    <row r="653" spans="1:3" x14ac:dyDescent="0.45">
      <c r="A653" s="2">
        <v>37257</v>
      </c>
      <c r="B653" s="3">
        <v>5.7</v>
      </c>
      <c r="C653" s="4">
        <v>0</v>
      </c>
    </row>
    <row r="654" spans="1:3" x14ac:dyDescent="0.45">
      <c r="A654" s="2">
        <v>37288</v>
      </c>
      <c r="B654" s="3">
        <v>5.7</v>
      </c>
      <c r="C654" s="4">
        <v>0</v>
      </c>
    </row>
    <row r="655" spans="1:3" x14ac:dyDescent="0.45">
      <c r="A655" s="2">
        <v>37316</v>
      </c>
      <c r="B655" s="3">
        <v>5.7</v>
      </c>
      <c r="C655" s="4">
        <v>0</v>
      </c>
    </row>
    <row r="656" spans="1:3" x14ac:dyDescent="0.45">
      <c r="A656" s="2">
        <v>37347</v>
      </c>
      <c r="B656" s="3">
        <v>5.9</v>
      </c>
      <c r="C656" s="4">
        <v>0.20000000000000018</v>
      </c>
    </row>
    <row r="657" spans="1:3" x14ac:dyDescent="0.45">
      <c r="A657" s="2">
        <v>37377</v>
      </c>
      <c r="B657" s="3">
        <v>5.8</v>
      </c>
      <c r="C657" s="4">
        <v>-0.10000000000000053</v>
      </c>
    </row>
    <row r="658" spans="1:3" x14ac:dyDescent="0.45">
      <c r="A658" s="2">
        <v>37408</v>
      </c>
      <c r="B658" s="3">
        <v>5.8</v>
      </c>
      <c r="C658" s="4">
        <v>0</v>
      </c>
    </row>
    <row r="659" spans="1:3" x14ac:dyDescent="0.45">
      <c r="A659" s="2">
        <v>37438</v>
      </c>
      <c r="B659" s="3">
        <v>5.8</v>
      </c>
      <c r="C659" s="4">
        <v>0</v>
      </c>
    </row>
    <row r="660" spans="1:3" x14ac:dyDescent="0.45">
      <c r="A660" s="2">
        <v>37469</v>
      </c>
      <c r="B660" s="3">
        <v>5.7</v>
      </c>
      <c r="C660" s="4">
        <v>-9.9999999999999645E-2</v>
      </c>
    </row>
    <row r="661" spans="1:3" x14ac:dyDescent="0.45">
      <c r="A661" s="2">
        <v>37500</v>
      </c>
      <c r="B661" s="3">
        <v>5.7</v>
      </c>
      <c r="C661" s="4">
        <v>0</v>
      </c>
    </row>
    <row r="662" spans="1:3" x14ac:dyDescent="0.45">
      <c r="A662" s="2">
        <v>37530</v>
      </c>
      <c r="B662" s="3">
        <v>5.7</v>
      </c>
      <c r="C662" s="4">
        <v>0</v>
      </c>
    </row>
    <row r="663" spans="1:3" x14ac:dyDescent="0.45">
      <c r="A663" s="2">
        <v>37561</v>
      </c>
      <c r="B663" s="3">
        <v>5.9</v>
      </c>
      <c r="C663" s="4">
        <v>0.20000000000000018</v>
      </c>
    </row>
    <row r="664" spans="1:3" x14ac:dyDescent="0.45">
      <c r="A664" s="2">
        <v>37591</v>
      </c>
      <c r="B664" s="3">
        <v>6</v>
      </c>
      <c r="C664" s="4">
        <v>9.9999999999999645E-2</v>
      </c>
    </row>
    <row r="665" spans="1:3" x14ac:dyDescent="0.45">
      <c r="A665" s="2">
        <v>37622</v>
      </c>
      <c r="B665" s="3">
        <v>5.8</v>
      </c>
      <c r="C665" s="4">
        <v>-0.20000000000000018</v>
      </c>
    </row>
    <row r="666" spans="1:3" x14ac:dyDescent="0.45">
      <c r="A666" s="2">
        <v>37653</v>
      </c>
      <c r="B666" s="3">
        <v>5.9</v>
      </c>
      <c r="C666" s="4">
        <v>0.10000000000000053</v>
      </c>
    </row>
    <row r="667" spans="1:3" x14ac:dyDescent="0.45">
      <c r="A667" s="2">
        <v>37681</v>
      </c>
      <c r="B667" s="3">
        <v>5.9</v>
      </c>
      <c r="C667" s="4">
        <v>0</v>
      </c>
    </row>
    <row r="668" spans="1:3" x14ac:dyDescent="0.45">
      <c r="A668" s="2">
        <v>37712</v>
      </c>
      <c r="B668" s="3">
        <v>6</v>
      </c>
      <c r="C668" s="4">
        <v>9.9999999999999645E-2</v>
      </c>
    </row>
    <row r="669" spans="1:3" x14ac:dyDescent="0.45">
      <c r="A669" s="2">
        <v>37742</v>
      </c>
      <c r="B669" s="3">
        <v>6.1</v>
      </c>
      <c r="C669" s="4">
        <v>9.9999999999999645E-2</v>
      </c>
    </row>
    <row r="670" spans="1:3" x14ac:dyDescent="0.45">
      <c r="A670" s="2">
        <v>37773</v>
      </c>
      <c r="B670" s="3">
        <v>6.3</v>
      </c>
      <c r="C670" s="4">
        <v>0.20000000000000018</v>
      </c>
    </row>
    <row r="671" spans="1:3" x14ac:dyDescent="0.45">
      <c r="A671" s="2">
        <v>37803</v>
      </c>
      <c r="B671" s="3">
        <v>6.2</v>
      </c>
      <c r="C671" s="4">
        <v>-9.9999999999999645E-2</v>
      </c>
    </row>
    <row r="672" spans="1:3" x14ac:dyDescent="0.45">
      <c r="A672" s="2">
        <v>37834</v>
      </c>
      <c r="B672" s="3">
        <v>6.1</v>
      </c>
      <c r="C672" s="4">
        <v>-0.10000000000000053</v>
      </c>
    </row>
    <row r="673" spans="1:3" x14ac:dyDescent="0.45">
      <c r="A673" s="2">
        <v>37865</v>
      </c>
      <c r="B673" s="3">
        <v>6.1</v>
      </c>
      <c r="C673" s="4">
        <v>0</v>
      </c>
    </row>
    <row r="674" spans="1:3" x14ac:dyDescent="0.45">
      <c r="A674" s="2">
        <v>37895</v>
      </c>
      <c r="B674" s="3">
        <v>6</v>
      </c>
      <c r="C674" s="4">
        <v>-9.9999999999999645E-2</v>
      </c>
    </row>
    <row r="675" spans="1:3" x14ac:dyDescent="0.45">
      <c r="A675" s="2">
        <v>37926</v>
      </c>
      <c r="B675" s="3">
        <v>5.8</v>
      </c>
      <c r="C675" s="4">
        <v>-0.20000000000000018</v>
      </c>
    </row>
    <row r="676" spans="1:3" x14ac:dyDescent="0.45">
      <c r="A676" s="2">
        <v>37956</v>
      </c>
      <c r="B676" s="3">
        <v>5.7</v>
      </c>
      <c r="C676" s="4">
        <v>-9.9999999999999645E-2</v>
      </c>
    </row>
    <row r="677" spans="1:3" x14ac:dyDescent="0.45">
      <c r="A677" s="2">
        <v>37987</v>
      </c>
      <c r="B677" s="3">
        <v>5.7</v>
      </c>
      <c r="C677" s="4">
        <v>0</v>
      </c>
    </row>
    <row r="678" spans="1:3" x14ac:dyDescent="0.45">
      <c r="A678" s="2">
        <v>38018</v>
      </c>
      <c r="B678" s="3">
        <v>5.6</v>
      </c>
      <c r="C678" s="4">
        <v>-0.10000000000000053</v>
      </c>
    </row>
    <row r="679" spans="1:3" x14ac:dyDescent="0.45">
      <c r="A679" s="2">
        <v>38047</v>
      </c>
      <c r="B679" s="3">
        <v>5.8</v>
      </c>
      <c r="C679" s="4">
        <v>0.20000000000000018</v>
      </c>
    </row>
    <row r="680" spans="1:3" x14ac:dyDescent="0.45">
      <c r="A680" s="2">
        <v>38078</v>
      </c>
      <c r="B680" s="3">
        <v>5.6</v>
      </c>
      <c r="C680" s="4">
        <v>-0.20000000000000018</v>
      </c>
    </row>
    <row r="681" spans="1:3" x14ac:dyDescent="0.45">
      <c r="A681" s="2">
        <v>38108</v>
      </c>
      <c r="B681" s="3">
        <v>5.6</v>
      </c>
      <c r="C681" s="4">
        <v>0</v>
      </c>
    </row>
    <row r="682" spans="1:3" x14ac:dyDescent="0.45">
      <c r="A682" s="2">
        <v>38139</v>
      </c>
      <c r="B682" s="3">
        <v>5.6</v>
      </c>
      <c r="C682" s="4">
        <v>0</v>
      </c>
    </row>
    <row r="683" spans="1:3" x14ac:dyDescent="0.45">
      <c r="A683" s="2">
        <v>38169</v>
      </c>
      <c r="B683" s="3">
        <v>5.5</v>
      </c>
      <c r="C683" s="4">
        <v>-9.9999999999999645E-2</v>
      </c>
    </row>
    <row r="684" spans="1:3" x14ac:dyDescent="0.45">
      <c r="A684" s="2">
        <v>38200</v>
      </c>
      <c r="B684" s="3">
        <v>5.4</v>
      </c>
      <c r="C684" s="4">
        <v>-9.9999999999999645E-2</v>
      </c>
    </row>
    <row r="685" spans="1:3" x14ac:dyDescent="0.45">
      <c r="A685" s="2">
        <v>38231</v>
      </c>
      <c r="B685" s="3">
        <v>5.4</v>
      </c>
      <c r="C685" s="4">
        <v>0</v>
      </c>
    </row>
    <row r="686" spans="1:3" x14ac:dyDescent="0.45">
      <c r="A686" s="2">
        <v>38261</v>
      </c>
      <c r="B686" s="3">
        <v>5.5</v>
      </c>
      <c r="C686" s="4">
        <v>9.9999999999999645E-2</v>
      </c>
    </row>
    <row r="687" spans="1:3" x14ac:dyDescent="0.45">
      <c r="A687" s="2">
        <v>38292</v>
      </c>
      <c r="B687" s="3">
        <v>5.4</v>
      </c>
      <c r="C687" s="4">
        <v>-9.9999999999999645E-2</v>
      </c>
    </row>
    <row r="688" spans="1:3" x14ac:dyDescent="0.45">
      <c r="A688" s="2">
        <v>38322</v>
      </c>
      <c r="B688" s="3">
        <v>5.4</v>
      </c>
      <c r="C688" s="4">
        <v>0</v>
      </c>
    </row>
    <row r="689" spans="1:3" x14ac:dyDescent="0.45">
      <c r="A689" s="2">
        <v>38353</v>
      </c>
      <c r="B689" s="3">
        <v>5.3</v>
      </c>
      <c r="C689" s="4">
        <v>-0.10000000000000053</v>
      </c>
    </row>
    <row r="690" spans="1:3" x14ac:dyDescent="0.45">
      <c r="A690" s="2">
        <v>38384</v>
      </c>
      <c r="B690" s="3">
        <v>5.4</v>
      </c>
      <c r="C690" s="4">
        <v>0.10000000000000053</v>
      </c>
    </row>
    <row r="691" spans="1:3" x14ac:dyDescent="0.45">
      <c r="A691" s="2">
        <v>38412</v>
      </c>
      <c r="B691" s="3">
        <v>5.2</v>
      </c>
      <c r="C691" s="4">
        <v>-0.20000000000000018</v>
      </c>
    </row>
    <row r="692" spans="1:3" x14ac:dyDescent="0.45">
      <c r="A692" s="2">
        <v>38443</v>
      </c>
      <c r="B692" s="3">
        <v>5.2</v>
      </c>
      <c r="C692" s="4">
        <v>0</v>
      </c>
    </row>
    <row r="693" spans="1:3" x14ac:dyDescent="0.45">
      <c r="A693" s="2">
        <v>38473</v>
      </c>
      <c r="B693" s="3">
        <v>5.0999999999999996</v>
      </c>
      <c r="C693" s="4">
        <v>-0.10000000000000053</v>
      </c>
    </row>
    <row r="694" spans="1:3" x14ac:dyDescent="0.45">
      <c r="A694" s="2">
        <v>38504</v>
      </c>
      <c r="B694" s="3">
        <v>5</v>
      </c>
      <c r="C694" s="4">
        <v>-9.9999999999999645E-2</v>
      </c>
    </row>
    <row r="695" spans="1:3" x14ac:dyDescent="0.45">
      <c r="A695" s="2">
        <v>38534</v>
      </c>
      <c r="B695" s="3">
        <v>5</v>
      </c>
      <c r="C695" s="4">
        <v>0</v>
      </c>
    </row>
    <row r="696" spans="1:3" x14ac:dyDescent="0.45">
      <c r="A696" s="2">
        <v>38565</v>
      </c>
      <c r="B696" s="3">
        <v>4.9000000000000004</v>
      </c>
      <c r="C696" s="4">
        <v>-9.9999999999999645E-2</v>
      </c>
    </row>
    <row r="697" spans="1:3" x14ac:dyDescent="0.45">
      <c r="A697" s="2">
        <v>38596</v>
      </c>
      <c r="B697" s="3">
        <v>5</v>
      </c>
      <c r="C697" s="4">
        <v>9.9999999999999645E-2</v>
      </c>
    </row>
    <row r="698" spans="1:3" x14ac:dyDescent="0.45">
      <c r="A698" s="2">
        <v>38626</v>
      </c>
      <c r="B698" s="3">
        <v>5</v>
      </c>
      <c r="C698" s="4">
        <v>0</v>
      </c>
    </row>
    <row r="699" spans="1:3" x14ac:dyDescent="0.45">
      <c r="A699" s="2">
        <v>38657</v>
      </c>
      <c r="B699" s="3">
        <v>5</v>
      </c>
      <c r="C699" s="4">
        <v>0</v>
      </c>
    </row>
    <row r="700" spans="1:3" x14ac:dyDescent="0.45">
      <c r="A700" s="2">
        <v>38687</v>
      </c>
      <c r="B700" s="3">
        <v>4.9000000000000004</v>
      </c>
      <c r="C700" s="4">
        <v>-9.9999999999999645E-2</v>
      </c>
    </row>
    <row r="701" spans="1:3" x14ac:dyDescent="0.45">
      <c r="A701" s="2">
        <v>38718</v>
      </c>
      <c r="B701" s="3">
        <v>4.7</v>
      </c>
      <c r="C701" s="4">
        <v>-0.20000000000000018</v>
      </c>
    </row>
    <row r="702" spans="1:3" x14ac:dyDescent="0.45">
      <c r="A702" s="2">
        <v>38749</v>
      </c>
      <c r="B702" s="3">
        <v>4.8</v>
      </c>
      <c r="C702" s="4">
        <v>9.9999999999999645E-2</v>
      </c>
    </row>
    <row r="703" spans="1:3" x14ac:dyDescent="0.45">
      <c r="A703" s="2">
        <v>38777</v>
      </c>
      <c r="B703" s="3">
        <v>4.7</v>
      </c>
      <c r="C703" s="4">
        <v>-9.9999999999999645E-2</v>
      </c>
    </row>
    <row r="704" spans="1:3" x14ac:dyDescent="0.45">
      <c r="A704" s="2">
        <v>38808</v>
      </c>
      <c r="B704" s="3">
        <v>4.7</v>
      </c>
      <c r="C704" s="4">
        <v>0</v>
      </c>
    </row>
    <row r="705" spans="1:3" x14ac:dyDescent="0.45">
      <c r="A705" s="2">
        <v>38838</v>
      </c>
      <c r="B705" s="3">
        <v>4.5999999999999996</v>
      </c>
      <c r="C705" s="4">
        <v>-0.10000000000000053</v>
      </c>
    </row>
    <row r="706" spans="1:3" x14ac:dyDescent="0.45">
      <c r="A706" s="2">
        <v>38869</v>
      </c>
      <c r="B706" s="3">
        <v>4.5999999999999996</v>
      </c>
      <c r="C706" s="4">
        <v>0</v>
      </c>
    </row>
    <row r="707" spans="1:3" x14ac:dyDescent="0.45">
      <c r="A707" s="2">
        <v>38899</v>
      </c>
      <c r="B707" s="3">
        <v>4.7</v>
      </c>
      <c r="C707" s="4">
        <v>0.10000000000000053</v>
      </c>
    </row>
    <row r="708" spans="1:3" x14ac:dyDescent="0.45">
      <c r="A708" s="2">
        <v>38930</v>
      </c>
      <c r="B708" s="3">
        <v>4.7</v>
      </c>
      <c r="C708" s="4">
        <v>0</v>
      </c>
    </row>
    <row r="709" spans="1:3" x14ac:dyDescent="0.45">
      <c r="A709" s="2">
        <v>38961</v>
      </c>
      <c r="B709" s="3">
        <v>4.5</v>
      </c>
      <c r="C709" s="4">
        <v>-0.20000000000000018</v>
      </c>
    </row>
    <row r="710" spans="1:3" x14ac:dyDescent="0.45">
      <c r="A710" s="2">
        <v>38991</v>
      </c>
      <c r="B710" s="3">
        <v>4.4000000000000004</v>
      </c>
      <c r="C710" s="4">
        <v>-9.9999999999999645E-2</v>
      </c>
    </row>
    <row r="711" spans="1:3" x14ac:dyDescent="0.45">
      <c r="A711" s="2">
        <v>39022</v>
      </c>
      <c r="B711" s="3">
        <v>4.5</v>
      </c>
      <c r="C711" s="4">
        <v>9.9999999999999645E-2</v>
      </c>
    </row>
    <row r="712" spans="1:3" x14ac:dyDescent="0.45">
      <c r="A712" s="2">
        <v>39052</v>
      </c>
      <c r="B712" s="3">
        <v>4.4000000000000004</v>
      </c>
      <c r="C712" s="4">
        <v>-9.9999999999999645E-2</v>
      </c>
    </row>
    <row r="713" spans="1:3" x14ac:dyDescent="0.45">
      <c r="A713" s="2">
        <v>39083</v>
      </c>
      <c r="B713" s="3">
        <v>4.5999999999999996</v>
      </c>
      <c r="C713" s="4">
        <v>0.19999999999999929</v>
      </c>
    </row>
    <row r="714" spans="1:3" x14ac:dyDescent="0.45">
      <c r="A714" s="2">
        <v>39114</v>
      </c>
      <c r="B714" s="3">
        <v>4.5</v>
      </c>
      <c r="C714" s="4">
        <v>-9.9999999999999645E-2</v>
      </c>
    </row>
    <row r="715" spans="1:3" x14ac:dyDescent="0.45">
      <c r="A715" s="2">
        <v>39142</v>
      </c>
      <c r="B715" s="3">
        <v>4.4000000000000004</v>
      </c>
      <c r="C715" s="4">
        <v>-9.9999999999999645E-2</v>
      </c>
    </row>
    <row r="716" spans="1:3" x14ac:dyDescent="0.45">
      <c r="A716" s="2">
        <v>39173</v>
      </c>
      <c r="B716" s="3">
        <v>4.5</v>
      </c>
      <c r="C716" s="4">
        <v>9.9999999999999645E-2</v>
      </c>
    </row>
    <row r="717" spans="1:3" x14ac:dyDescent="0.45">
      <c r="A717" s="2">
        <v>39203</v>
      </c>
      <c r="B717" s="3">
        <v>4.4000000000000004</v>
      </c>
      <c r="C717" s="4">
        <v>-9.9999999999999645E-2</v>
      </c>
    </row>
    <row r="718" spans="1:3" x14ac:dyDescent="0.45">
      <c r="A718" s="2">
        <v>39234</v>
      </c>
      <c r="B718" s="3">
        <v>4.5999999999999996</v>
      </c>
      <c r="C718" s="4">
        <v>0.19999999999999929</v>
      </c>
    </row>
    <row r="719" spans="1:3" x14ac:dyDescent="0.45">
      <c r="A719" s="2">
        <v>39264</v>
      </c>
      <c r="B719" s="3">
        <v>4.7</v>
      </c>
      <c r="C719" s="4">
        <v>0.10000000000000053</v>
      </c>
    </row>
    <row r="720" spans="1:3" x14ac:dyDescent="0.45">
      <c r="A720" s="2">
        <v>39295</v>
      </c>
      <c r="B720" s="3">
        <v>4.5999999999999996</v>
      </c>
      <c r="C720" s="4">
        <v>-0.10000000000000053</v>
      </c>
    </row>
    <row r="721" spans="1:3" x14ac:dyDescent="0.45">
      <c r="A721" s="2">
        <v>39326</v>
      </c>
      <c r="B721" s="3">
        <v>4.7</v>
      </c>
      <c r="C721" s="4">
        <v>0.10000000000000053</v>
      </c>
    </row>
    <row r="722" spans="1:3" x14ac:dyDescent="0.45">
      <c r="A722" s="2">
        <v>39356</v>
      </c>
      <c r="B722" s="3">
        <v>4.7</v>
      </c>
      <c r="C722" s="4">
        <v>0</v>
      </c>
    </row>
    <row r="723" spans="1:3" x14ac:dyDescent="0.45">
      <c r="A723" s="2">
        <v>39387</v>
      </c>
      <c r="B723" s="3">
        <v>4.7</v>
      </c>
      <c r="C723" s="4">
        <v>0</v>
      </c>
    </row>
    <row r="724" spans="1:3" x14ac:dyDescent="0.45">
      <c r="A724" s="2">
        <v>39417</v>
      </c>
      <c r="B724" s="3">
        <v>5</v>
      </c>
      <c r="C724" s="4">
        <v>0.29999999999999982</v>
      </c>
    </row>
    <row r="725" spans="1:3" x14ac:dyDescent="0.45">
      <c r="A725" s="2">
        <v>39448</v>
      </c>
      <c r="B725" s="3">
        <v>5</v>
      </c>
      <c r="C725" s="4">
        <v>0</v>
      </c>
    </row>
    <row r="726" spans="1:3" x14ac:dyDescent="0.45">
      <c r="A726" s="2">
        <v>39479</v>
      </c>
      <c r="B726" s="3">
        <v>4.9000000000000004</v>
      </c>
      <c r="C726" s="4">
        <v>-9.9999999999999645E-2</v>
      </c>
    </row>
    <row r="727" spans="1:3" x14ac:dyDescent="0.45">
      <c r="A727" s="2">
        <v>39508</v>
      </c>
      <c r="B727" s="3">
        <v>5.0999999999999996</v>
      </c>
      <c r="C727" s="4">
        <v>0.19999999999999929</v>
      </c>
    </row>
    <row r="728" spans="1:3" x14ac:dyDescent="0.45">
      <c r="A728" s="2">
        <v>39539</v>
      </c>
      <c r="B728" s="3">
        <v>5</v>
      </c>
      <c r="C728" s="4">
        <v>-9.9999999999999645E-2</v>
      </c>
    </row>
    <row r="729" spans="1:3" x14ac:dyDescent="0.45">
      <c r="A729" s="2">
        <v>39569</v>
      </c>
      <c r="B729" s="3">
        <v>5.4</v>
      </c>
      <c r="C729" s="4">
        <v>0.40000000000000036</v>
      </c>
    </row>
    <row r="730" spans="1:3" x14ac:dyDescent="0.45">
      <c r="A730" s="2">
        <v>39600</v>
      </c>
      <c r="B730" s="3">
        <v>5.6</v>
      </c>
      <c r="C730" s="4">
        <v>0.19999999999999929</v>
      </c>
    </row>
    <row r="731" spans="1:3" x14ac:dyDescent="0.45">
      <c r="A731" s="2">
        <v>39630</v>
      </c>
      <c r="B731" s="3">
        <v>5.8</v>
      </c>
      <c r="C731" s="4">
        <v>0.20000000000000018</v>
      </c>
    </row>
    <row r="732" spans="1:3" x14ac:dyDescent="0.45">
      <c r="A732" s="2">
        <v>39661</v>
      </c>
      <c r="B732" s="3">
        <v>6.1</v>
      </c>
      <c r="C732" s="4">
        <v>0.29999999999999982</v>
      </c>
    </row>
    <row r="733" spans="1:3" x14ac:dyDescent="0.45">
      <c r="A733" s="2">
        <v>39692</v>
      </c>
      <c r="B733" s="3">
        <v>6.1</v>
      </c>
      <c r="C733" s="4">
        <v>0</v>
      </c>
    </row>
    <row r="734" spans="1:3" x14ac:dyDescent="0.45">
      <c r="A734" s="2">
        <v>39722</v>
      </c>
      <c r="B734" s="3">
        <v>6.5</v>
      </c>
      <c r="C734" s="4">
        <v>0.40000000000000036</v>
      </c>
    </row>
    <row r="735" spans="1:3" x14ac:dyDescent="0.45">
      <c r="A735" s="2">
        <v>39753</v>
      </c>
      <c r="B735" s="3">
        <v>6.8</v>
      </c>
      <c r="C735" s="4">
        <v>0.29999999999999982</v>
      </c>
    </row>
    <row r="736" spans="1:3" x14ac:dyDescent="0.45">
      <c r="A736" s="2">
        <v>39783</v>
      </c>
      <c r="B736" s="3">
        <v>7.3</v>
      </c>
      <c r="C736" s="4">
        <v>0.5</v>
      </c>
    </row>
    <row r="737" spans="1:3" x14ac:dyDescent="0.45">
      <c r="A737" s="2">
        <v>39814</v>
      </c>
      <c r="B737" s="3">
        <v>7.8</v>
      </c>
      <c r="C737" s="4">
        <v>0.5</v>
      </c>
    </row>
    <row r="738" spans="1:3" x14ac:dyDescent="0.45">
      <c r="A738" s="2">
        <v>39845</v>
      </c>
      <c r="B738" s="3">
        <v>8.3000000000000007</v>
      </c>
      <c r="C738" s="4">
        <v>0.50000000000000089</v>
      </c>
    </row>
    <row r="739" spans="1:3" x14ac:dyDescent="0.45">
      <c r="A739" s="2">
        <v>39873</v>
      </c>
      <c r="B739" s="3">
        <v>8.6999999999999993</v>
      </c>
      <c r="C739" s="4">
        <v>0.39999999999999858</v>
      </c>
    </row>
    <row r="740" spans="1:3" x14ac:dyDescent="0.45">
      <c r="A740" s="2">
        <v>39904</v>
      </c>
      <c r="B740" s="3">
        <v>9</v>
      </c>
      <c r="C740" s="4">
        <v>0.30000000000000071</v>
      </c>
    </row>
    <row r="741" spans="1:3" x14ac:dyDescent="0.45">
      <c r="A741" s="2">
        <v>39934</v>
      </c>
      <c r="B741" s="3">
        <v>9.4</v>
      </c>
      <c r="C741" s="4">
        <v>0.40000000000000036</v>
      </c>
    </row>
    <row r="742" spans="1:3" x14ac:dyDescent="0.45">
      <c r="A742" s="2">
        <v>39965</v>
      </c>
      <c r="B742" s="3">
        <v>9.5</v>
      </c>
      <c r="C742" s="4">
        <v>9.9999999999999645E-2</v>
      </c>
    </row>
    <row r="743" spans="1:3" x14ac:dyDescent="0.45">
      <c r="A743" s="2">
        <v>39995</v>
      </c>
      <c r="B743" s="3">
        <v>9.5</v>
      </c>
      <c r="C743" s="4">
        <v>0</v>
      </c>
    </row>
    <row r="744" spans="1:3" x14ac:dyDescent="0.45">
      <c r="A744" s="2">
        <v>40026</v>
      </c>
      <c r="B744" s="3">
        <v>9.6</v>
      </c>
      <c r="C744" s="4">
        <v>9.9999999999999645E-2</v>
      </c>
    </row>
    <row r="745" spans="1:3" x14ac:dyDescent="0.45">
      <c r="A745" s="2">
        <v>40057</v>
      </c>
      <c r="B745" s="3">
        <v>9.8000000000000007</v>
      </c>
      <c r="C745" s="4">
        <v>0.20000000000000107</v>
      </c>
    </row>
    <row r="746" spans="1:3" x14ac:dyDescent="0.45">
      <c r="A746" s="2">
        <v>40087</v>
      </c>
      <c r="B746" s="3">
        <v>10</v>
      </c>
      <c r="C746" s="4">
        <v>0.19999999999999929</v>
      </c>
    </row>
    <row r="747" spans="1:3" x14ac:dyDescent="0.45">
      <c r="A747" s="2">
        <v>40118</v>
      </c>
      <c r="B747" s="3">
        <v>9.9</v>
      </c>
      <c r="C747" s="4">
        <v>-9.9999999999999645E-2</v>
      </c>
    </row>
    <row r="748" spans="1:3" x14ac:dyDescent="0.45">
      <c r="A748" s="2">
        <v>40148</v>
      </c>
      <c r="B748" s="3">
        <v>9.9</v>
      </c>
      <c r="C748" s="4">
        <v>0</v>
      </c>
    </row>
    <row r="749" spans="1:3" x14ac:dyDescent="0.45">
      <c r="A749" s="2">
        <v>40179</v>
      </c>
      <c r="B749" s="3">
        <v>9.8000000000000007</v>
      </c>
      <c r="C749" s="4">
        <v>-9.9999999999999645E-2</v>
      </c>
    </row>
    <row r="750" spans="1:3" x14ac:dyDescent="0.45">
      <c r="A750" s="2">
        <v>40210</v>
      </c>
      <c r="B750" s="3">
        <v>9.8000000000000007</v>
      </c>
      <c r="C750" s="4">
        <v>0</v>
      </c>
    </row>
    <row r="751" spans="1:3" x14ac:dyDescent="0.45">
      <c r="A751" s="2">
        <v>40238</v>
      </c>
      <c r="B751" s="3">
        <v>9.9</v>
      </c>
      <c r="C751" s="4">
        <v>9.9999999999999645E-2</v>
      </c>
    </row>
    <row r="752" spans="1:3" x14ac:dyDescent="0.45">
      <c r="A752" s="2">
        <v>40269</v>
      </c>
      <c r="B752" s="3">
        <v>9.9</v>
      </c>
      <c r="C752" s="4">
        <v>0</v>
      </c>
    </row>
    <row r="753" spans="1:3" x14ac:dyDescent="0.45">
      <c r="A753" s="2">
        <v>40299</v>
      </c>
      <c r="B753" s="3">
        <v>9.6</v>
      </c>
      <c r="C753" s="4">
        <v>-0.30000000000000071</v>
      </c>
    </row>
    <row r="754" spans="1:3" x14ac:dyDescent="0.45">
      <c r="A754" s="2">
        <v>40330</v>
      </c>
      <c r="B754" s="3">
        <v>9.4</v>
      </c>
      <c r="C754" s="4">
        <v>-0.19999999999999929</v>
      </c>
    </row>
    <row r="755" spans="1:3" x14ac:dyDescent="0.45">
      <c r="A755" s="2">
        <v>40360</v>
      </c>
      <c r="B755" s="3">
        <v>9.4</v>
      </c>
      <c r="C755" s="4">
        <v>0</v>
      </c>
    </row>
    <row r="756" spans="1:3" x14ac:dyDescent="0.45">
      <c r="A756" s="2">
        <v>40391</v>
      </c>
      <c r="B756" s="3">
        <v>9.5</v>
      </c>
      <c r="C756" s="4">
        <v>9.9999999999999645E-2</v>
      </c>
    </row>
    <row r="757" spans="1:3" x14ac:dyDescent="0.45">
      <c r="A757" s="2">
        <v>40422</v>
      </c>
      <c r="B757" s="3">
        <v>9.5</v>
      </c>
      <c r="C757" s="4">
        <v>0</v>
      </c>
    </row>
    <row r="758" spans="1:3" x14ac:dyDescent="0.45">
      <c r="A758" s="2">
        <v>40452</v>
      </c>
      <c r="B758" s="3">
        <v>9.4</v>
      </c>
      <c r="C758" s="4">
        <v>-9.9999999999999645E-2</v>
      </c>
    </row>
    <row r="759" spans="1:3" x14ac:dyDescent="0.45">
      <c r="A759" s="2">
        <v>40483</v>
      </c>
      <c r="B759" s="3">
        <v>9.8000000000000007</v>
      </c>
      <c r="C759" s="4">
        <v>0.40000000000000036</v>
      </c>
    </row>
    <row r="760" spans="1:3" x14ac:dyDescent="0.45">
      <c r="A760" s="2">
        <v>40513</v>
      </c>
      <c r="B760" s="3">
        <v>9.3000000000000007</v>
      </c>
      <c r="C760" s="4">
        <v>-0.5</v>
      </c>
    </row>
    <row r="761" spans="1:3" x14ac:dyDescent="0.45">
      <c r="A761" s="2">
        <v>40544</v>
      </c>
      <c r="B761" s="3">
        <v>9.1</v>
      </c>
      <c r="C761" s="4">
        <v>-0.20000000000000107</v>
      </c>
    </row>
    <row r="762" spans="1:3" x14ac:dyDescent="0.45">
      <c r="A762" s="2">
        <v>40575</v>
      </c>
      <c r="B762" s="3">
        <v>9</v>
      </c>
      <c r="C762" s="4">
        <v>-9.9999999999999645E-2</v>
      </c>
    </row>
    <row r="763" spans="1:3" x14ac:dyDescent="0.45">
      <c r="A763" s="2">
        <v>40603</v>
      </c>
      <c r="B763" s="3">
        <v>9</v>
      </c>
      <c r="C763" s="4">
        <v>0</v>
      </c>
    </row>
    <row r="764" spans="1:3" x14ac:dyDescent="0.45">
      <c r="A764" s="2">
        <v>40634</v>
      </c>
      <c r="B764" s="3">
        <v>9.1</v>
      </c>
      <c r="C764" s="4">
        <v>9.9999999999999645E-2</v>
      </c>
    </row>
    <row r="765" spans="1:3" x14ac:dyDescent="0.45">
      <c r="A765" s="2">
        <v>40664</v>
      </c>
      <c r="B765" s="3">
        <v>9</v>
      </c>
      <c r="C765" s="4">
        <v>-9.9999999999999645E-2</v>
      </c>
    </row>
    <row r="766" spans="1:3" x14ac:dyDescent="0.45">
      <c r="A766" s="2">
        <v>40695</v>
      </c>
      <c r="B766" s="3">
        <v>9.1</v>
      </c>
      <c r="C766" s="4">
        <v>9.9999999999999645E-2</v>
      </c>
    </row>
    <row r="767" spans="1:3" x14ac:dyDescent="0.45">
      <c r="A767" s="2">
        <v>40725</v>
      </c>
      <c r="B767" s="3">
        <v>9</v>
      </c>
      <c r="C767" s="4">
        <v>-9.9999999999999645E-2</v>
      </c>
    </row>
    <row r="768" spans="1:3" x14ac:dyDescent="0.45">
      <c r="A768" s="2">
        <v>40756</v>
      </c>
      <c r="B768" s="3">
        <v>9</v>
      </c>
      <c r="C768" s="4">
        <v>0</v>
      </c>
    </row>
    <row r="769" spans="1:3" x14ac:dyDescent="0.45">
      <c r="A769" s="2">
        <v>40787</v>
      </c>
      <c r="B769" s="3">
        <v>9</v>
      </c>
      <c r="C769" s="4">
        <v>0</v>
      </c>
    </row>
    <row r="770" spans="1:3" x14ac:dyDescent="0.45">
      <c r="A770" s="2">
        <v>40817</v>
      </c>
      <c r="B770" s="3">
        <v>8.8000000000000007</v>
      </c>
      <c r="C770" s="4">
        <v>-0.19999999999999929</v>
      </c>
    </row>
    <row r="771" spans="1:3" x14ac:dyDescent="0.45">
      <c r="A771" s="2">
        <v>40848</v>
      </c>
      <c r="B771" s="3">
        <v>8.6</v>
      </c>
      <c r="C771" s="4">
        <v>-0.20000000000000107</v>
      </c>
    </row>
    <row r="772" spans="1:3" x14ac:dyDescent="0.45">
      <c r="A772" s="2">
        <v>40878</v>
      </c>
      <c r="B772" s="3">
        <v>8.5</v>
      </c>
      <c r="C772" s="4">
        <v>-9.9999999999999645E-2</v>
      </c>
    </row>
    <row r="773" spans="1:3" x14ac:dyDescent="0.45">
      <c r="A773" s="2">
        <v>40909</v>
      </c>
      <c r="B773" s="3">
        <v>8.3000000000000007</v>
      </c>
      <c r="C773" s="4">
        <v>-0.19999999999999929</v>
      </c>
    </row>
    <row r="774" spans="1:3" x14ac:dyDescent="0.45">
      <c r="A774" s="2">
        <v>40940</v>
      </c>
      <c r="B774" s="3">
        <v>8.3000000000000007</v>
      </c>
      <c r="C774" s="4">
        <v>0</v>
      </c>
    </row>
    <row r="775" spans="1:3" x14ac:dyDescent="0.45">
      <c r="A775" s="2">
        <v>40969</v>
      </c>
      <c r="B775" s="3">
        <v>8.1999999999999993</v>
      </c>
      <c r="C775" s="4">
        <v>-0.10000000000000142</v>
      </c>
    </row>
    <row r="776" spans="1:3" x14ac:dyDescent="0.45">
      <c r="A776" s="2">
        <v>41000</v>
      </c>
      <c r="B776" s="3">
        <v>8.1999999999999993</v>
      </c>
      <c r="C776" s="4">
        <v>0</v>
      </c>
    </row>
    <row r="777" spans="1:3" x14ac:dyDescent="0.45">
      <c r="A777" s="2">
        <v>41030</v>
      </c>
      <c r="B777" s="3">
        <v>8.1999999999999993</v>
      </c>
      <c r="C777" s="4">
        <v>0</v>
      </c>
    </row>
    <row r="778" spans="1:3" x14ac:dyDescent="0.45">
      <c r="A778" s="2">
        <v>41061</v>
      </c>
      <c r="B778" s="3">
        <v>8.1999999999999993</v>
      </c>
      <c r="C778" s="4">
        <v>0</v>
      </c>
    </row>
    <row r="779" spans="1:3" x14ac:dyDescent="0.45">
      <c r="A779" s="2">
        <v>41091</v>
      </c>
      <c r="B779" s="3">
        <v>8.1999999999999993</v>
      </c>
      <c r="C779" s="4">
        <v>0</v>
      </c>
    </row>
    <row r="780" spans="1:3" x14ac:dyDescent="0.45">
      <c r="A780" s="2">
        <v>41122</v>
      </c>
      <c r="B780" s="3">
        <v>8.1</v>
      </c>
      <c r="C780" s="4">
        <v>-9.9999999999999645E-2</v>
      </c>
    </row>
    <row r="781" spans="1:3" x14ac:dyDescent="0.45">
      <c r="A781" s="2">
        <v>41153</v>
      </c>
      <c r="B781" s="3">
        <v>7.8</v>
      </c>
      <c r="C781" s="4">
        <v>-0.29999999999999982</v>
      </c>
    </row>
    <row r="782" spans="1:3" x14ac:dyDescent="0.45">
      <c r="A782" s="2">
        <v>41183</v>
      </c>
      <c r="B782" s="3">
        <v>7.8</v>
      </c>
      <c r="C782" s="4">
        <v>0</v>
      </c>
    </row>
    <row r="783" spans="1:3" x14ac:dyDescent="0.45">
      <c r="A783" s="2">
        <v>41214</v>
      </c>
      <c r="B783" s="3">
        <v>7.7</v>
      </c>
      <c r="C783" s="4">
        <v>-9.9999999999999645E-2</v>
      </c>
    </row>
    <row r="784" spans="1:3" x14ac:dyDescent="0.45">
      <c r="A784" s="2">
        <v>41244</v>
      </c>
      <c r="B784" s="3">
        <v>7.9</v>
      </c>
      <c r="C784" s="4">
        <v>0.20000000000000018</v>
      </c>
    </row>
    <row r="785" spans="1:3" x14ac:dyDescent="0.45">
      <c r="A785" s="2">
        <v>41275</v>
      </c>
      <c r="B785" s="3">
        <v>8</v>
      </c>
      <c r="C785" s="4">
        <v>9.9999999999999645E-2</v>
      </c>
    </row>
    <row r="786" spans="1:3" x14ac:dyDescent="0.45">
      <c r="A786" s="2">
        <v>41306</v>
      </c>
      <c r="B786" s="3">
        <v>7.7</v>
      </c>
      <c r="C786" s="4">
        <v>-0.29999999999999982</v>
      </c>
    </row>
    <row r="787" spans="1:3" x14ac:dyDescent="0.45">
      <c r="A787" s="2">
        <v>41334</v>
      </c>
      <c r="B787" s="3">
        <v>7.5</v>
      </c>
      <c r="C787" s="4">
        <v>-0.20000000000000018</v>
      </c>
    </row>
    <row r="788" spans="1:3" x14ac:dyDescent="0.45">
      <c r="A788" s="2">
        <v>41365</v>
      </c>
      <c r="B788" s="3">
        <v>7.6</v>
      </c>
      <c r="C788" s="4">
        <v>9.9999999999999645E-2</v>
      </c>
    </row>
    <row r="789" spans="1:3" x14ac:dyDescent="0.45">
      <c r="A789" s="2">
        <v>41395</v>
      </c>
      <c r="B789" s="3">
        <v>7.5</v>
      </c>
      <c r="C789" s="4">
        <v>-9.9999999999999645E-2</v>
      </c>
    </row>
    <row r="790" spans="1:3" x14ac:dyDescent="0.45">
      <c r="A790" s="2">
        <v>41426</v>
      </c>
      <c r="B790" s="3">
        <v>7.5</v>
      </c>
      <c r="C790" s="4">
        <v>0</v>
      </c>
    </row>
    <row r="791" spans="1:3" x14ac:dyDescent="0.45">
      <c r="A791" s="2">
        <v>41456</v>
      </c>
      <c r="B791" s="3">
        <v>7.3</v>
      </c>
      <c r="C791" s="4">
        <v>-0.20000000000000018</v>
      </c>
    </row>
    <row r="792" spans="1:3" x14ac:dyDescent="0.45">
      <c r="A792" s="2">
        <v>41487</v>
      </c>
      <c r="B792" s="3">
        <v>7.2</v>
      </c>
      <c r="C792" s="4">
        <v>-9.9999999999999645E-2</v>
      </c>
    </row>
    <row r="793" spans="1:3" x14ac:dyDescent="0.45">
      <c r="A793" s="2">
        <v>41518</v>
      </c>
      <c r="B793" s="3">
        <v>7.2</v>
      </c>
      <c r="C793" s="4">
        <v>0</v>
      </c>
    </row>
    <row r="794" spans="1:3" x14ac:dyDescent="0.45">
      <c r="A794" s="2">
        <v>41548</v>
      </c>
      <c r="B794" s="3">
        <v>7.2</v>
      </c>
      <c r="C794" s="4">
        <v>0</v>
      </c>
    </row>
    <row r="795" spans="1:3" x14ac:dyDescent="0.45">
      <c r="A795" s="2">
        <v>41579</v>
      </c>
      <c r="B795" s="3">
        <v>6.9</v>
      </c>
      <c r="C795" s="4">
        <v>-0.29999999999999982</v>
      </c>
    </row>
    <row r="796" spans="1:3" x14ac:dyDescent="0.45">
      <c r="A796" s="2">
        <v>41609</v>
      </c>
      <c r="B796" s="3">
        <v>6.7</v>
      </c>
      <c r="C796" s="4">
        <v>-0.20000000000000018</v>
      </c>
    </row>
    <row r="797" spans="1:3" x14ac:dyDescent="0.45">
      <c r="A797" s="2">
        <v>41640</v>
      </c>
      <c r="B797" s="3">
        <v>6.6</v>
      </c>
      <c r="C797" s="4">
        <v>-0.10000000000000053</v>
      </c>
    </row>
    <row r="798" spans="1:3" x14ac:dyDescent="0.45">
      <c r="A798" s="2">
        <v>41671</v>
      </c>
      <c r="B798" s="3">
        <v>6.7</v>
      </c>
      <c r="C798" s="4">
        <v>0.10000000000000053</v>
      </c>
    </row>
    <row r="799" spans="1:3" x14ac:dyDescent="0.45">
      <c r="A799" s="2">
        <v>41699</v>
      </c>
      <c r="B799" s="3">
        <v>6.7</v>
      </c>
      <c r="C799" s="4">
        <v>0</v>
      </c>
    </row>
    <row r="800" spans="1:3" x14ac:dyDescent="0.45">
      <c r="A800" s="2">
        <v>41730</v>
      </c>
      <c r="B800" s="3">
        <v>6.2</v>
      </c>
      <c r="C800" s="4">
        <v>-0.5</v>
      </c>
    </row>
    <row r="801" spans="1:3" x14ac:dyDescent="0.45">
      <c r="A801" s="2">
        <v>41760</v>
      </c>
      <c r="B801" s="3">
        <v>6.3</v>
      </c>
      <c r="C801" s="4">
        <v>9.9999999999999645E-2</v>
      </c>
    </row>
    <row r="802" spans="1:3" x14ac:dyDescent="0.45">
      <c r="A802" s="2">
        <v>41791</v>
      </c>
      <c r="B802" s="3">
        <v>6.1</v>
      </c>
      <c r="C802" s="4">
        <v>-0.20000000000000018</v>
      </c>
    </row>
    <row r="803" spans="1:3" x14ac:dyDescent="0.45">
      <c r="A803" s="2">
        <v>41821</v>
      </c>
      <c r="B803" s="3">
        <v>6.2</v>
      </c>
      <c r="C803" s="4">
        <v>0.10000000000000053</v>
      </c>
    </row>
    <row r="804" spans="1:3" x14ac:dyDescent="0.45">
      <c r="A804" s="2">
        <v>41852</v>
      </c>
      <c r="B804" s="3">
        <v>6.1</v>
      </c>
      <c r="C804" s="4">
        <v>-0.10000000000000053</v>
      </c>
    </row>
    <row r="805" spans="1:3" x14ac:dyDescent="0.45">
      <c r="A805" s="2">
        <v>41883</v>
      </c>
      <c r="B805" s="3">
        <v>5.9</v>
      </c>
      <c r="C805" s="4">
        <v>-0.19999999999999929</v>
      </c>
    </row>
    <row r="806" spans="1:3" x14ac:dyDescent="0.45">
      <c r="A806" s="2">
        <v>41913</v>
      </c>
      <c r="B806" s="3">
        <v>5.7</v>
      </c>
      <c r="C806" s="4">
        <v>-0.20000000000000018</v>
      </c>
    </row>
    <row r="807" spans="1:3" x14ac:dyDescent="0.45">
      <c r="A807" s="2">
        <v>41944</v>
      </c>
      <c r="B807" s="3">
        <v>5.8</v>
      </c>
      <c r="C807" s="4">
        <v>9.9999999999999645E-2</v>
      </c>
    </row>
    <row r="808" spans="1:3" x14ac:dyDescent="0.45">
      <c r="A808" s="2">
        <v>41974</v>
      </c>
      <c r="B808" s="3">
        <v>5.6</v>
      </c>
      <c r="C808" s="4">
        <v>-0.20000000000000018</v>
      </c>
    </row>
    <row r="809" spans="1:3" x14ac:dyDescent="0.45">
      <c r="A809" s="2">
        <v>42005</v>
      </c>
      <c r="B809" s="3">
        <v>5.7</v>
      </c>
      <c r="C809" s="4">
        <v>0.10000000000000053</v>
      </c>
    </row>
    <row r="810" spans="1:3" x14ac:dyDescent="0.45">
      <c r="A810" s="2">
        <v>42036</v>
      </c>
      <c r="B810" s="3">
        <v>5.5</v>
      </c>
      <c r="C810" s="4">
        <v>-0.20000000000000018</v>
      </c>
    </row>
    <row r="811" spans="1:3" x14ac:dyDescent="0.45">
      <c r="A811" s="2">
        <v>42064</v>
      </c>
      <c r="B811" s="3">
        <v>5.4</v>
      </c>
      <c r="C811" s="4">
        <v>-9.9999999999999645E-2</v>
      </c>
    </row>
    <row r="812" spans="1:3" x14ac:dyDescent="0.45">
      <c r="A812" s="2">
        <v>42095</v>
      </c>
      <c r="B812" s="3">
        <v>5.4</v>
      </c>
      <c r="C812" s="4">
        <v>0</v>
      </c>
    </row>
    <row r="813" spans="1:3" x14ac:dyDescent="0.45">
      <c r="A813" s="2">
        <v>42125</v>
      </c>
      <c r="B813" s="3">
        <v>5.6</v>
      </c>
      <c r="C813" s="4">
        <v>0.19999999999999929</v>
      </c>
    </row>
    <row r="814" spans="1:3" x14ac:dyDescent="0.45">
      <c r="A814" s="2">
        <v>42156</v>
      </c>
      <c r="B814" s="3">
        <v>5.3</v>
      </c>
      <c r="C814" s="4">
        <v>-0.29999999999999982</v>
      </c>
    </row>
    <row r="815" spans="1:3" x14ac:dyDescent="0.45">
      <c r="A815" s="2">
        <v>42186</v>
      </c>
      <c r="B815" s="3">
        <v>5.2</v>
      </c>
      <c r="C815" s="4">
        <v>-9.9999999999999645E-2</v>
      </c>
    </row>
    <row r="816" spans="1:3" x14ac:dyDescent="0.45">
      <c r="A816" s="2">
        <v>42217</v>
      </c>
      <c r="B816" s="3">
        <v>5.0999999999999996</v>
      </c>
      <c r="C816" s="4">
        <v>-0.10000000000000053</v>
      </c>
    </row>
    <row r="817" spans="1:3" x14ac:dyDescent="0.45">
      <c r="A817" s="2">
        <v>42248</v>
      </c>
      <c r="B817" s="3">
        <v>5</v>
      </c>
      <c r="C817" s="4">
        <v>-9.9999999999999645E-2</v>
      </c>
    </row>
    <row r="818" spans="1:3" x14ac:dyDescent="0.45">
      <c r="A818" s="2">
        <v>42278</v>
      </c>
      <c r="B818" s="3">
        <v>5</v>
      </c>
      <c r="C818" s="4">
        <v>0</v>
      </c>
    </row>
    <row r="819" spans="1:3" x14ac:dyDescent="0.45">
      <c r="A819" s="2">
        <v>42309</v>
      </c>
      <c r="B819" s="3">
        <v>5.0999999999999996</v>
      </c>
      <c r="C819" s="4">
        <v>9.9999999999999645E-2</v>
      </c>
    </row>
    <row r="820" spans="1:3" x14ac:dyDescent="0.45">
      <c r="A820" s="2">
        <v>42339</v>
      </c>
      <c r="B820" s="3">
        <v>5</v>
      </c>
      <c r="C820" s="4">
        <v>-9.9999999999999645E-2</v>
      </c>
    </row>
    <row r="821" spans="1:3" x14ac:dyDescent="0.45">
      <c r="A821" s="2">
        <v>42370</v>
      </c>
      <c r="B821" s="3">
        <v>4.8</v>
      </c>
      <c r="C821" s="4">
        <v>-0.20000000000000018</v>
      </c>
    </row>
    <row r="822" spans="1:3" x14ac:dyDescent="0.45">
      <c r="A822" s="2">
        <v>42401</v>
      </c>
      <c r="B822" s="3">
        <v>4.9000000000000004</v>
      </c>
      <c r="C822" s="4">
        <v>0.10000000000000053</v>
      </c>
    </row>
    <row r="823" spans="1:3" x14ac:dyDescent="0.45">
      <c r="A823" s="2">
        <v>42430</v>
      </c>
      <c r="B823" s="3">
        <v>5</v>
      </c>
      <c r="C823" s="4">
        <v>9.9999999999999645E-2</v>
      </c>
    </row>
    <row r="824" spans="1:3" x14ac:dyDescent="0.45">
      <c r="A824" s="2">
        <v>42461</v>
      </c>
      <c r="B824" s="3">
        <v>5.0999999999999996</v>
      </c>
      <c r="C824" s="4">
        <v>9.9999999999999645E-2</v>
      </c>
    </row>
    <row r="825" spans="1:3" x14ac:dyDescent="0.45">
      <c r="A825" s="2">
        <v>42491</v>
      </c>
      <c r="B825" s="3">
        <v>4.8</v>
      </c>
      <c r="C825" s="4">
        <v>-0.29999999999999982</v>
      </c>
    </row>
    <row r="826" spans="1:3" x14ac:dyDescent="0.45">
      <c r="A826" s="2">
        <v>42522</v>
      </c>
      <c r="B826" s="3">
        <v>4.9000000000000004</v>
      </c>
      <c r="C826" s="4">
        <v>0.10000000000000053</v>
      </c>
    </row>
    <row r="827" spans="1:3" x14ac:dyDescent="0.45">
      <c r="A827" s="2">
        <v>42552</v>
      </c>
      <c r="B827" s="3">
        <v>4.8</v>
      </c>
      <c r="C827" s="4">
        <v>-0.10000000000000053</v>
      </c>
    </row>
    <row r="828" spans="1:3" x14ac:dyDescent="0.45">
      <c r="A828" s="2">
        <v>42583</v>
      </c>
      <c r="B828" s="3">
        <v>4.9000000000000004</v>
      </c>
      <c r="C828" s="4">
        <v>0.10000000000000053</v>
      </c>
    </row>
    <row r="829" spans="1:3" x14ac:dyDescent="0.45">
      <c r="A829" s="2">
        <v>42614</v>
      </c>
      <c r="B829" s="3">
        <v>5</v>
      </c>
      <c r="C829" s="4">
        <v>9.9999999999999645E-2</v>
      </c>
    </row>
    <row r="830" spans="1:3" x14ac:dyDescent="0.45">
      <c r="A830" s="2">
        <v>42644</v>
      </c>
      <c r="B830" s="3">
        <v>4.9000000000000004</v>
      </c>
      <c r="C830" s="4">
        <v>-9.9999999999999645E-2</v>
      </c>
    </row>
    <row r="831" spans="1:3" x14ac:dyDescent="0.45">
      <c r="A831" s="2">
        <v>42675</v>
      </c>
      <c r="B831" s="3">
        <v>4.7</v>
      </c>
      <c r="C831" s="4">
        <v>-0.20000000000000018</v>
      </c>
    </row>
    <row r="832" spans="1:3" x14ac:dyDescent="0.45">
      <c r="A832" s="2">
        <v>42705</v>
      </c>
      <c r="B832" s="3">
        <v>4.7</v>
      </c>
      <c r="C832" s="4">
        <v>0</v>
      </c>
    </row>
    <row r="833" spans="1:3" x14ac:dyDescent="0.45">
      <c r="A833" s="2">
        <v>42736</v>
      </c>
      <c r="B833" s="3">
        <v>4.7</v>
      </c>
      <c r="C833" s="4">
        <v>0</v>
      </c>
    </row>
    <row r="834" spans="1:3" x14ac:dyDescent="0.45">
      <c r="A834" s="2">
        <v>42767</v>
      </c>
      <c r="B834" s="3">
        <v>4.5999999999999996</v>
      </c>
      <c r="C834" s="4">
        <v>-0.10000000000000053</v>
      </c>
    </row>
    <row r="835" spans="1:3" x14ac:dyDescent="0.45">
      <c r="A835" s="2">
        <v>42795</v>
      </c>
      <c r="B835" s="3">
        <v>4.4000000000000004</v>
      </c>
      <c r="C835" s="4">
        <v>-0.19999999999999929</v>
      </c>
    </row>
    <row r="836" spans="1:3" x14ac:dyDescent="0.45">
      <c r="A836" s="2">
        <v>42826</v>
      </c>
      <c r="B836" s="3">
        <v>4.4000000000000004</v>
      </c>
      <c r="C836" s="4">
        <v>0</v>
      </c>
    </row>
    <row r="837" spans="1:3" x14ac:dyDescent="0.45">
      <c r="A837" s="2">
        <v>42856</v>
      </c>
      <c r="B837" s="3">
        <v>4.4000000000000004</v>
      </c>
      <c r="C837" s="4">
        <v>0</v>
      </c>
    </row>
    <row r="838" spans="1:3" x14ac:dyDescent="0.45">
      <c r="A838" s="2">
        <v>42887</v>
      </c>
      <c r="B838" s="3">
        <v>4.3</v>
      </c>
      <c r="C838" s="4">
        <v>-0.10000000000000053</v>
      </c>
    </row>
    <row r="839" spans="1:3" x14ac:dyDescent="0.45">
      <c r="A839" s="2">
        <v>42917</v>
      </c>
      <c r="B839" s="3">
        <v>4.3</v>
      </c>
      <c r="C839" s="4">
        <v>0</v>
      </c>
    </row>
    <row r="840" spans="1:3" x14ac:dyDescent="0.45">
      <c r="A840" s="2">
        <v>42948</v>
      </c>
      <c r="B840" s="3">
        <v>4.4000000000000004</v>
      </c>
      <c r="C840" s="4">
        <v>0.10000000000000053</v>
      </c>
    </row>
    <row r="841" spans="1:3" x14ac:dyDescent="0.45">
      <c r="A841" s="2">
        <v>42979</v>
      </c>
      <c r="B841" s="3">
        <v>4.3</v>
      </c>
      <c r="C841" s="4">
        <v>-0.10000000000000053</v>
      </c>
    </row>
    <row r="842" spans="1:3" x14ac:dyDescent="0.45">
      <c r="A842" s="2">
        <v>43009</v>
      </c>
      <c r="B842" s="3">
        <v>4.2</v>
      </c>
      <c r="C842" s="4">
        <v>-9.9999999999999645E-2</v>
      </c>
    </row>
    <row r="843" spans="1:3" x14ac:dyDescent="0.45">
      <c r="A843" s="2">
        <v>43040</v>
      </c>
      <c r="B843" s="3">
        <v>4.2</v>
      </c>
      <c r="C843" s="4">
        <v>0</v>
      </c>
    </row>
    <row r="844" spans="1:3" x14ac:dyDescent="0.45">
      <c r="A844" s="2">
        <v>43070</v>
      </c>
      <c r="B844" s="3">
        <v>4.0999999999999996</v>
      </c>
      <c r="C844" s="4">
        <v>-0.10000000000000053</v>
      </c>
    </row>
    <row r="845" spans="1:3" x14ac:dyDescent="0.45">
      <c r="A845" s="2">
        <v>43101</v>
      </c>
      <c r="B845" s="3">
        <v>4</v>
      </c>
      <c r="C845" s="4">
        <v>-9.9999999999999645E-2</v>
      </c>
    </row>
    <row r="846" spans="1:3" x14ac:dyDescent="0.45">
      <c r="A846" s="2">
        <v>43132</v>
      </c>
      <c r="B846" s="3">
        <v>4.0999999999999996</v>
      </c>
      <c r="C846" s="4">
        <v>9.9999999999999645E-2</v>
      </c>
    </row>
    <row r="847" spans="1:3" x14ac:dyDescent="0.45">
      <c r="A847" s="2">
        <v>43160</v>
      </c>
      <c r="B847" s="3">
        <v>4</v>
      </c>
      <c r="C847" s="4">
        <v>-9.9999999999999645E-2</v>
      </c>
    </row>
    <row r="848" spans="1:3" x14ac:dyDescent="0.45">
      <c r="A848" s="2">
        <v>43191</v>
      </c>
      <c r="B848" s="3">
        <v>4</v>
      </c>
      <c r="C848" s="4">
        <v>0</v>
      </c>
    </row>
    <row r="849" spans="1:3" x14ac:dyDescent="0.45">
      <c r="A849" s="2">
        <v>43221</v>
      </c>
      <c r="B849" s="3">
        <v>3.8</v>
      </c>
      <c r="C849" s="4">
        <v>-0.20000000000000018</v>
      </c>
    </row>
    <row r="850" spans="1:3" x14ac:dyDescent="0.45">
      <c r="A850" s="2">
        <v>43252</v>
      </c>
      <c r="B850" s="3">
        <v>4</v>
      </c>
      <c r="C850" s="4">
        <v>0.20000000000000018</v>
      </c>
    </row>
    <row r="851" spans="1:3" x14ac:dyDescent="0.45">
      <c r="A851" s="2">
        <v>43282</v>
      </c>
      <c r="B851" s="3">
        <v>3.8</v>
      </c>
      <c r="C851" s="4">
        <v>-0.20000000000000018</v>
      </c>
    </row>
    <row r="852" spans="1:3" x14ac:dyDescent="0.45">
      <c r="A852" s="2">
        <v>43313</v>
      </c>
      <c r="B852" s="3">
        <v>3.8</v>
      </c>
      <c r="C852" s="4">
        <v>0</v>
      </c>
    </row>
    <row r="853" spans="1:3" x14ac:dyDescent="0.45">
      <c r="A853" s="2">
        <v>43344</v>
      </c>
      <c r="B853" s="3">
        <v>3.7</v>
      </c>
      <c r="C853" s="4">
        <v>-9.9999999999999645E-2</v>
      </c>
    </row>
    <row r="854" spans="1:3" x14ac:dyDescent="0.45">
      <c r="A854" s="2">
        <v>43374</v>
      </c>
      <c r="B854" s="3">
        <v>3.8</v>
      </c>
      <c r="C854" s="4">
        <v>9.9999999999999645E-2</v>
      </c>
    </row>
    <row r="855" spans="1:3" x14ac:dyDescent="0.45">
      <c r="A855" s="2">
        <v>43405</v>
      </c>
      <c r="B855" s="3">
        <v>3.8</v>
      </c>
      <c r="C855" s="4">
        <v>0</v>
      </c>
    </row>
    <row r="856" spans="1:3" x14ac:dyDescent="0.45">
      <c r="A856" s="2">
        <v>43435</v>
      </c>
      <c r="B856" s="3">
        <v>3.9</v>
      </c>
      <c r="C856" s="4">
        <v>0.10000000000000009</v>
      </c>
    </row>
    <row r="857" spans="1:3" x14ac:dyDescent="0.45">
      <c r="A857" s="2">
        <v>43466</v>
      </c>
      <c r="B857" s="3">
        <v>4</v>
      </c>
      <c r="C857" s="4">
        <v>0.10000000000000009</v>
      </c>
    </row>
    <row r="858" spans="1:3" x14ac:dyDescent="0.45">
      <c r="A858" s="2">
        <v>43497</v>
      </c>
      <c r="B858" s="3">
        <v>3.8</v>
      </c>
      <c r="C858" s="4">
        <v>-0.20000000000000018</v>
      </c>
    </row>
    <row r="859" spans="1:3" x14ac:dyDescent="0.45">
      <c r="A859" s="2">
        <v>43525</v>
      </c>
      <c r="B859" s="3">
        <v>3.8</v>
      </c>
      <c r="C859" s="4">
        <v>0</v>
      </c>
    </row>
    <row r="860" spans="1:3" x14ac:dyDescent="0.45">
      <c r="A860" s="2">
        <v>43556</v>
      </c>
      <c r="B860" s="3">
        <v>3.7</v>
      </c>
      <c r="C860" s="4">
        <v>-9.9999999999999645E-2</v>
      </c>
    </row>
    <row r="861" spans="1:3" x14ac:dyDescent="0.45">
      <c r="A861" s="2">
        <v>43586</v>
      </c>
      <c r="B861" s="3">
        <v>3.6</v>
      </c>
      <c r="C861" s="4">
        <v>-0.10000000000000009</v>
      </c>
    </row>
    <row r="862" spans="1:3" x14ac:dyDescent="0.45">
      <c r="A862" s="2">
        <v>43617</v>
      </c>
      <c r="B862" s="3">
        <v>3.6</v>
      </c>
      <c r="C862" s="4">
        <v>0</v>
      </c>
    </row>
    <row r="863" spans="1:3" x14ac:dyDescent="0.45">
      <c r="A863" s="2">
        <v>43647</v>
      </c>
      <c r="B863" s="3">
        <v>3.7</v>
      </c>
      <c r="C863" s="4">
        <v>0.10000000000000009</v>
      </c>
    </row>
    <row r="864" spans="1:3" x14ac:dyDescent="0.45">
      <c r="A864" s="2">
        <v>43678</v>
      </c>
      <c r="B864" s="3">
        <v>3.6</v>
      </c>
      <c r="C864" s="4">
        <v>-0.10000000000000009</v>
      </c>
    </row>
    <row r="865" spans="1:3" x14ac:dyDescent="0.45">
      <c r="A865" s="2">
        <v>43709</v>
      </c>
      <c r="B865" s="3">
        <v>3.5</v>
      </c>
      <c r="C865" s="4">
        <v>-0.10000000000000009</v>
      </c>
    </row>
    <row r="866" spans="1:3" x14ac:dyDescent="0.45">
      <c r="A866" s="2">
        <v>43739</v>
      </c>
      <c r="B866" s="3">
        <v>3.6</v>
      </c>
      <c r="C866" s="4">
        <v>0.10000000000000009</v>
      </c>
    </row>
    <row r="867" spans="1:3" x14ac:dyDescent="0.45">
      <c r="A867" s="2">
        <v>43770</v>
      </c>
      <c r="B867" s="3">
        <v>3.6</v>
      </c>
      <c r="C867" s="4">
        <v>0</v>
      </c>
    </row>
    <row r="868" spans="1:3" x14ac:dyDescent="0.45">
      <c r="A868" s="2">
        <v>43800</v>
      </c>
      <c r="B868" s="3">
        <v>3.6</v>
      </c>
      <c r="C868" s="4">
        <v>0</v>
      </c>
    </row>
    <row r="869" spans="1:3" x14ac:dyDescent="0.45">
      <c r="A869" s="2">
        <v>43831</v>
      </c>
      <c r="B869" s="3">
        <v>3.6</v>
      </c>
      <c r="C869" s="4">
        <v>0</v>
      </c>
    </row>
    <row r="870" spans="1:3" x14ac:dyDescent="0.45">
      <c r="A870" s="2">
        <v>43862</v>
      </c>
      <c r="B870" s="3">
        <v>3.5</v>
      </c>
      <c r="C870" s="4">
        <v>-0.10000000000000009</v>
      </c>
    </row>
    <row r="871" spans="1:3" x14ac:dyDescent="0.45">
      <c r="A871" s="2">
        <v>43891</v>
      </c>
      <c r="B871" s="3">
        <v>4.4000000000000004</v>
      </c>
      <c r="C871" s="4">
        <v>0.90000000000000036</v>
      </c>
    </row>
    <row r="872" spans="1:3" x14ac:dyDescent="0.45">
      <c r="A872" s="2">
        <v>43922</v>
      </c>
      <c r="B872" s="3">
        <v>14.8</v>
      </c>
      <c r="C872" s="4">
        <v>10.4</v>
      </c>
    </row>
    <row r="873" spans="1:3" x14ac:dyDescent="0.45">
      <c r="A873" s="2">
        <v>43952</v>
      </c>
      <c r="B873" s="3">
        <v>13.2</v>
      </c>
      <c r="C873" s="4">
        <v>-1.6000000000000014</v>
      </c>
    </row>
    <row r="874" spans="1:3" x14ac:dyDescent="0.45">
      <c r="A874" s="2">
        <v>43983</v>
      </c>
      <c r="B874" s="3">
        <v>11</v>
      </c>
      <c r="C874" s="4">
        <v>-2.1999999999999993</v>
      </c>
    </row>
    <row r="875" spans="1:3" x14ac:dyDescent="0.45">
      <c r="A875" s="2">
        <v>44013</v>
      </c>
      <c r="B875" s="3">
        <v>10.199999999999999</v>
      </c>
      <c r="C875" s="4">
        <v>-0.80000000000000071</v>
      </c>
    </row>
    <row r="876" spans="1:3" x14ac:dyDescent="0.45">
      <c r="A876" s="2">
        <v>44044</v>
      </c>
      <c r="B876" s="3">
        <v>8.4</v>
      </c>
      <c r="C876" s="4">
        <v>-1.7999999999999989</v>
      </c>
    </row>
    <row r="877" spans="1:3" x14ac:dyDescent="0.45">
      <c r="A877" s="2">
        <v>44075</v>
      </c>
      <c r="B877" s="3">
        <v>7.8</v>
      </c>
      <c r="C877" s="4">
        <v>-0.60000000000000053</v>
      </c>
    </row>
    <row r="878" spans="1:3" x14ac:dyDescent="0.45">
      <c r="A878" s="2">
        <v>44105</v>
      </c>
      <c r="B878" s="3">
        <v>6.9</v>
      </c>
      <c r="C878" s="4">
        <v>-0.89999999999999947</v>
      </c>
    </row>
    <row r="879" spans="1:3" x14ac:dyDescent="0.45">
      <c r="A879" s="2">
        <v>44136</v>
      </c>
      <c r="B879" s="3">
        <v>6.7</v>
      </c>
      <c r="C879" s="4">
        <v>-0.20000000000000018</v>
      </c>
    </row>
    <row r="880" spans="1:3" x14ac:dyDescent="0.45">
      <c r="A880" s="2">
        <v>44166</v>
      </c>
      <c r="B880" s="3">
        <v>6.7</v>
      </c>
      <c r="C880" s="4">
        <v>0</v>
      </c>
    </row>
    <row r="881" spans="1:3" x14ac:dyDescent="0.45">
      <c r="A881" s="2">
        <v>44197</v>
      </c>
      <c r="B881" s="3">
        <v>6.4</v>
      </c>
      <c r="C881" s="4">
        <v>-0.29999999999999982</v>
      </c>
    </row>
    <row r="882" spans="1:3" x14ac:dyDescent="0.45">
      <c r="A882" s="2">
        <v>44228</v>
      </c>
      <c r="B882" s="3">
        <v>6.2</v>
      </c>
      <c r="C882" s="4">
        <v>-0.20000000000000018</v>
      </c>
    </row>
    <row r="883" spans="1:3" x14ac:dyDescent="0.45">
      <c r="A883" s="2">
        <v>44256</v>
      </c>
      <c r="B883" s="3">
        <v>6.1</v>
      </c>
      <c r="C883" s="4">
        <v>-0.10000000000000053</v>
      </c>
    </row>
    <row r="884" spans="1:3" x14ac:dyDescent="0.45">
      <c r="A884" s="2">
        <v>44287</v>
      </c>
      <c r="B884" s="3">
        <v>6.1</v>
      </c>
      <c r="C884" s="4">
        <v>0</v>
      </c>
    </row>
    <row r="885" spans="1:3" x14ac:dyDescent="0.45">
      <c r="A885" s="2">
        <v>44317</v>
      </c>
      <c r="B885" s="3">
        <v>5.8</v>
      </c>
      <c r="C885" s="4">
        <v>-0.29999999999999982</v>
      </c>
    </row>
    <row r="886" spans="1:3" x14ac:dyDescent="0.45">
      <c r="A886" s="2">
        <v>44348</v>
      </c>
      <c r="B886" s="3">
        <v>5.9</v>
      </c>
      <c r="C886" s="4">
        <v>0.10000000000000053</v>
      </c>
    </row>
    <row r="887" spans="1:3" x14ac:dyDescent="0.45">
      <c r="A887" s="2">
        <v>44378</v>
      </c>
      <c r="B887" s="3">
        <v>5.4</v>
      </c>
      <c r="C887" s="4">
        <v>-0.5</v>
      </c>
    </row>
    <row r="888" spans="1:3" x14ac:dyDescent="0.45">
      <c r="A888" s="2">
        <v>44409</v>
      </c>
      <c r="B888" s="3">
        <v>5.0999999999999996</v>
      </c>
      <c r="C888" s="4">
        <v>-0.30000000000000071</v>
      </c>
    </row>
    <row r="889" spans="1:3" x14ac:dyDescent="0.45">
      <c r="A889" s="2">
        <v>44440</v>
      </c>
      <c r="B889" s="3">
        <v>4.7</v>
      </c>
      <c r="C889" s="4">
        <v>-0.39999999999999947</v>
      </c>
    </row>
    <row r="890" spans="1:3" x14ac:dyDescent="0.45">
      <c r="A890" s="2">
        <v>44470</v>
      </c>
      <c r="B890" s="3">
        <v>4.5</v>
      </c>
      <c r="C890" s="4">
        <v>-0.20000000000000018</v>
      </c>
    </row>
    <row r="891" spans="1:3" x14ac:dyDescent="0.45">
      <c r="A891" s="2">
        <v>44501</v>
      </c>
      <c r="B891" s="3">
        <v>4.0999999999999996</v>
      </c>
      <c r="C891" s="4">
        <v>-0.40000000000000036</v>
      </c>
    </row>
    <row r="892" spans="1:3" x14ac:dyDescent="0.45">
      <c r="A892" s="2">
        <v>44531</v>
      </c>
      <c r="B892" s="3">
        <v>3.9</v>
      </c>
      <c r="C892" s="4">
        <v>-0.19999999999999973</v>
      </c>
    </row>
    <row r="893" spans="1:3" x14ac:dyDescent="0.45">
      <c r="A893" s="2">
        <v>44562</v>
      </c>
      <c r="B893" s="3">
        <v>4</v>
      </c>
      <c r="C893" s="4">
        <v>0.10000000000000009</v>
      </c>
    </row>
    <row r="894" spans="1:3" x14ac:dyDescent="0.45">
      <c r="A894" s="2">
        <v>44593</v>
      </c>
      <c r="B894" s="3">
        <v>3.9</v>
      </c>
      <c r="C894" s="4">
        <v>-0.10000000000000009</v>
      </c>
    </row>
    <row r="895" spans="1:3" x14ac:dyDescent="0.45">
      <c r="A895" s="2">
        <v>44621</v>
      </c>
      <c r="B895" s="3">
        <v>3.7</v>
      </c>
      <c r="C895" s="4">
        <v>-0.19999999999999973</v>
      </c>
    </row>
    <row r="896" spans="1:3" x14ac:dyDescent="0.45">
      <c r="A896" s="2">
        <v>44652</v>
      </c>
      <c r="B896" s="3">
        <v>3.7</v>
      </c>
      <c r="C896" s="4">
        <v>0</v>
      </c>
    </row>
    <row r="897" spans="1:3" x14ac:dyDescent="0.45">
      <c r="A897" s="2">
        <v>44682</v>
      </c>
      <c r="B897" s="3">
        <v>3.6</v>
      </c>
      <c r="C897" s="4">
        <v>-0.10000000000000009</v>
      </c>
    </row>
    <row r="898" spans="1:3" x14ac:dyDescent="0.45">
      <c r="A898" s="2">
        <v>44713</v>
      </c>
      <c r="B898" s="3">
        <v>3.6</v>
      </c>
      <c r="C898" s="4">
        <v>0</v>
      </c>
    </row>
    <row r="899" spans="1:3" x14ac:dyDescent="0.45">
      <c r="A899" s="2">
        <v>44743</v>
      </c>
      <c r="B899" s="3">
        <v>3.5</v>
      </c>
      <c r="C899" s="4">
        <v>-0.10000000000000009</v>
      </c>
    </row>
    <row r="900" spans="1:3" x14ac:dyDescent="0.45">
      <c r="A900" s="2">
        <v>44774</v>
      </c>
      <c r="B900" s="3">
        <v>3.6</v>
      </c>
      <c r="C900" s="4">
        <v>0.10000000000000009</v>
      </c>
    </row>
    <row r="901" spans="1:3" x14ac:dyDescent="0.45">
      <c r="A901" s="2">
        <v>44805</v>
      </c>
      <c r="B901" s="3">
        <v>3.5</v>
      </c>
      <c r="C901" s="4">
        <v>-0.10000000000000009</v>
      </c>
    </row>
    <row r="902" spans="1:3" x14ac:dyDescent="0.45">
      <c r="A902" s="2">
        <v>44835</v>
      </c>
      <c r="B902" s="3">
        <v>3.6</v>
      </c>
      <c r="C902" s="4">
        <v>0.10000000000000009</v>
      </c>
    </row>
    <row r="903" spans="1:3" x14ac:dyDescent="0.45">
      <c r="A903" s="2">
        <v>44866</v>
      </c>
      <c r="B903" s="3">
        <v>3.6</v>
      </c>
      <c r="C903" s="4">
        <v>0</v>
      </c>
    </row>
    <row r="904" spans="1:3" x14ac:dyDescent="0.45">
      <c r="A904" s="2">
        <v>44896</v>
      </c>
      <c r="B904" s="3">
        <v>3.5</v>
      </c>
      <c r="C904" s="4">
        <v>-0.10000000000000009</v>
      </c>
    </row>
    <row r="905" spans="1:3" x14ac:dyDescent="0.45">
      <c r="A905" s="2">
        <v>44927</v>
      </c>
      <c r="B905" s="3">
        <v>3.5</v>
      </c>
      <c r="C905" s="4">
        <v>0</v>
      </c>
    </row>
    <row r="906" spans="1:3" x14ac:dyDescent="0.45">
      <c r="A906" s="2">
        <v>44958</v>
      </c>
      <c r="B906" s="3">
        <v>3.6</v>
      </c>
      <c r="C906" s="4">
        <v>0.10000000000000009</v>
      </c>
    </row>
    <row r="907" spans="1:3" x14ac:dyDescent="0.45">
      <c r="A907" s="2">
        <v>44986</v>
      </c>
      <c r="B907" s="3">
        <v>3.5</v>
      </c>
      <c r="C907" s="4">
        <v>-0.10000000000000009</v>
      </c>
    </row>
    <row r="908" spans="1:3" x14ac:dyDescent="0.45">
      <c r="A908" s="2">
        <v>45017</v>
      </c>
      <c r="B908" s="3">
        <v>3.4</v>
      </c>
      <c r="C908" s="4">
        <v>-0.10000000000000009</v>
      </c>
    </row>
    <row r="909" spans="1:3" x14ac:dyDescent="0.45">
      <c r="A909" s="2">
        <v>45047</v>
      </c>
      <c r="B909" s="3">
        <v>3.6</v>
      </c>
      <c r="C909" s="4">
        <v>0.20000000000000018</v>
      </c>
    </row>
    <row r="910" spans="1:3" x14ac:dyDescent="0.45">
      <c r="A910" s="2">
        <v>45078</v>
      </c>
      <c r="B910" s="3">
        <v>3.6</v>
      </c>
      <c r="C910" s="4">
        <v>0</v>
      </c>
    </row>
    <row r="911" spans="1:3" x14ac:dyDescent="0.45">
      <c r="A911" s="2">
        <v>45108</v>
      </c>
      <c r="B911" s="3">
        <v>3.5</v>
      </c>
      <c r="C911" s="4">
        <v>-0.10000000000000009</v>
      </c>
    </row>
    <row r="912" spans="1:3" x14ac:dyDescent="0.45">
      <c r="A912" s="2">
        <v>45139</v>
      </c>
      <c r="B912" s="3">
        <v>3.7</v>
      </c>
      <c r="C912" s="4">
        <v>0.20000000000000018</v>
      </c>
    </row>
    <row r="913" spans="1:3" x14ac:dyDescent="0.45">
      <c r="A913" s="2">
        <v>45170</v>
      </c>
      <c r="B913" s="3">
        <v>3.7</v>
      </c>
      <c r="C913" s="4">
        <v>0</v>
      </c>
    </row>
    <row r="914" spans="1:3" x14ac:dyDescent="0.45">
      <c r="A914" s="2">
        <v>45200</v>
      </c>
      <c r="B914" s="3">
        <v>3.9</v>
      </c>
      <c r="C914" s="4">
        <v>0.19999999999999973</v>
      </c>
    </row>
    <row r="915" spans="1:3" x14ac:dyDescent="0.45">
      <c r="A915" s="2">
        <v>45231</v>
      </c>
      <c r="B915" s="3">
        <v>3.7</v>
      </c>
      <c r="C915" s="4">
        <v>-0.19999999999999973</v>
      </c>
    </row>
    <row r="916" spans="1:3" x14ac:dyDescent="0.45">
      <c r="A916" s="2">
        <v>45261</v>
      </c>
      <c r="B916" s="3">
        <v>3.8</v>
      </c>
      <c r="C916" s="4">
        <v>9.9999999999999645E-2</v>
      </c>
    </row>
    <row r="917" spans="1:3" x14ac:dyDescent="0.45">
      <c r="A917" s="2">
        <v>45292</v>
      </c>
      <c r="B917" s="3">
        <v>3.7</v>
      </c>
      <c r="C917" s="4">
        <v>-9.9999999999999645E-2</v>
      </c>
    </row>
    <row r="918" spans="1:3" x14ac:dyDescent="0.45">
      <c r="A918" s="2">
        <v>45323</v>
      </c>
      <c r="B918" s="3">
        <v>3.9</v>
      </c>
      <c r="C918" s="4">
        <v>0.19999999999999973</v>
      </c>
    </row>
    <row r="919" spans="1:3" x14ac:dyDescent="0.45">
      <c r="A919" s="2">
        <v>45352</v>
      </c>
      <c r="B919" s="3">
        <v>3.9</v>
      </c>
      <c r="C919" s="4">
        <v>0</v>
      </c>
    </row>
    <row r="920" spans="1:3" x14ac:dyDescent="0.45">
      <c r="A920" s="2">
        <v>45383</v>
      </c>
      <c r="B920" s="3">
        <v>3.9</v>
      </c>
      <c r="C920" s="4">
        <v>0</v>
      </c>
    </row>
    <row r="921" spans="1:3" x14ac:dyDescent="0.45">
      <c r="A921" s="2">
        <v>45413</v>
      </c>
      <c r="B921" s="3">
        <v>3.9</v>
      </c>
      <c r="C921" s="4">
        <v>0</v>
      </c>
    </row>
    <row r="922" spans="1:3" x14ac:dyDescent="0.45">
      <c r="A922" s="2">
        <v>45444</v>
      </c>
      <c r="B922" s="3">
        <v>4.0999999999999996</v>
      </c>
      <c r="C922" s="4">
        <v>0.19999999999999973</v>
      </c>
    </row>
    <row r="923" spans="1:3" x14ac:dyDescent="0.45">
      <c r="A923" s="2">
        <v>45474</v>
      </c>
      <c r="B923" s="3">
        <v>4.2</v>
      </c>
      <c r="C923" s="4">
        <v>0.10000000000000053</v>
      </c>
    </row>
    <row r="924" spans="1:3" x14ac:dyDescent="0.45">
      <c r="A924" s="2">
        <v>45505</v>
      </c>
      <c r="B924" s="3">
        <v>4.2</v>
      </c>
      <c r="C924" s="4">
        <v>0</v>
      </c>
    </row>
    <row r="925" spans="1:3" x14ac:dyDescent="0.45">
      <c r="A925" s="2">
        <v>45536</v>
      </c>
      <c r="B925" s="3">
        <v>4.0999999999999996</v>
      </c>
      <c r="C925" s="4">
        <v>-0.10000000000000053</v>
      </c>
    </row>
    <row r="926" spans="1:3" x14ac:dyDescent="0.45">
      <c r="A926" s="2">
        <v>45566</v>
      </c>
      <c r="B926" s="3">
        <v>4.0999999999999996</v>
      </c>
      <c r="C926" s="4">
        <v>0</v>
      </c>
    </row>
    <row r="927" spans="1:3" x14ac:dyDescent="0.45">
      <c r="A927" s="2">
        <v>45597</v>
      </c>
      <c r="B927" s="3">
        <v>4.2</v>
      </c>
      <c r="C927" s="4">
        <v>0.10000000000000053</v>
      </c>
    </row>
    <row r="928" spans="1:3" x14ac:dyDescent="0.45">
      <c r="A928" s="2">
        <v>45627</v>
      </c>
      <c r="B928" s="3">
        <v>4.0999999999999996</v>
      </c>
      <c r="C928" s="4">
        <v>-0.10000000000000053</v>
      </c>
    </row>
    <row r="929" spans="1:3" x14ac:dyDescent="0.45">
      <c r="A929" s="2">
        <v>45658</v>
      </c>
      <c r="B929" s="3">
        <v>4</v>
      </c>
      <c r="C929" s="4">
        <v>-9.9999999999999645E-2</v>
      </c>
    </row>
    <row r="930" spans="1:3" x14ac:dyDescent="0.45">
      <c r="A930" s="2">
        <v>45689</v>
      </c>
      <c r="B930" s="3">
        <v>4.2</v>
      </c>
      <c r="C930" s="4">
        <v>0.20000000000000018</v>
      </c>
    </row>
    <row r="931" spans="1:3" x14ac:dyDescent="0.45">
      <c r="A931" s="2">
        <v>45717</v>
      </c>
      <c r="B931" s="3">
        <v>4.2</v>
      </c>
      <c r="C931" s="4">
        <v>0</v>
      </c>
    </row>
    <row r="932" spans="1:3" x14ac:dyDescent="0.45">
      <c r="A932" s="2">
        <v>45748</v>
      </c>
      <c r="B932" s="3">
        <v>4.2</v>
      </c>
      <c r="C932" s="4">
        <v>0</v>
      </c>
    </row>
    <row r="933" spans="1:3" x14ac:dyDescent="0.45">
      <c r="A933" s="2">
        <v>45778</v>
      </c>
      <c r="B933" s="3">
        <v>4.3</v>
      </c>
      <c r="C933" s="4">
        <v>9.9999999999999645E-2</v>
      </c>
    </row>
    <row r="934" spans="1:3" x14ac:dyDescent="0.45">
      <c r="A934" s="2">
        <v>45809</v>
      </c>
      <c r="B934" s="3">
        <v>4.0999999999999996</v>
      </c>
      <c r="C934" s="4">
        <v>-0.20000000000000018</v>
      </c>
    </row>
    <row r="935" spans="1:3" x14ac:dyDescent="0.45">
      <c r="A935" s="2">
        <v>45839</v>
      </c>
      <c r="B935" s="3">
        <v>4.3</v>
      </c>
      <c r="C935" s="4">
        <v>0.20000000000000018</v>
      </c>
    </row>
    <row r="936" spans="1:3" x14ac:dyDescent="0.45">
      <c r="A936" s="2">
        <v>45870</v>
      </c>
      <c r="B936" s="3">
        <v>4.3</v>
      </c>
      <c r="C936" s="4">
        <v>0</v>
      </c>
    </row>
    <row r="937" spans="1:3" x14ac:dyDescent="0.45">
      <c r="A937" s="2">
        <v>45901</v>
      </c>
      <c r="B937" s="3">
        <v>4.4000000000000004</v>
      </c>
      <c r="C937" s="4">
        <v>0.10000000000000053</v>
      </c>
    </row>
    <row r="938" spans="1:3" x14ac:dyDescent="0.45">
      <c r="A938" s="2">
        <v>45962</v>
      </c>
      <c r="B938" s="3">
        <v>4.5</v>
      </c>
      <c r="C938" s="4">
        <v>9.9999999999999645E-2</v>
      </c>
    </row>
    <row r="939" spans="1:3" x14ac:dyDescent="0.45">
      <c r="A939" s="2">
        <v>45992</v>
      </c>
      <c r="B939" s="3">
        <v>4.4000000000000004</v>
      </c>
      <c r="C939" s="4">
        <v>-9.9999999999999645E-2</v>
      </c>
    </row>
    <row r="940" spans="1:3" x14ac:dyDescent="0.45">
      <c r="A940" s="2">
        <v>46023</v>
      </c>
      <c r="B940" s="3">
        <v>4.3</v>
      </c>
      <c r="C940" s="4">
        <v>-0.10000000000000053</v>
      </c>
    </row>
    <row r="941" spans="1:3" x14ac:dyDescent="0.45">
      <c r="A941" s="2">
        <v>46054</v>
      </c>
      <c r="B941" s="3">
        <v>4.4000000000000004</v>
      </c>
      <c r="C941" s="4">
        <v>0.10000000000000053</v>
      </c>
    </row>
    <row r="942" spans="1:3" x14ac:dyDescent="0.45">
      <c r="A942" s="2">
        <v>46082</v>
      </c>
      <c r="B942" s="3">
        <v>4.3</v>
      </c>
      <c r="C942" s="4">
        <v>-0.10000000000000053</v>
      </c>
    </row>
    <row r="943" spans="1:3" x14ac:dyDescent="0.45">
      <c r="A943" s="2">
        <v>46113</v>
      </c>
      <c r="B943" s="3">
        <v>4.3</v>
      </c>
      <c r="C943" s="4">
        <v>0</v>
      </c>
    </row>
    <row r="944" spans="1:3" x14ac:dyDescent="0.45">
      <c r="A944" s="2">
        <v>46143</v>
      </c>
      <c r="B944" s="3">
        <v>4.3</v>
      </c>
      <c r="C944" s="4">
        <v>0</v>
      </c>
    </row>
    <row r="945" spans="1:3" x14ac:dyDescent="0.45">
      <c r="A945" s="2">
        <v>46174</v>
      </c>
      <c r="B945" s="3">
        <v>4.2</v>
      </c>
      <c r="C945" s="4">
        <v>-9.9999999999999645E-2</v>
      </c>
    </row>
    <row r="946" spans="1:3" x14ac:dyDescent="0.45">
      <c r="A946" s="2">
        <v>46204</v>
      </c>
      <c r="B946" s="3">
        <v>4.0999999999999996</v>
      </c>
      <c r="C946" s="4">
        <f>B946-B945</f>
        <v>-0.10000000000000053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3A1B-A8D2-4D68-A57A-91C95D627D47}">
  <dimension ref="A1:X718"/>
  <sheetViews>
    <sheetView workbookViewId="0"/>
  </sheetViews>
  <sheetFormatPr defaultRowHeight="14.25" x14ac:dyDescent="0.45"/>
  <cols>
    <col min="1" max="1" width="72.265625" bestFit="1" customWidth="1"/>
    <col min="2" max="2" width="5.265625" bestFit="1" customWidth="1"/>
    <col min="3" max="3" width="11.46484375" bestFit="1" customWidth="1"/>
    <col min="6" max="6" width="32.3984375" bestFit="1" customWidth="1"/>
    <col min="7" max="7" width="15.73046875" bestFit="1" customWidth="1"/>
    <col min="8" max="8" width="22.06640625" bestFit="1" customWidth="1"/>
    <col min="9" max="9" width="8.86328125" bestFit="1" customWidth="1"/>
    <col min="10" max="10" width="11.265625" bestFit="1" customWidth="1"/>
    <col min="12" max="12" width="9.6640625" bestFit="1" customWidth="1"/>
    <col min="17" max="17" width="22.796875" bestFit="1" customWidth="1"/>
    <col min="18" max="18" width="12.33203125" bestFit="1" customWidth="1"/>
    <col min="19" max="19" width="45.06640625" bestFit="1" customWidth="1"/>
    <col min="21" max="21" width="23.796875" bestFit="1" customWidth="1"/>
    <col min="22" max="24" width="12.33203125" bestFit="1" customWidth="1"/>
  </cols>
  <sheetData>
    <row r="1" spans="1:24" x14ac:dyDescent="0.45">
      <c r="A1" s="1" t="s">
        <v>64</v>
      </c>
    </row>
    <row r="2" spans="1:24" x14ac:dyDescent="0.45">
      <c r="A2" t="s">
        <v>120</v>
      </c>
      <c r="F2" s="1" t="s">
        <v>4</v>
      </c>
      <c r="Q2" s="1" t="s">
        <v>65</v>
      </c>
      <c r="U2" s="1" t="s">
        <v>32</v>
      </c>
    </row>
    <row r="3" spans="1:24" x14ac:dyDescent="0.45">
      <c r="F3" t="s">
        <v>5</v>
      </c>
      <c r="G3" s="3">
        <f>B$718</f>
        <v>76.099999999999994</v>
      </c>
      <c r="Q3" t="s">
        <v>19</v>
      </c>
      <c r="R3" s="4">
        <f>AVERAGE($C$6:$C$718)</f>
        <v>-1.8639831697054698E-2</v>
      </c>
      <c r="U3" t="s">
        <v>33</v>
      </c>
      <c r="V3">
        <v>1</v>
      </c>
      <c r="W3">
        <v>2</v>
      </c>
      <c r="X3">
        <v>3</v>
      </c>
    </row>
    <row r="4" spans="1:24" x14ac:dyDescent="0.45">
      <c r="A4" s="1" t="s">
        <v>1</v>
      </c>
      <c r="B4" s="1" t="s">
        <v>2</v>
      </c>
      <c r="C4" s="1" t="s">
        <v>60</v>
      </c>
      <c r="F4" t="s">
        <v>6</v>
      </c>
      <c r="G4" s="3">
        <f>AVERAGE($B$5:$B$718)</f>
        <v>79.814991176470585</v>
      </c>
      <c r="Q4" t="s">
        <v>20</v>
      </c>
      <c r="R4">
        <f>_xlfn.STDEV.S($C$6:$C$718)/SQRT(COUNT($C$6:$C$718))</f>
        <v>2.6907300185888747E-2</v>
      </c>
      <c r="U4" t="s">
        <v>34</v>
      </c>
      <c r="V4">
        <f>$R$3+V$3*$R$7</f>
        <v>0.69984050815107635</v>
      </c>
      <c r="W4">
        <f>$R$3+W$3*$R$7</f>
        <v>1.4183208479992075</v>
      </c>
      <c r="X4">
        <f>$R$3+X$3*$R$7</f>
        <v>2.1368011878473387</v>
      </c>
    </row>
    <row r="5" spans="1:24" x14ac:dyDescent="0.45">
      <c r="A5" s="2">
        <v>24473</v>
      </c>
      <c r="B5" s="3">
        <v>89.390199999999993</v>
      </c>
      <c r="C5" s="4"/>
      <c r="F5" t="s">
        <v>7</v>
      </c>
      <c r="G5" s="3">
        <f>_xlfn.STDEV.S($B$5:$B$718)</f>
        <v>4.2171219056338343</v>
      </c>
      <c r="Q5" t="s">
        <v>21</v>
      </c>
      <c r="R5" s="4">
        <f>MEDIAN($C$6:$C$718)</f>
        <v>2.1299999999996544E-2</v>
      </c>
      <c r="U5" t="s">
        <v>35</v>
      </c>
      <c r="V5">
        <f>$R$3-V$3*$R$7</f>
        <v>-0.73712017154518583</v>
      </c>
      <c r="W5">
        <f>$R$3-W$3*$R$7</f>
        <v>-1.4556005113933168</v>
      </c>
      <c r="X5">
        <f>$R$3-X$3*$R$7</f>
        <v>-2.174080851241448</v>
      </c>
    </row>
    <row r="6" spans="1:24" x14ac:dyDescent="0.45">
      <c r="A6" s="2">
        <v>24504</v>
      </c>
      <c r="B6" s="3">
        <v>87.974999999999994</v>
      </c>
      <c r="C6" s="4">
        <v>-1.4151999999999987</v>
      </c>
      <c r="F6" t="s">
        <v>8</v>
      </c>
      <c r="G6" s="3">
        <f>(G3-G4)/G5</f>
        <v>-0.88093046859934832</v>
      </c>
      <c r="Q6" t="s">
        <v>22</v>
      </c>
      <c r="R6">
        <f>_xlfn.MODE.SNGL($C$6:$C$718)</f>
        <v>0.15240000000000009</v>
      </c>
    </row>
    <row r="7" spans="1:24" x14ac:dyDescent="0.45">
      <c r="A7" s="2">
        <v>24532</v>
      </c>
      <c r="B7" s="3">
        <v>87.083500000000001</v>
      </c>
      <c r="C7" s="4">
        <v>-0.89149999999999352</v>
      </c>
      <c r="F7" t="s">
        <v>9</v>
      </c>
      <c r="G7" s="5">
        <f>_xlfn.PERCENTRANK.INC($B$5:$B$718,G3)</f>
        <v>0.17899999999999999</v>
      </c>
      <c r="Q7" t="s">
        <v>23</v>
      </c>
      <c r="R7">
        <f>_xlfn.STDEV.S($C$6:$C$718)</f>
        <v>0.71848033984813109</v>
      </c>
      <c r="U7" s="1" t="s">
        <v>36</v>
      </c>
    </row>
    <row r="8" spans="1:24" x14ac:dyDescent="0.45">
      <c r="A8" s="2">
        <v>24563</v>
      </c>
      <c r="B8" s="3">
        <v>87.508899999999997</v>
      </c>
      <c r="C8" s="4">
        <v>0.42539999999999623</v>
      </c>
      <c r="F8" t="s">
        <v>10</v>
      </c>
      <c r="G8" t="str">
        <f>IF(G6&gt;=2,"EXTREME HIGH",IF(G6&gt;=1,"HIGH (+1 to +2σ)",IF(G6&lt;=-2,"EXTREME LOW",IF(G6&lt;=-1,"LOW (-1 to -2σ)","NORMAL (±1σ)"))))</f>
        <v>NORMAL (±1σ)</v>
      </c>
      <c r="Q8" t="s">
        <v>24</v>
      </c>
      <c r="R8">
        <f>_xlfn.VAR.S($C$6:$C$718)</f>
        <v>0.51621399874828588</v>
      </c>
      <c r="U8" t="s">
        <v>37</v>
      </c>
      <c r="V8" t="s">
        <v>38</v>
      </c>
      <c r="W8" t="s">
        <v>39</v>
      </c>
      <c r="X8" t="s">
        <v>40</v>
      </c>
    </row>
    <row r="9" spans="1:24" x14ac:dyDescent="0.45">
      <c r="A9" s="2">
        <v>24593</v>
      </c>
      <c r="B9" s="3">
        <v>86.3566</v>
      </c>
      <c r="C9" s="4">
        <v>-1.1522999999999968</v>
      </c>
      <c r="F9" t="s">
        <v>11</v>
      </c>
      <c r="G9" t="str">
        <f>IF(G6&gt;=1,"STRONG vs history",IF(G6&lt;=-1,"WEAK vs history","NEUTRAL vs history"))</f>
        <v>NEUTRAL vs history</v>
      </c>
      <c r="Q9" t="s">
        <v>25</v>
      </c>
      <c r="R9">
        <f>KURT($C$6:$C$718)</f>
        <v>49.648748040105041</v>
      </c>
      <c r="S9" t="str">
        <f>IF(R9&gt;0,"More peaked than normal — fat tails (excess kurtosis &gt; 0)",IF(R9&lt;0,"Flatter than normal — thin tails (excess kurtosis &lt; 0)","Approximately normal kurtosis"))</f>
        <v>More peaked than normal — fat tails (excess kurtosis &gt; 0)</v>
      </c>
      <c r="U9">
        <v>1</v>
      </c>
      <c r="V9" s="5">
        <f>COUNTIFS($C$6:$C$718,"&gt;="&amp;($R$3-$R$7*$U9),$C$6:$C$718,"&lt;="&amp;($R$3+$R$7*$U9))/$R$15</f>
        <v>0.8541374474053296</v>
      </c>
      <c r="W9" s="5">
        <v>0.68200000000000005</v>
      </c>
      <c r="X9" t="str">
        <f>IF(V9&gt;W9+0.02,"fat tails",IF(V9&lt;W9-0.02,"thin tails","≈ normal"))</f>
        <v>fat tails</v>
      </c>
    </row>
    <row r="10" spans="1:24" x14ac:dyDescent="0.45">
      <c r="A10" s="2">
        <v>24624</v>
      </c>
      <c r="B10" s="3">
        <v>85.960300000000004</v>
      </c>
      <c r="C10" s="4">
        <v>-0.39629999999999654</v>
      </c>
      <c r="Q10" t="s">
        <v>26</v>
      </c>
      <c r="R10">
        <f>SKEW($C$6:$C$718)</f>
        <v>-3.6435308633326491</v>
      </c>
      <c r="S10" t="str">
        <f>IF(R10&gt;0,"Positive skew — bigger fat tail on the upside",IF(R10&lt;0,"Negative skew — bigger fat tail on the downside","Approximately symmetric"))</f>
        <v>Negative skew — bigger fat tail on the downside</v>
      </c>
      <c r="U10">
        <v>2</v>
      </c>
      <c r="V10" s="5">
        <f>COUNTIFS($C$6:$C$718,"&gt;="&amp;($R$3-$R$7*$U10),$C$6:$C$718,"&lt;="&amp;($R$3+$R$7*$U10))/$R$15</f>
        <v>0.967741935483871</v>
      </c>
      <c r="W10" s="5">
        <v>0.95399999999999996</v>
      </c>
      <c r="X10" t="str">
        <f>IF(V10&gt;W10+0.02,"fat tails",IF(V10&lt;W10-0.02,"thin tails","≈ normal"))</f>
        <v>≈ normal</v>
      </c>
    </row>
    <row r="11" spans="1:24" x14ac:dyDescent="0.45">
      <c r="A11" s="2">
        <v>24654</v>
      </c>
      <c r="B11" s="3">
        <v>85.383300000000006</v>
      </c>
      <c r="C11" s="4">
        <v>-0.57699999999999818</v>
      </c>
      <c r="H11" s="1" t="s">
        <v>61</v>
      </c>
      <c r="Q11" t="s">
        <v>15</v>
      </c>
      <c r="R11" s="4">
        <f>MAX($C$6:$C$718)-MIN($C$6:$C$718)</f>
        <v>14.03840000000001</v>
      </c>
      <c r="U11">
        <v>3</v>
      </c>
      <c r="V11" s="5">
        <f>COUNTIFS($C$6:$C$718,"&gt;="&amp;($R$3-$R$7*$U11),$C$6:$C$718,"&lt;="&amp;($R$3+$R$7*$U11))/$R$15</f>
        <v>0.98597475455820471</v>
      </c>
      <c r="W11" s="5">
        <v>0.997</v>
      </c>
      <c r="X11" t="str">
        <f>IF(V11&gt;W11+0.02,"fat tails",IF(V11&lt;W11-0.02,"thin tails","≈ normal"))</f>
        <v>≈ normal</v>
      </c>
    </row>
    <row r="12" spans="1:24" x14ac:dyDescent="0.45">
      <c r="A12" s="2">
        <v>24685</v>
      </c>
      <c r="B12" s="3">
        <v>86.633899999999997</v>
      </c>
      <c r="C12" s="4">
        <v>1.2505999999999915</v>
      </c>
      <c r="H12" t="s">
        <v>13</v>
      </c>
      <c r="I12" t="s">
        <v>14</v>
      </c>
      <c r="J12" t="s">
        <v>15</v>
      </c>
      <c r="K12" t="s">
        <v>16</v>
      </c>
      <c r="L12" t="s">
        <v>17</v>
      </c>
      <c r="Q12" t="s">
        <v>27</v>
      </c>
      <c r="R12" s="4">
        <f>MIN($C$6:$C$718)</f>
        <v>-9.7040000000000077</v>
      </c>
    </row>
    <row r="13" spans="1:24" x14ac:dyDescent="0.45">
      <c r="A13" s="2">
        <v>24716</v>
      </c>
      <c r="B13" s="3">
        <v>86.112200000000001</v>
      </c>
      <c r="C13" s="4">
        <v>-0.52169999999999561</v>
      </c>
      <c r="H13" s="6">
        <f>$R$12+($R$11/12)*(ROW()-12)</f>
        <v>-8.5341333333333402</v>
      </c>
      <c r="I13" s="7">
        <f>COUNTIFS($C$6:$C$718,"&gt;="&amp;$R$12,$C$6:$C$718,"&lt;="&amp;H13)</f>
        <v>1</v>
      </c>
      <c r="J13" t="str">
        <f>TEXT($R$12,"0.00")&amp;" to "&amp;TEXT(H13,"0.00")</f>
        <v>-9.70 to -8.53</v>
      </c>
      <c r="K13" s="5">
        <f>I13/$R$15</f>
        <v>1.4025245441795231E-3</v>
      </c>
      <c r="L13" s="5">
        <f>SUM($K$13:K13)</f>
        <v>1.4025245441795231E-3</v>
      </c>
      <c r="Q13" t="s">
        <v>28</v>
      </c>
      <c r="R13" s="4">
        <f>MAX($C$6:$C$718)</f>
        <v>4.3344000000000023</v>
      </c>
    </row>
    <row r="14" spans="1:24" x14ac:dyDescent="0.45">
      <c r="A14" s="2">
        <v>24746</v>
      </c>
      <c r="B14" s="3">
        <v>86.432500000000005</v>
      </c>
      <c r="C14" s="4">
        <v>0.32030000000000314</v>
      </c>
      <c r="H14" s="6">
        <f>$R$12+($R$11/12)*(ROW()-12)</f>
        <v>-7.3642666666666727</v>
      </c>
      <c r="I14" s="7">
        <f>COUNTIFS($C$6:$C$718,"&gt;"&amp;H13,$C$6:$C$718,"&lt;="&amp;H14)</f>
        <v>0</v>
      </c>
      <c r="J14" t="str">
        <f>TEXT(H13,"0.00")&amp;" to "&amp;TEXT(H14,"0.00")</f>
        <v>-8.53 to -7.36</v>
      </c>
      <c r="K14" s="5">
        <f>I14/$R$15</f>
        <v>0</v>
      </c>
      <c r="L14" s="5">
        <f>SUM($K$13:K14)</f>
        <v>1.4025245441795231E-3</v>
      </c>
      <c r="Q14" t="s">
        <v>29</v>
      </c>
      <c r="R14" s="4">
        <f>SUM($C$6:$C$718)</f>
        <v>-13.290199999999999</v>
      </c>
    </row>
    <row r="15" spans="1:24" x14ac:dyDescent="0.45">
      <c r="A15" s="2">
        <v>24777</v>
      </c>
      <c r="B15" s="3">
        <v>87.285600000000002</v>
      </c>
      <c r="C15" s="4">
        <v>0.85309999999999775</v>
      </c>
      <c r="H15" s="6">
        <f>$R$12+($R$11/12)*(ROW()-12)</f>
        <v>-6.1944000000000052</v>
      </c>
      <c r="I15" s="7">
        <f>COUNTIFS($C$6:$C$718,"&gt;"&amp;H14,$C$6:$C$718,"&lt;="&amp;H15)</f>
        <v>0</v>
      </c>
      <c r="J15" t="str">
        <f>TEXT(H14,"0.00")&amp;" to "&amp;TEXT(H15,"0.00")</f>
        <v>-7.36 to -6.19</v>
      </c>
      <c r="K15" s="5">
        <f>I15/$R$15</f>
        <v>0</v>
      </c>
      <c r="L15" s="5">
        <f>SUM($K$13:K15)</f>
        <v>1.4025245441795231E-3</v>
      </c>
      <c r="Q15" t="s">
        <v>30</v>
      </c>
      <c r="R15">
        <f>COUNT($C$6:$C$718)</f>
        <v>713</v>
      </c>
      <c r="S15" t="s">
        <v>63</v>
      </c>
    </row>
    <row r="16" spans="1:24" x14ac:dyDescent="0.45">
      <c r="A16" s="2">
        <v>24807</v>
      </c>
      <c r="B16" s="3">
        <v>87.841700000000003</v>
      </c>
      <c r="C16" s="4">
        <v>0.5561000000000007</v>
      </c>
      <c r="H16" s="6">
        <f>$R$12+($R$11/12)*(ROW()-12)</f>
        <v>-5.0245333333333377</v>
      </c>
      <c r="I16" s="7">
        <f>COUNTIFS($C$6:$C$718,"&gt;"&amp;H15,$C$6:$C$718,"&lt;="&amp;H16)</f>
        <v>0</v>
      </c>
      <c r="J16" t="str">
        <f>TEXT(H15,"0.00")&amp;" to "&amp;TEXT(H16,"0.00")</f>
        <v>-6.19 to -5.02</v>
      </c>
      <c r="K16" s="5">
        <f>I16/$R$15</f>
        <v>0</v>
      </c>
      <c r="L16" s="5">
        <f>SUM($K$13:K16)</f>
        <v>1.4025245441795231E-3</v>
      </c>
    </row>
    <row r="17" spans="1:12" x14ac:dyDescent="0.45">
      <c r="A17" s="2">
        <v>24838</v>
      </c>
      <c r="B17" s="3">
        <v>87.385599999999997</v>
      </c>
      <c r="C17" s="4">
        <v>-0.45610000000000639</v>
      </c>
      <c r="H17" s="6">
        <f>$R$12+($R$11/12)*(ROW()-12)</f>
        <v>-3.8546666666666702</v>
      </c>
      <c r="I17" s="7">
        <f>COUNTIFS($C$6:$C$718,"&gt;"&amp;H16,$C$6:$C$718,"&lt;="&amp;H17)</f>
        <v>0</v>
      </c>
      <c r="J17" t="str">
        <f>TEXT(H16,"0.00")&amp;" to "&amp;TEXT(H17,"0.00")</f>
        <v>-5.02 to -3.85</v>
      </c>
      <c r="K17" s="5">
        <f>I17/$R$15</f>
        <v>0</v>
      </c>
      <c r="L17" s="5">
        <f>SUM($K$13:K17)</f>
        <v>1.4025245441795231E-3</v>
      </c>
    </row>
    <row r="18" spans="1:12" x14ac:dyDescent="0.45">
      <c r="A18" s="2">
        <v>24869</v>
      </c>
      <c r="B18" s="3">
        <v>87.352000000000004</v>
      </c>
      <c r="C18" s="4">
        <v>-3.3599999999992747E-2</v>
      </c>
      <c r="H18" s="6">
        <f>$R$12+($R$11/12)*(ROW()-12)</f>
        <v>-2.6848000000000027</v>
      </c>
      <c r="I18" s="7">
        <f>COUNTIFS($C$6:$C$718,"&gt;"&amp;H17,$C$6:$C$718,"&lt;="&amp;H18)</f>
        <v>4</v>
      </c>
      <c r="J18" t="str">
        <f>TEXT(H17,"0.00")&amp;" to "&amp;TEXT(H18,"0.00")</f>
        <v>-3.85 to -2.68</v>
      </c>
      <c r="K18" s="5">
        <f>I18/$R$15</f>
        <v>5.6100981767180924E-3</v>
      </c>
      <c r="L18" s="5">
        <f>SUM($K$13:K18)</f>
        <v>7.0126227208976155E-3</v>
      </c>
    </row>
    <row r="19" spans="1:12" x14ac:dyDescent="0.45">
      <c r="A19" s="2">
        <v>24898</v>
      </c>
      <c r="B19" s="3">
        <v>87.279399999999995</v>
      </c>
      <c r="C19" s="4">
        <v>-7.2600000000008436E-2</v>
      </c>
      <c r="H19" s="6">
        <f>$R$12+($R$11/12)*(ROW()-12)</f>
        <v>-1.5149333333333352</v>
      </c>
      <c r="I19" s="7">
        <f>COUNTIFS($C$6:$C$718,"&gt;"&amp;H18,$C$6:$C$718,"&lt;="&amp;H19)</f>
        <v>10</v>
      </c>
      <c r="J19" t="str">
        <f>TEXT(H18,"0.00")&amp;" to "&amp;TEXT(H19,"0.00")</f>
        <v>-2.68 to -1.51</v>
      </c>
      <c r="K19" s="5">
        <f>I19/$R$15</f>
        <v>1.4025245441795231E-2</v>
      </c>
      <c r="L19" s="5">
        <f>SUM($K$13:K19)</f>
        <v>2.1037868162692847E-2</v>
      </c>
    </row>
    <row r="20" spans="1:12" x14ac:dyDescent="0.45">
      <c r="A20" s="2">
        <v>24929</v>
      </c>
      <c r="B20" s="3">
        <v>87.062700000000007</v>
      </c>
      <c r="C20" s="4">
        <v>-0.21669999999998879</v>
      </c>
      <c r="H20" s="6">
        <f>$R$12+($R$11/12)*(ROW()-12)</f>
        <v>-0.34506666666666774</v>
      </c>
      <c r="I20" s="7">
        <f>COUNTIFS($C$6:$C$718,"&gt;"&amp;H19,$C$6:$C$718,"&lt;="&amp;H20)</f>
        <v>150</v>
      </c>
      <c r="J20" t="str">
        <f>TEXT(H19,"0.00")&amp;" to "&amp;TEXT(H20,"0.00")</f>
        <v>-1.51 to -0.35</v>
      </c>
      <c r="K20" s="5">
        <f>I20/$R$15</f>
        <v>0.21037868162692847</v>
      </c>
      <c r="L20" s="5">
        <f>SUM($K$13:K20)</f>
        <v>0.23141654978962131</v>
      </c>
    </row>
    <row r="21" spans="1:12" x14ac:dyDescent="0.45">
      <c r="A21" s="2">
        <v>24959</v>
      </c>
      <c r="B21" s="3">
        <v>87.695099999999996</v>
      </c>
      <c r="C21" s="4">
        <v>0.63239999999998986</v>
      </c>
      <c r="H21" s="6">
        <f>$R$12+($R$11/12)*(ROW()-12)</f>
        <v>0.82479999999999976</v>
      </c>
      <c r="I21" s="7">
        <f>COUNTIFS($C$6:$C$718,"&gt;"&amp;H20,$C$6:$C$718,"&lt;="&amp;H21)</f>
        <v>507</v>
      </c>
      <c r="J21" t="str">
        <f>TEXT(H20,"0.00")&amp;" to "&amp;TEXT(H21,"0.00")</f>
        <v>-0.35 to 0.82</v>
      </c>
      <c r="K21" s="5">
        <f>I21/$R$15</f>
        <v>0.71107994389901819</v>
      </c>
      <c r="L21" s="5">
        <f>SUM($K$13:K21)</f>
        <v>0.94249649368863953</v>
      </c>
    </row>
    <row r="22" spans="1:12" x14ac:dyDescent="0.45">
      <c r="A22" s="2">
        <v>24990</v>
      </c>
      <c r="B22" s="3">
        <v>87.674400000000006</v>
      </c>
      <c r="C22" s="4">
        <v>-2.0699999999990837E-2</v>
      </c>
      <c r="H22" s="6">
        <f>$R$12+($R$11/12)*(ROW()-12)</f>
        <v>1.9946666666666673</v>
      </c>
      <c r="I22" s="7">
        <f>COUNTIFS($C$6:$C$718,"&gt;"&amp;H21,$C$6:$C$718,"&lt;="&amp;H22)</f>
        <v>38</v>
      </c>
      <c r="J22" t="str">
        <f>TEXT(H21,"0.00")&amp;" to "&amp;TEXT(H22,"0.00")</f>
        <v>0.82 to 1.99</v>
      </c>
      <c r="K22" s="5">
        <f>I22/$R$15</f>
        <v>5.3295932678821878E-2</v>
      </c>
      <c r="L22" s="5">
        <f>SUM($K$13:K22)</f>
        <v>0.99579242636746135</v>
      </c>
    </row>
    <row r="23" spans="1:12" x14ac:dyDescent="0.45">
      <c r="A23" s="2">
        <v>25020</v>
      </c>
      <c r="B23" s="3">
        <v>87.200199999999995</v>
      </c>
      <c r="C23" s="4">
        <v>-0.47420000000001039</v>
      </c>
      <c r="H23" s="6">
        <f>$R$12+($R$11/12)*(ROW()-12)</f>
        <v>3.1645333333333348</v>
      </c>
      <c r="I23" s="7">
        <f>COUNTIFS($C$6:$C$718,"&gt;"&amp;H22,$C$6:$C$718,"&lt;="&amp;H23)</f>
        <v>2</v>
      </c>
      <c r="J23" t="str">
        <f>TEXT(H22,"0.00")&amp;" to "&amp;TEXT(H23,"0.00")</f>
        <v>1.99 to 3.16</v>
      </c>
      <c r="K23" s="5">
        <f>I23/$R$15</f>
        <v>2.8050490883590462E-3</v>
      </c>
      <c r="L23" s="5">
        <f>SUM($K$13:K23)</f>
        <v>0.99859747545582045</v>
      </c>
    </row>
    <row r="24" spans="1:12" x14ac:dyDescent="0.45">
      <c r="A24" s="2">
        <v>25051</v>
      </c>
      <c r="B24" s="3">
        <v>87.105500000000006</v>
      </c>
      <c r="C24" s="4">
        <v>-9.4699999999988904E-2</v>
      </c>
      <c r="H24" s="6">
        <f>$R$12+($R$11/12)*(ROW()-12)</f>
        <v>4.3344000000000023</v>
      </c>
      <c r="I24" s="7">
        <f>COUNTIFS($C$6:$C$718,"&gt;"&amp;H23,$C$6:$C$718,"&lt;="&amp;H24)</f>
        <v>1</v>
      </c>
      <c r="J24" t="str">
        <f>TEXT(H23,"0.00")&amp;" to "&amp;TEXT(H24,"0.00")</f>
        <v>3.16 to 4.33</v>
      </c>
      <c r="K24" s="5">
        <f>I24/$R$15</f>
        <v>1.4025245441795231E-3</v>
      </c>
      <c r="L24" s="5">
        <f>SUM($K$13:K24)</f>
        <v>1</v>
      </c>
    </row>
    <row r="25" spans="1:12" x14ac:dyDescent="0.45">
      <c r="A25" s="2">
        <v>25082</v>
      </c>
      <c r="B25" s="3">
        <v>87.098799999999997</v>
      </c>
      <c r="C25" s="4">
        <v>-6.7000000000092541E-3</v>
      </c>
    </row>
    <row r="26" spans="1:12" x14ac:dyDescent="0.45">
      <c r="A26" s="2">
        <v>25112</v>
      </c>
      <c r="B26" s="3">
        <v>86.936899999999994</v>
      </c>
      <c r="C26" s="4">
        <v>-0.16190000000000282</v>
      </c>
    </row>
    <row r="27" spans="1:12" x14ac:dyDescent="0.45">
      <c r="A27" s="2">
        <v>25143</v>
      </c>
      <c r="B27" s="3">
        <v>87.724900000000005</v>
      </c>
      <c r="C27" s="4">
        <v>0.78800000000001091</v>
      </c>
    </row>
    <row r="28" spans="1:12" x14ac:dyDescent="0.45">
      <c r="A28" s="2">
        <v>25173</v>
      </c>
      <c r="B28" s="3">
        <v>87.666799999999995</v>
      </c>
      <c r="C28" s="4">
        <v>-5.8100000000010255E-2</v>
      </c>
    </row>
    <row r="29" spans="1:12" x14ac:dyDescent="0.45">
      <c r="A29" s="2">
        <v>25204</v>
      </c>
      <c r="B29" s="3">
        <v>87.871200000000002</v>
      </c>
      <c r="C29" s="4">
        <v>0.2044000000000068</v>
      </c>
    </row>
    <row r="30" spans="1:12" x14ac:dyDescent="0.45">
      <c r="A30" s="2">
        <v>25235</v>
      </c>
      <c r="B30" s="3">
        <v>88.116600000000005</v>
      </c>
      <c r="C30" s="4">
        <v>0.24540000000000362</v>
      </c>
    </row>
    <row r="31" spans="1:12" x14ac:dyDescent="0.45">
      <c r="A31" s="2">
        <v>25263</v>
      </c>
      <c r="B31" s="3">
        <v>88.490200000000002</v>
      </c>
      <c r="C31" s="4">
        <v>0.37359999999999616</v>
      </c>
    </row>
    <row r="32" spans="1:12" x14ac:dyDescent="0.45">
      <c r="A32" s="2">
        <v>25294</v>
      </c>
      <c r="B32" s="3">
        <v>87.850700000000003</v>
      </c>
      <c r="C32" s="4">
        <v>-0.63949999999999818</v>
      </c>
    </row>
    <row r="33" spans="1:3" x14ac:dyDescent="0.45">
      <c r="A33" s="2">
        <v>25324</v>
      </c>
      <c r="B33" s="3">
        <v>87.208100000000002</v>
      </c>
      <c r="C33" s="4">
        <v>-0.64260000000000161</v>
      </c>
    </row>
    <row r="34" spans="1:3" x14ac:dyDescent="0.45">
      <c r="A34" s="2">
        <v>25355</v>
      </c>
      <c r="B34" s="3">
        <v>87.748699999999999</v>
      </c>
      <c r="C34" s="4">
        <v>0.54059999999999775</v>
      </c>
    </row>
    <row r="35" spans="1:3" x14ac:dyDescent="0.45">
      <c r="A35" s="2">
        <v>25385</v>
      </c>
      <c r="B35" s="3">
        <v>87.9011</v>
      </c>
      <c r="C35" s="4">
        <v>0.15240000000000009</v>
      </c>
    </row>
    <row r="36" spans="1:3" x14ac:dyDescent="0.45">
      <c r="A36" s="2">
        <v>25416</v>
      </c>
      <c r="B36" s="3">
        <v>87.793599999999998</v>
      </c>
      <c r="C36" s="4">
        <v>-0.10750000000000171</v>
      </c>
    </row>
    <row r="37" spans="1:3" x14ac:dyDescent="0.45">
      <c r="A37" s="2">
        <v>25447</v>
      </c>
      <c r="B37" s="3">
        <v>87.466700000000003</v>
      </c>
      <c r="C37" s="4">
        <v>-0.32689999999999486</v>
      </c>
    </row>
    <row r="38" spans="1:3" x14ac:dyDescent="0.45">
      <c r="A38" s="2">
        <v>25477</v>
      </c>
      <c r="B38" s="3">
        <v>87.187200000000004</v>
      </c>
      <c r="C38" s="4">
        <v>-0.27949999999999875</v>
      </c>
    </row>
    <row r="39" spans="1:3" x14ac:dyDescent="0.45">
      <c r="A39" s="2">
        <v>25508</v>
      </c>
      <c r="B39" s="3">
        <v>86.065100000000001</v>
      </c>
      <c r="C39" s="4">
        <v>-1.1221000000000032</v>
      </c>
    </row>
    <row r="40" spans="1:3" x14ac:dyDescent="0.45">
      <c r="A40" s="2">
        <v>25538</v>
      </c>
      <c r="B40" s="3">
        <v>85.536799999999999</v>
      </c>
      <c r="C40" s="4">
        <v>-0.52830000000000155</v>
      </c>
    </row>
    <row r="41" spans="1:3" x14ac:dyDescent="0.45">
      <c r="A41" s="2">
        <v>25569</v>
      </c>
      <c r="B41" s="3">
        <v>83.676500000000004</v>
      </c>
      <c r="C41" s="4">
        <v>-1.8602999999999952</v>
      </c>
    </row>
    <row r="42" spans="1:3" x14ac:dyDescent="0.45">
      <c r="A42" s="2">
        <v>25600</v>
      </c>
      <c r="B42" s="3">
        <v>83.360699999999994</v>
      </c>
      <c r="C42" s="4">
        <v>-0.31580000000001007</v>
      </c>
    </row>
    <row r="43" spans="1:3" x14ac:dyDescent="0.45">
      <c r="A43" s="2">
        <v>25628</v>
      </c>
      <c r="B43" s="3">
        <v>82.993499999999997</v>
      </c>
      <c r="C43" s="4">
        <v>-0.36719999999999686</v>
      </c>
    </row>
    <row r="44" spans="1:3" x14ac:dyDescent="0.45">
      <c r="A44" s="2">
        <v>25659</v>
      </c>
      <c r="B44" s="3">
        <v>82.523499999999999</v>
      </c>
      <c r="C44" s="4">
        <v>-0.46999999999999886</v>
      </c>
    </row>
    <row r="45" spans="1:3" x14ac:dyDescent="0.45">
      <c r="A45" s="2">
        <v>25689</v>
      </c>
      <c r="B45" s="3">
        <v>82.172399999999996</v>
      </c>
      <c r="C45" s="4">
        <v>-0.35110000000000241</v>
      </c>
    </row>
    <row r="46" spans="1:3" x14ac:dyDescent="0.45">
      <c r="A46" s="2">
        <v>25720</v>
      </c>
      <c r="B46" s="3">
        <v>81.654200000000003</v>
      </c>
      <c r="C46" s="4">
        <v>-0.51819999999999311</v>
      </c>
    </row>
    <row r="47" spans="1:3" x14ac:dyDescent="0.45">
      <c r="A47" s="2">
        <v>25750</v>
      </c>
      <c r="B47" s="3">
        <v>81.603099999999998</v>
      </c>
      <c r="C47" s="4">
        <v>-5.1100000000005252E-2</v>
      </c>
    </row>
    <row r="48" spans="1:3" x14ac:dyDescent="0.45">
      <c r="A48" s="2">
        <v>25781</v>
      </c>
      <c r="B48" s="3">
        <v>81.207999999999998</v>
      </c>
      <c r="C48" s="4">
        <v>-0.39509999999999934</v>
      </c>
    </row>
    <row r="49" spans="1:3" x14ac:dyDescent="0.45">
      <c r="A49" s="2">
        <v>25812</v>
      </c>
      <c r="B49" s="3">
        <v>80.401899999999998</v>
      </c>
      <c r="C49" s="4">
        <v>-0.8061000000000007</v>
      </c>
    </row>
    <row r="50" spans="1:3" x14ac:dyDescent="0.45">
      <c r="A50" s="2">
        <v>25842</v>
      </c>
      <c r="B50" s="3">
        <v>78.5535</v>
      </c>
      <c r="C50" s="4">
        <v>-1.848399999999998</v>
      </c>
    </row>
    <row r="51" spans="1:3" x14ac:dyDescent="0.45">
      <c r="A51" s="2">
        <v>25873</v>
      </c>
      <c r="B51" s="3">
        <v>77.840699999999998</v>
      </c>
      <c r="C51" s="4">
        <v>-0.71280000000000143</v>
      </c>
    </row>
    <row r="52" spans="1:3" x14ac:dyDescent="0.45">
      <c r="A52" s="2">
        <v>25903</v>
      </c>
      <c r="B52" s="3">
        <v>79.387200000000007</v>
      </c>
      <c r="C52" s="4">
        <v>1.5465000000000089</v>
      </c>
    </row>
    <row r="53" spans="1:3" x14ac:dyDescent="0.45">
      <c r="A53" s="2">
        <v>25934</v>
      </c>
      <c r="B53" s="3">
        <v>79.775300000000001</v>
      </c>
      <c r="C53" s="4">
        <v>0.38809999999999434</v>
      </c>
    </row>
    <row r="54" spans="1:3" x14ac:dyDescent="0.45">
      <c r="A54" s="2">
        <v>25965</v>
      </c>
      <c r="B54" s="3">
        <v>79.421599999999998</v>
      </c>
      <c r="C54" s="4">
        <v>-0.35370000000000346</v>
      </c>
    </row>
    <row r="55" spans="1:3" x14ac:dyDescent="0.45">
      <c r="A55" s="2">
        <v>25993</v>
      </c>
      <c r="B55" s="3">
        <v>79.134799999999998</v>
      </c>
      <c r="C55" s="4">
        <v>-0.2867999999999995</v>
      </c>
    </row>
    <row r="56" spans="1:3" x14ac:dyDescent="0.45">
      <c r="A56" s="2">
        <v>26024</v>
      </c>
      <c r="B56" s="3">
        <v>79.378299999999996</v>
      </c>
      <c r="C56" s="4">
        <v>0.24349999999999739</v>
      </c>
    </row>
    <row r="57" spans="1:3" x14ac:dyDescent="0.45">
      <c r="A57" s="2">
        <v>26054</v>
      </c>
      <c r="B57" s="3">
        <v>79.580200000000005</v>
      </c>
      <c r="C57" s="4">
        <v>0.20190000000000907</v>
      </c>
    </row>
    <row r="58" spans="1:3" x14ac:dyDescent="0.45">
      <c r="A58" s="2">
        <v>26085</v>
      </c>
      <c r="B58" s="3">
        <v>79.713200000000001</v>
      </c>
      <c r="C58" s="4">
        <v>0.13299999999999557</v>
      </c>
    </row>
    <row r="59" spans="1:3" x14ac:dyDescent="0.45">
      <c r="A59" s="2">
        <v>26115</v>
      </c>
      <c r="B59" s="3">
        <v>79.282700000000006</v>
      </c>
      <c r="C59" s="4">
        <v>-0.430499999999995</v>
      </c>
    </row>
    <row r="60" spans="1:3" x14ac:dyDescent="0.45">
      <c r="A60" s="2">
        <v>26146</v>
      </c>
      <c r="B60" s="3">
        <v>78.625500000000002</v>
      </c>
      <c r="C60" s="4">
        <v>-0.65720000000000312</v>
      </c>
    </row>
    <row r="61" spans="1:3" x14ac:dyDescent="0.45">
      <c r="A61" s="2">
        <v>26177</v>
      </c>
      <c r="B61" s="3">
        <v>79.704099999999997</v>
      </c>
      <c r="C61" s="4">
        <v>1.0785999999999945</v>
      </c>
    </row>
    <row r="62" spans="1:3" x14ac:dyDescent="0.45">
      <c r="A62" s="2">
        <v>26207</v>
      </c>
      <c r="B62" s="3">
        <v>80.100899999999996</v>
      </c>
      <c r="C62" s="4">
        <v>0.39679999999999893</v>
      </c>
    </row>
    <row r="63" spans="1:3" x14ac:dyDescent="0.45">
      <c r="A63" s="2">
        <v>26238</v>
      </c>
      <c r="B63" s="3">
        <v>80.241200000000006</v>
      </c>
      <c r="C63" s="4">
        <v>0.14030000000001053</v>
      </c>
    </row>
    <row r="64" spans="1:3" x14ac:dyDescent="0.45">
      <c r="A64" s="2">
        <v>26268</v>
      </c>
      <c r="B64" s="3">
        <v>80.9666</v>
      </c>
      <c r="C64" s="4">
        <v>0.72539999999999338</v>
      </c>
    </row>
    <row r="65" spans="1:3" x14ac:dyDescent="0.45">
      <c r="A65" s="2">
        <v>26299</v>
      </c>
      <c r="B65" s="3">
        <v>82.693799999999996</v>
      </c>
      <c r="C65" s="4">
        <v>1.7271999999999963</v>
      </c>
    </row>
    <row r="66" spans="1:3" x14ac:dyDescent="0.45">
      <c r="A66" s="2">
        <v>26330</v>
      </c>
      <c r="B66" s="3">
        <v>83.329599999999999</v>
      </c>
      <c r="C66" s="4">
        <v>0.63580000000000325</v>
      </c>
    </row>
    <row r="67" spans="1:3" x14ac:dyDescent="0.45">
      <c r="A67" s="2">
        <v>26359</v>
      </c>
      <c r="B67" s="3">
        <v>83.702799999999996</v>
      </c>
      <c r="C67" s="4">
        <v>0.37319999999999709</v>
      </c>
    </row>
    <row r="68" spans="1:3" x14ac:dyDescent="0.45">
      <c r="A68" s="2">
        <v>26390</v>
      </c>
      <c r="B68" s="3">
        <v>84.331500000000005</v>
      </c>
      <c r="C68" s="4">
        <v>0.62870000000000914</v>
      </c>
    </row>
    <row r="69" spans="1:3" x14ac:dyDescent="0.45">
      <c r="A69" s="2">
        <v>26420</v>
      </c>
      <c r="B69" s="3">
        <v>84.132400000000004</v>
      </c>
      <c r="C69" s="4">
        <v>-0.19910000000000139</v>
      </c>
    </row>
    <row r="70" spans="1:3" x14ac:dyDescent="0.45">
      <c r="A70" s="2">
        <v>26451</v>
      </c>
      <c r="B70" s="3">
        <v>84.14</v>
      </c>
      <c r="C70" s="4">
        <v>7.5999999999964984E-3</v>
      </c>
    </row>
    <row r="71" spans="1:3" x14ac:dyDescent="0.45">
      <c r="A71" s="2">
        <v>26481</v>
      </c>
      <c r="B71" s="3">
        <v>83.826899999999995</v>
      </c>
      <c r="C71" s="4">
        <v>-0.31310000000000571</v>
      </c>
    </row>
    <row r="72" spans="1:3" x14ac:dyDescent="0.45">
      <c r="A72" s="2">
        <v>26512</v>
      </c>
      <c r="B72" s="3">
        <v>84.766199999999998</v>
      </c>
      <c r="C72" s="4">
        <v>0.93930000000000291</v>
      </c>
    </row>
    <row r="73" spans="1:3" x14ac:dyDescent="0.45">
      <c r="A73" s="2">
        <v>26543</v>
      </c>
      <c r="B73" s="3">
        <v>85.204099999999997</v>
      </c>
      <c r="C73" s="4">
        <v>0.43789999999999907</v>
      </c>
    </row>
    <row r="74" spans="1:3" x14ac:dyDescent="0.45">
      <c r="A74" s="2">
        <v>26573</v>
      </c>
      <c r="B74" s="3">
        <v>86.035799999999995</v>
      </c>
      <c r="C74" s="4">
        <v>0.83169999999999789</v>
      </c>
    </row>
    <row r="75" spans="1:3" x14ac:dyDescent="0.45">
      <c r="A75" s="2">
        <v>26604</v>
      </c>
      <c r="B75" s="3">
        <v>86.790199999999999</v>
      </c>
      <c r="C75" s="4">
        <v>0.75440000000000396</v>
      </c>
    </row>
    <row r="76" spans="1:3" x14ac:dyDescent="0.45">
      <c r="A76" s="2">
        <v>26634</v>
      </c>
      <c r="B76" s="3">
        <v>87.483900000000006</v>
      </c>
      <c r="C76" s="4">
        <v>0.69370000000000687</v>
      </c>
    </row>
    <row r="77" spans="1:3" x14ac:dyDescent="0.45">
      <c r="A77" s="2">
        <v>26665</v>
      </c>
      <c r="B77" s="3">
        <v>87.837299999999999</v>
      </c>
      <c r="C77" s="4">
        <v>0.3533999999999935</v>
      </c>
    </row>
    <row r="78" spans="1:3" x14ac:dyDescent="0.45">
      <c r="A78" s="2">
        <v>26696</v>
      </c>
      <c r="B78" s="3">
        <v>88.802599999999998</v>
      </c>
      <c r="C78" s="4">
        <v>0.96529999999999916</v>
      </c>
    </row>
    <row r="79" spans="1:3" x14ac:dyDescent="0.45">
      <c r="A79" s="2">
        <v>26724</v>
      </c>
      <c r="B79" s="3">
        <v>88.549499999999995</v>
      </c>
      <c r="C79" s="4">
        <v>-0.25310000000000343</v>
      </c>
    </row>
    <row r="80" spans="1:3" x14ac:dyDescent="0.45">
      <c r="A80" s="2">
        <v>26755</v>
      </c>
      <c r="B80" s="3">
        <v>88.12</v>
      </c>
      <c r="C80" s="4">
        <v>-0.42949999999999022</v>
      </c>
    </row>
    <row r="81" spans="1:3" x14ac:dyDescent="0.45">
      <c r="A81" s="2">
        <v>26785</v>
      </c>
      <c r="B81" s="3">
        <v>88.415700000000001</v>
      </c>
      <c r="C81" s="4">
        <v>0.29569999999999652</v>
      </c>
    </row>
    <row r="82" spans="1:3" x14ac:dyDescent="0.45">
      <c r="A82" s="2">
        <v>26816</v>
      </c>
      <c r="B82" s="3">
        <v>88.226200000000006</v>
      </c>
      <c r="C82" s="4">
        <v>-0.18949999999999534</v>
      </c>
    </row>
    <row r="83" spans="1:3" x14ac:dyDescent="0.45">
      <c r="A83" s="2">
        <v>26846</v>
      </c>
      <c r="B83" s="3">
        <v>88.232900000000001</v>
      </c>
      <c r="C83" s="4">
        <v>6.6999999999950433E-3</v>
      </c>
    </row>
    <row r="84" spans="1:3" x14ac:dyDescent="0.45">
      <c r="A84" s="2">
        <v>26877</v>
      </c>
      <c r="B84" s="3">
        <v>87.809600000000003</v>
      </c>
      <c r="C84" s="4">
        <v>-0.42329999999999757</v>
      </c>
    </row>
    <row r="85" spans="1:3" x14ac:dyDescent="0.45">
      <c r="A85" s="2">
        <v>26908</v>
      </c>
      <c r="B85" s="3">
        <v>88.211100000000002</v>
      </c>
      <c r="C85" s="4">
        <v>0.40149999999999864</v>
      </c>
    </row>
    <row r="86" spans="1:3" x14ac:dyDescent="0.45">
      <c r="A86" s="2">
        <v>26938</v>
      </c>
      <c r="B86" s="3">
        <v>88.660399999999996</v>
      </c>
      <c r="C86" s="4">
        <v>0.44929999999999382</v>
      </c>
    </row>
    <row r="87" spans="1:3" x14ac:dyDescent="0.45">
      <c r="A87" s="2">
        <v>26969</v>
      </c>
      <c r="B87" s="3">
        <v>88.772199999999998</v>
      </c>
      <c r="C87" s="4">
        <v>0.11180000000000234</v>
      </c>
    </row>
    <row r="88" spans="1:3" x14ac:dyDescent="0.45">
      <c r="A88" s="2">
        <v>26999</v>
      </c>
      <c r="B88" s="3">
        <v>88.237200000000001</v>
      </c>
      <c r="C88" s="4">
        <v>-0.53499999999999659</v>
      </c>
    </row>
    <row r="89" spans="1:3" x14ac:dyDescent="0.45">
      <c r="A89" s="2">
        <v>27030</v>
      </c>
      <c r="B89" s="3">
        <v>87.383799999999994</v>
      </c>
      <c r="C89" s="4">
        <v>-0.85340000000000771</v>
      </c>
    </row>
    <row r="90" spans="1:3" x14ac:dyDescent="0.45">
      <c r="A90" s="2">
        <v>27061</v>
      </c>
      <c r="B90" s="3">
        <v>86.846699999999998</v>
      </c>
      <c r="C90" s="4">
        <v>-0.53709999999999525</v>
      </c>
    </row>
    <row r="91" spans="1:3" x14ac:dyDescent="0.45">
      <c r="A91" s="2">
        <v>27089</v>
      </c>
      <c r="B91" s="3">
        <v>86.600300000000004</v>
      </c>
      <c r="C91" s="4">
        <v>-0.24639999999999418</v>
      </c>
    </row>
    <row r="92" spans="1:3" x14ac:dyDescent="0.45">
      <c r="A92" s="2">
        <v>27120</v>
      </c>
      <c r="B92" s="3">
        <v>86.112099999999998</v>
      </c>
      <c r="C92" s="4">
        <v>-0.48820000000000618</v>
      </c>
    </row>
    <row r="93" spans="1:3" x14ac:dyDescent="0.45">
      <c r="A93" s="2">
        <v>27150</v>
      </c>
      <c r="B93" s="3">
        <v>86.567700000000002</v>
      </c>
      <c r="C93" s="4">
        <v>0.455600000000004</v>
      </c>
    </row>
    <row r="94" spans="1:3" x14ac:dyDescent="0.45">
      <c r="A94" s="2">
        <v>27181</v>
      </c>
      <c r="B94" s="3">
        <v>86.198999999999998</v>
      </c>
      <c r="C94" s="4">
        <v>-0.36870000000000402</v>
      </c>
    </row>
    <row r="95" spans="1:3" x14ac:dyDescent="0.45">
      <c r="A95" s="2">
        <v>27211</v>
      </c>
      <c r="B95" s="3">
        <v>86.181399999999996</v>
      </c>
      <c r="C95" s="4">
        <v>-1.7600000000001614E-2</v>
      </c>
    </row>
    <row r="96" spans="1:3" x14ac:dyDescent="0.45">
      <c r="A96" s="2">
        <v>27242</v>
      </c>
      <c r="B96" s="3">
        <v>85.076300000000003</v>
      </c>
      <c r="C96" s="4">
        <v>-1.1050999999999931</v>
      </c>
    </row>
    <row r="97" spans="1:3" x14ac:dyDescent="0.45">
      <c r="A97" s="2">
        <v>27273</v>
      </c>
      <c r="B97" s="3">
        <v>84.895399999999995</v>
      </c>
      <c r="C97" s="4">
        <v>-0.18090000000000828</v>
      </c>
    </row>
    <row r="98" spans="1:3" x14ac:dyDescent="0.45">
      <c r="A98" s="2">
        <v>27303</v>
      </c>
      <c r="B98" s="3">
        <v>84.4923</v>
      </c>
      <c r="C98" s="4">
        <v>-0.40309999999999491</v>
      </c>
    </row>
    <row r="99" spans="1:3" x14ac:dyDescent="0.45">
      <c r="A99" s="2">
        <v>27334</v>
      </c>
      <c r="B99" s="3">
        <v>81.556200000000004</v>
      </c>
      <c r="C99" s="4">
        <v>-2.9360999999999962</v>
      </c>
    </row>
    <row r="100" spans="1:3" x14ac:dyDescent="0.45">
      <c r="A100" s="2">
        <v>27364</v>
      </c>
      <c r="B100" s="3">
        <v>78.471999999999994</v>
      </c>
      <c r="C100" s="4">
        <v>-3.0842000000000098</v>
      </c>
    </row>
    <row r="101" spans="1:3" x14ac:dyDescent="0.45">
      <c r="A101" s="2">
        <v>27395</v>
      </c>
      <c r="B101" s="3">
        <v>77.246899999999997</v>
      </c>
      <c r="C101" s="4">
        <v>-1.2250999999999976</v>
      </c>
    </row>
    <row r="102" spans="1:3" x14ac:dyDescent="0.45">
      <c r="A102" s="2">
        <v>27426</v>
      </c>
      <c r="B102" s="3">
        <v>75.349900000000005</v>
      </c>
      <c r="C102" s="4">
        <v>-1.8969999999999914</v>
      </c>
    </row>
    <row r="103" spans="1:3" x14ac:dyDescent="0.45">
      <c r="A103" s="2">
        <v>27454</v>
      </c>
      <c r="B103" s="3">
        <v>74.388199999999998</v>
      </c>
      <c r="C103" s="4">
        <v>-0.96170000000000755</v>
      </c>
    </row>
    <row r="104" spans="1:3" x14ac:dyDescent="0.45">
      <c r="A104" s="2">
        <v>27485</v>
      </c>
      <c r="B104" s="3">
        <v>74.445899999999995</v>
      </c>
      <c r="C104" s="4">
        <v>5.7699999999996976E-2</v>
      </c>
    </row>
    <row r="105" spans="1:3" x14ac:dyDescent="0.45">
      <c r="A105" s="2">
        <v>27515</v>
      </c>
      <c r="B105" s="3">
        <v>74.086200000000005</v>
      </c>
      <c r="C105" s="4">
        <v>-0.35969999999998947</v>
      </c>
    </row>
    <row r="106" spans="1:3" x14ac:dyDescent="0.45">
      <c r="A106" s="2">
        <v>27546</v>
      </c>
      <c r="B106" s="3">
        <v>74.436099999999996</v>
      </c>
      <c r="C106" s="4">
        <v>0.349899999999991</v>
      </c>
    </row>
    <row r="107" spans="1:3" x14ac:dyDescent="0.45">
      <c r="A107" s="2">
        <v>27576</v>
      </c>
      <c r="B107" s="3">
        <v>75.097700000000003</v>
      </c>
      <c r="C107" s="4">
        <v>0.66160000000000707</v>
      </c>
    </row>
    <row r="108" spans="1:3" x14ac:dyDescent="0.45">
      <c r="A108" s="2">
        <v>27607</v>
      </c>
      <c r="B108" s="3">
        <v>75.712999999999994</v>
      </c>
      <c r="C108" s="4">
        <v>0.61529999999999063</v>
      </c>
    </row>
    <row r="109" spans="1:3" x14ac:dyDescent="0.45">
      <c r="A109" s="2">
        <v>27638</v>
      </c>
      <c r="B109" s="3">
        <v>76.561099999999996</v>
      </c>
      <c r="C109" s="4">
        <v>0.8481000000000023</v>
      </c>
    </row>
    <row r="110" spans="1:3" x14ac:dyDescent="0.45">
      <c r="A110" s="2">
        <v>27668</v>
      </c>
      <c r="B110" s="3">
        <v>76.763000000000005</v>
      </c>
      <c r="C110" s="4">
        <v>0.20190000000000907</v>
      </c>
    </row>
    <row r="111" spans="1:3" x14ac:dyDescent="0.45">
      <c r="A111" s="2">
        <v>27699</v>
      </c>
      <c r="B111" s="3">
        <v>76.725999999999999</v>
      </c>
      <c r="C111" s="4">
        <v>-3.7000000000006139E-2</v>
      </c>
    </row>
    <row r="112" spans="1:3" x14ac:dyDescent="0.45">
      <c r="A112" s="2">
        <v>27729</v>
      </c>
      <c r="B112" s="3">
        <v>77.627099999999999</v>
      </c>
      <c r="C112" s="4">
        <v>0.90109999999999957</v>
      </c>
    </row>
    <row r="113" spans="1:3" x14ac:dyDescent="0.45">
      <c r="A113" s="2">
        <v>27760</v>
      </c>
      <c r="B113" s="3">
        <v>78.498000000000005</v>
      </c>
      <c r="C113" s="4">
        <v>0.870900000000006</v>
      </c>
    </row>
    <row r="114" spans="1:3" x14ac:dyDescent="0.45">
      <c r="A114" s="2">
        <v>27791</v>
      </c>
      <c r="B114" s="3">
        <v>79.105400000000003</v>
      </c>
      <c r="C114" s="4">
        <v>0.60739999999999839</v>
      </c>
    </row>
    <row r="115" spans="1:3" x14ac:dyDescent="0.45">
      <c r="A115" s="2">
        <v>27820</v>
      </c>
      <c r="B115" s="3">
        <v>79.109099999999998</v>
      </c>
      <c r="C115" s="4">
        <v>3.6999999999949296E-3</v>
      </c>
    </row>
    <row r="116" spans="1:3" x14ac:dyDescent="0.45">
      <c r="A116" s="2">
        <v>27851</v>
      </c>
      <c r="B116" s="3">
        <v>79.329899999999995</v>
      </c>
      <c r="C116" s="4">
        <v>0.220799999999997</v>
      </c>
    </row>
    <row r="117" spans="1:3" x14ac:dyDescent="0.45">
      <c r="A117" s="2">
        <v>27881</v>
      </c>
      <c r="B117" s="3">
        <v>79.490799999999993</v>
      </c>
      <c r="C117" s="4">
        <v>0.16089999999999804</v>
      </c>
    </row>
    <row r="118" spans="1:3" x14ac:dyDescent="0.45">
      <c r="A118" s="2">
        <v>27912</v>
      </c>
      <c r="B118" s="3">
        <v>79.391900000000007</v>
      </c>
      <c r="C118" s="4">
        <v>-9.8899999999986221E-2</v>
      </c>
    </row>
    <row r="119" spans="1:3" x14ac:dyDescent="0.45">
      <c r="A119" s="2">
        <v>27942</v>
      </c>
      <c r="B119" s="3">
        <v>79.661199999999994</v>
      </c>
      <c r="C119" s="4">
        <v>0.26929999999998699</v>
      </c>
    </row>
    <row r="120" spans="1:3" x14ac:dyDescent="0.45">
      <c r="A120" s="2">
        <v>27973</v>
      </c>
      <c r="B120" s="3">
        <v>80.023499999999999</v>
      </c>
      <c r="C120" s="4">
        <v>0.36230000000000473</v>
      </c>
    </row>
    <row r="121" spans="1:3" x14ac:dyDescent="0.45">
      <c r="A121" s="2">
        <v>28004</v>
      </c>
      <c r="B121" s="3">
        <v>80.112700000000004</v>
      </c>
      <c r="C121" s="4">
        <v>8.9200000000005275E-2</v>
      </c>
    </row>
    <row r="122" spans="1:3" x14ac:dyDescent="0.45">
      <c r="A122" s="2">
        <v>28034</v>
      </c>
      <c r="B122" s="3">
        <v>79.899299999999997</v>
      </c>
      <c r="C122" s="4">
        <v>-0.21340000000000714</v>
      </c>
    </row>
    <row r="123" spans="1:3" x14ac:dyDescent="0.45">
      <c r="A123" s="2">
        <v>28065</v>
      </c>
      <c r="B123" s="3">
        <v>80.923100000000005</v>
      </c>
      <c r="C123" s="4">
        <v>1.0238000000000085</v>
      </c>
    </row>
    <row r="124" spans="1:3" x14ac:dyDescent="0.45">
      <c r="A124" s="2">
        <v>28095</v>
      </c>
      <c r="B124" s="3">
        <v>81.600700000000003</v>
      </c>
      <c r="C124" s="4">
        <v>0.6775999999999982</v>
      </c>
    </row>
    <row r="125" spans="1:3" x14ac:dyDescent="0.45">
      <c r="A125" s="2">
        <v>28126</v>
      </c>
      <c r="B125" s="3">
        <v>80.835099999999997</v>
      </c>
      <c r="C125" s="4">
        <v>-0.76560000000000628</v>
      </c>
    </row>
    <row r="126" spans="1:3" x14ac:dyDescent="0.45">
      <c r="A126" s="2">
        <v>28157</v>
      </c>
      <c r="B126" s="3">
        <v>81.905900000000003</v>
      </c>
      <c r="C126" s="4">
        <v>1.0708000000000055</v>
      </c>
    </row>
    <row r="127" spans="1:3" x14ac:dyDescent="0.45">
      <c r="A127" s="2">
        <v>28185</v>
      </c>
      <c r="B127" s="3">
        <v>82.741299999999995</v>
      </c>
      <c r="C127" s="4">
        <v>0.83539999999999281</v>
      </c>
    </row>
    <row r="128" spans="1:3" x14ac:dyDescent="0.45">
      <c r="A128" s="2">
        <v>28216</v>
      </c>
      <c r="B128" s="3">
        <v>83.322199999999995</v>
      </c>
      <c r="C128" s="4">
        <v>0.58089999999999975</v>
      </c>
    </row>
    <row r="129" spans="1:3" x14ac:dyDescent="0.45">
      <c r="A129" s="2">
        <v>28246</v>
      </c>
      <c r="B129" s="3">
        <v>83.759699999999995</v>
      </c>
      <c r="C129" s="4">
        <v>0.4375</v>
      </c>
    </row>
    <row r="130" spans="1:3" x14ac:dyDescent="0.45">
      <c r="A130" s="2">
        <v>28277</v>
      </c>
      <c r="B130" s="3">
        <v>84.185900000000004</v>
      </c>
      <c r="C130" s="4">
        <v>0.42620000000000857</v>
      </c>
    </row>
    <row r="131" spans="1:3" x14ac:dyDescent="0.45">
      <c r="A131" s="2">
        <v>28307</v>
      </c>
      <c r="B131" s="3">
        <v>84.066500000000005</v>
      </c>
      <c r="C131" s="4">
        <v>-0.11939999999999884</v>
      </c>
    </row>
    <row r="132" spans="1:3" x14ac:dyDescent="0.45">
      <c r="A132" s="2">
        <v>28338</v>
      </c>
      <c r="B132" s="3">
        <v>83.9208</v>
      </c>
      <c r="C132" s="4">
        <v>-0.14570000000000505</v>
      </c>
    </row>
    <row r="133" spans="1:3" x14ac:dyDescent="0.45">
      <c r="A133" s="2">
        <v>28369</v>
      </c>
      <c r="B133" s="3">
        <v>84.035200000000003</v>
      </c>
      <c r="C133" s="4">
        <v>0.11440000000000339</v>
      </c>
    </row>
    <row r="134" spans="1:3" x14ac:dyDescent="0.45">
      <c r="A134" s="2">
        <v>28399</v>
      </c>
      <c r="B134" s="3">
        <v>83.920699999999997</v>
      </c>
      <c r="C134" s="4">
        <v>-0.11450000000000671</v>
      </c>
    </row>
    <row r="135" spans="1:3" x14ac:dyDescent="0.45">
      <c r="A135" s="2">
        <v>28430</v>
      </c>
      <c r="B135" s="3">
        <v>83.840400000000002</v>
      </c>
      <c r="C135" s="4">
        <v>-8.0299999999994043E-2</v>
      </c>
    </row>
    <row r="136" spans="1:3" x14ac:dyDescent="0.45">
      <c r="A136" s="2">
        <v>28460</v>
      </c>
      <c r="B136" s="3">
        <v>83.756500000000003</v>
      </c>
      <c r="C136" s="4">
        <v>-8.3899999999999864E-2</v>
      </c>
    </row>
    <row r="137" spans="1:3" x14ac:dyDescent="0.45">
      <c r="A137" s="2">
        <v>28491</v>
      </c>
      <c r="B137" s="3">
        <v>82.295500000000004</v>
      </c>
      <c r="C137" s="4">
        <v>-1.4609999999999985</v>
      </c>
    </row>
    <row r="138" spans="1:3" x14ac:dyDescent="0.45">
      <c r="A138" s="2">
        <v>28522</v>
      </c>
      <c r="B138" s="3">
        <v>82.507099999999994</v>
      </c>
      <c r="C138" s="4">
        <v>0.21159999999999002</v>
      </c>
    </row>
    <row r="139" spans="1:3" x14ac:dyDescent="0.45">
      <c r="A139" s="2">
        <v>28550</v>
      </c>
      <c r="B139" s="3">
        <v>83.856800000000007</v>
      </c>
      <c r="C139" s="4">
        <v>1.3497000000000128</v>
      </c>
    </row>
    <row r="140" spans="1:3" x14ac:dyDescent="0.45">
      <c r="A140" s="2">
        <v>28581</v>
      </c>
      <c r="B140" s="3">
        <v>85.323700000000002</v>
      </c>
      <c r="C140" s="4">
        <v>1.4668999999999954</v>
      </c>
    </row>
    <row r="141" spans="1:3" x14ac:dyDescent="0.45">
      <c r="A141" s="2">
        <v>28611</v>
      </c>
      <c r="B141" s="3">
        <v>85.488500000000002</v>
      </c>
      <c r="C141" s="4">
        <v>0.16479999999999961</v>
      </c>
    </row>
    <row r="142" spans="1:3" x14ac:dyDescent="0.45">
      <c r="A142" s="2">
        <v>28642</v>
      </c>
      <c r="B142" s="3">
        <v>85.808700000000002</v>
      </c>
      <c r="C142" s="4">
        <v>0.32019999999999982</v>
      </c>
    </row>
    <row r="143" spans="1:3" x14ac:dyDescent="0.45">
      <c r="A143" s="2">
        <v>28672</v>
      </c>
      <c r="B143" s="3">
        <v>85.506</v>
      </c>
      <c r="C143" s="4">
        <v>-0.30270000000000152</v>
      </c>
    </row>
    <row r="144" spans="1:3" x14ac:dyDescent="0.45">
      <c r="A144" s="2">
        <v>28703</v>
      </c>
      <c r="B144" s="3">
        <v>85.625500000000002</v>
      </c>
      <c r="C144" s="4">
        <v>0.11950000000000216</v>
      </c>
    </row>
    <row r="145" spans="1:3" x14ac:dyDescent="0.45">
      <c r="A145" s="2">
        <v>28734</v>
      </c>
      <c r="B145" s="3">
        <v>85.611199999999997</v>
      </c>
      <c r="C145" s="4">
        <v>-1.4300000000005753E-2</v>
      </c>
    </row>
    <row r="146" spans="1:3" x14ac:dyDescent="0.45">
      <c r="A146" s="2">
        <v>28764</v>
      </c>
      <c r="B146" s="3">
        <v>86.020300000000006</v>
      </c>
      <c r="C146" s="4">
        <v>0.40910000000000935</v>
      </c>
    </row>
    <row r="147" spans="1:3" x14ac:dyDescent="0.45">
      <c r="A147" s="2">
        <v>28795</v>
      </c>
      <c r="B147" s="3">
        <v>86.450699999999998</v>
      </c>
      <c r="C147" s="4">
        <v>0.43039999999999168</v>
      </c>
    </row>
    <row r="148" spans="1:3" x14ac:dyDescent="0.45">
      <c r="A148" s="2">
        <v>28825</v>
      </c>
      <c r="B148" s="3">
        <v>86.648799999999994</v>
      </c>
      <c r="C148" s="4">
        <v>0.19809999999999661</v>
      </c>
    </row>
    <row r="149" spans="1:3" x14ac:dyDescent="0.45">
      <c r="A149" s="2">
        <v>28856</v>
      </c>
      <c r="B149" s="3">
        <v>85.95</v>
      </c>
      <c r="C149" s="4">
        <v>-0.69879999999999143</v>
      </c>
    </row>
    <row r="150" spans="1:3" x14ac:dyDescent="0.45">
      <c r="A150" s="2">
        <v>28887</v>
      </c>
      <c r="B150" s="3">
        <v>86.133300000000006</v>
      </c>
      <c r="C150" s="4">
        <v>0.18330000000000268</v>
      </c>
    </row>
    <row r="151" spans="1:3" x14ac:dyDescent="0.45">
      <c r="A151" s="2">
        <v>28915</v>
      </c>
      <c r="B151" s="3">
        <v>86.187399999999997</v>
      </c>
      <c r="C151" s="4">
        <v>5.4099999999991155E-2</v>
      </c>
    </row>
    <row r="152" spans="1:3" x14ac:dyDescent="0.45">
      <c r="A152" s="2">
        <v>28946</v>
      </c>
      <c r="B152" s="3">
        <v>84.931700000000006</v>
      </c>
      <c r="C152" s="4">
        <v>-1.2556999999999903</v>
      </c>
    </row>
    <row r="153" spans="1:3" x14ac:dyDescent="0.45">
      <c r="A153" s="2">
        <v>28976</v>
      </c>
      <c r="B153" s="3">
        <v>85.4833</v>
      </c>
      <c r="C153" s="4">
        <v>0.55159999999999343</v>
      </c>
    </row>
    <row r="154" spans="1:3" x14ac:dyDescent="0.45">
      <c r="A154" s="2">
        <v>29007</v>
      </c>
      <c r="B154" s="3">
        <v>85.286699999999996</v>
      </c>
      <c r="C154" s="4">
        <v>-0.19660000000000366</v>
      </c>
    </row>
    <row r="155" spans="1:3" x14ac:dyDescent="0.45">
      <c r="A155" s="2">
        <v>29037</v>
      </c>
      <c r="B155" s="3">
        <v>84.937700000000007</v>
      </c>
      <c r="C155" s="4">
        <v>-0.34899999999998954</v>
      </c>
    </row>
    <row r="156" spans="1:3" x14ac:dyDescent="0.45">
      <c r="A156" s="2">
        <v>29068</v>
      </c>
      <c r="B156" s="3">
        <v>84.182000000000002</v>
      </c>
      <c r="C156" s="4">
        <v>-0.75570000000000448</v>
      </c>
    </row>
    <row r="157" spans="1:3" x14ac:dyDescent="0.45">
      <c r="A157" s="2">
        <v>29099</v>
      </c>
      <c r="B157" s="3">
        <v>83.979200000000006</v>
      </c>
      <c r="C157" s="4">
        <v>-0.20279999999999632</v>
      </c>
    </row>
    <row r="158" spans="1:3" x14ac:dyDescent="0.45">
      <c r="A158" s="2">
        <v>29129</v>
      </c>
      <c r="B158" s="3">
        <v>84.406800000000004</v>
      </c>
      <c r="C158" s="4">
        <v>0.4275999999999982</v>
      </c>
    </row>
    <row r="159" spans="1:3" x14ac:dyDescent="0.45">
      <c r="A159" s="2">
        <v>29160</v>
      </c>
      <c r="B159" s="3">
        <v>84.101699999999994</v>
      </c>
      <c r="C159" s="4">
        <v>-0.30510000000001014</v>
      </c>
    </row>
    <row r="160" spans="1:3" x14ac:dyDescent="0.45">
      <c r="A160" s="2">
        <v>29190</v>
      </c>
      <c r="B160" s="3">
        <v>83.991</v>
      </c>
      <c r="C160" s="4">
        <v>-0.11069999999999425</v>
      </c>
    </row>
    <row r="161" spans="1:3" x14ac:dyDescent="0.45">
      <c r="A161" s="2">
        <v>29221</v>
      </c>
      <c r="B161" s="3">
        <v>84.284099999999995</v>
      </c>
      <c r="C161" s="4">
        <v>0.29309999999999548</v>
      </c>
    </row>
    <row r="162" spans="1:3" x14ac:dyDescent="0.45">
      <c r="A162" s="2">
        <v>29252</v>
      </c>
      <c r="B162" s="3">
        <v>84.1494</v>
      </c>
      <c r="C162" s="4">
        <v>-0.13469999999999516</v>
      </c>
    </row>
    <row r="163" spans="1:3" x14ac:dyDescent="0.45">
      <c r="A163" s="2">
        <v>29281</v>
      </c>
      <c r="B163" s="3">
        <v>83.653700000000001</v>
      </c>
      <c r="C163" s="4">
        <v>-0.49569999999999936</v>
      </c>
    </row>
    <row r="164" spans="1:3" x14ac:dyDescent="0.45">
      <c r="A164" s="2">
        <v>29312</v>
      </c>
      <c r="B164" s="3">
        <v>81.844499999999996</v>
      </c>
      <c r="C164" s="4">
        <v>-1.8092000000000041</v>
      </c>
    </row>
    <row r="165" spans="1:3" x14ac:dyDescent="0.45">
      <c r="A165" s="2">
        <v>29342</v>
      </c>
      <c r="B165" s="3">
        <v>79.686700000000002</v>
      </c>
      <c r="C165" s="4">
        <v>-2.1577999999999946</v>
      </c>
    </row>
    <row r="166" spans="1:3" x14ac:dyDescent="0.45">
      <c r="A166" s="2">
        <v>29373</v>
      </c>
      <c r="B166" s="3">
        <v>78.511799999999994</v>
      </c>
      <c r="C166" s="4">
        <v>-1.174900000000008</v>
      </c>
    </row>
    <row r="167" spans="1:3" x14ac:dyDescent="0.45">
      <c r="A167" s="2">
        <v>29403</v>
      </c>
      <c r="B167" s="3">
        <v>77.812899999999999</v>
      </c>
      <c r="C167" s="4">
        <v>-0.69889999999999475</v>
      </c>
    </row>
    <row r="168" spans="1:3" x14ac:dyDescent="0.45">
      <c r="A168" s="2">
        <v>29434</v>
      </c>
      <c r="B168" s="3">
        <v>77.905900000000003</v>
      </c>
      <c r="C168" s="4">
        <v>9.3000000000003524E-2</v>
      </c>
    </row>
    <row r="169" spans="1:3" x14ac:dyDescent="0.45">
      <c r="A169" s="2">
        <v>29465</v>
      </c>
      <c r="B169" s="3">
        <v>79.032200000000003</v>
      </c>
      <c r="C169" s="4">
        <v>1.1263000000000005</v>
      </c>
    </row>
    <row r="170" spans="1:3" x14ac:dyDescent="0.45">
      <c r="A170" s="2">
        <v>29495</v>
      </c>
      <c r="B170" s="3">
        <v>79.869299999999996</v>
      </c>
      <c r="C170" s="4">
        <v>0.83709999999999241</v>
      </c>
    </row>
    <row r="171" spans="1:3" x14ac:dyDescent="0.45">
      <c r="A171" s="2">
        <v>29526</v>
      </c>
      <c r="B171" s="3">
        <v>81.028899999999993</v>
      </c>
      <c r="C171" s="4">
        <v>1.1595999999999975</v>
      </c>
    </row>
    <row r="172" spans="1:3" x14ac:dyDescent="0.45">
      <c r="A172" s="2">
        <v>29556</v>
      </c>
      <c r="B172" s="3">
        <v>81.384200000000007</v>
      </c>
      <c r="C172" s="4">
        <v>0.35530000000001394</v>
      </c>
    </row>
    <row r="173" spans="1:3" x14ac:dyDescent="0.45">
      <c r="A173" s="2">
        <v>29587</v>
      </c>
      <c r="B173" s="3">
        <v>80.674800000000005</v>
      </c>
      <c r="C173" s="4">
        <v>-0.70940000000000225</v>
      </c>
    </row>
    <row r="174" spans="1:3" x14ac:dyDescent="0.45">
      <c r="A174" s="2">
        <v>29618</v>
      </c>
      <c r="B174" s="3">
        <v>80.137299999999996</v>
      </c>
      <c r="C174" s="4">
        <v>-0.53750000000000853</v>
      </c>
    </row>
    <row r="175" spans="1:3" x14ac:dyDescent="0.45">
      <c r="A175" s="2">
        <v>29646</v>
      </c>
      <c r="B175" s="3">
        <v>80.346299999999999</v>
      </c>
      <c r="C175" s="4">
        <v>0.20900000000000318</v>
      </c>
    </row>
    <row r="176" spans="1:3" x14ac:dyDescent="0.45">
      <c r="A176" s="2">
        <v>29677</v>
      </c>
      <c r="B176" s="3">
        <v>79.793700000000001</v>
      </c>
      <c r="C176" s="4">
        <v>-0.5525999999999982</v>
      </c>
    </row>
    <row r="177" spans="1:3" x14ac:dyDescent="0.45">
      <c r="A177" s="2">
        <v>29707</v>
      </c>
      <c r="B177" s="3">
        <v>80.048400000000001</v>
      </c>
      <c r="C177" s="4">
        <v>0.2546999999999997</v>
      </c>
    </row>
    <row r="178" spans="1:3" x14ac:dyDescent="0.45">
      <c r="A178" s="2">
        <v>29738</v>
      </c>
      <c r="B178" s="3">
        <v>80.251099999999994</v>
      </c>
      <c r="C178" s="4">
        <v>0.202699999999993</v>
      </c>
    </row>
    <row r="179" spans="1:3" x14ac:dyDescent="0.45">
      <c r="A179" s="2">
        <v>29768</v>
      </c>
      <c r="B179" s="3">
        <v>80.572400000000002</v>
      </c>
      <c r="C179" s="4">
        <v>0.32130000000000791</v>
      </c>
    </row>
    <row r="180" spans="1:3" x14ac:dyDescent="0.45">
      <c r="A180" s="2">
        <v>29799</v>
      </c>
      <c r="B180" s="3">
        <v>80.271000000000001</v>
      </c>
      <c r="C180" s="4">
        <v>-0.301400000000001</v>
      </c>
    </row>
    <row r="181" spans="1:3" x14ac:dyDescent="0.45">
      <c r="A181" s="2">
        <v>29830</v>
      </c>
      <c r="B181" s="3">
        <v>79.688000000000002</v>
      </c>
      <c r="C181" s="4">
        <v>-0.58299999999999841</v>
      </c>
    </row>
    <row r="182" spans="1:3" x14ac:dyDescent="0.45">
      <c r="A182" s="2">
        <v>29860</v>
      </c>
      <c r="B182" s="3">
        <v>78.869399999999999</v>
      </c>
      <c r="C182" s="4">
        <v>-0.81860000000000355</v>
      </c>
    </row>
    <row r="183" spans="1:3" x14ac:dyDescent="0.45">
      <c r="A183" s="2">
        <v>29891</v>
      </c>
      <c r="B183" s="3">
        <v>77.770600000000002</v>
      </c>
      <c r="C183" s="4">
        <v>-1.0987999999999971</v>
      </c>
    </row>
    <row r="184" spans="1:3" x14ac:dyDescent="0.45">
      <c r="A184" s="2">
        <v>29921</v>
      </c>
      <c r="B184" s="3">
        <v>76.770600000000002</v>
      </c>
      <c r="C184" s="4">
        <v>-1</v>
      </c>
    </row>
    <row r="185" spans="1:3" x14ac:dyDescent="0.45">
      <c r="A185" s="2">
        <v>29952</v>
      </c>
      <c r="B185" s="3">
        <v>75.024299999999997</v>
      </c>
      <c r="C185" s="4">
        <v>-1.7463000000000051</v>
      </c>
    </row>
    <row r="186" spans="1:3" x14ac:dyDescent="0.45">
      <c r="A186" s="2">
        <v>29983</v>
      </c>
      <c r="B186" s="3">
        <v>76.393199999999993</v>
      </c>
      <c r="C186" s="4">
        <v>1.3688999999999965</v>
      </c>
    </row>
    <row r="187" spans="1:3" x14ac:dyDescent="0.45">
      <c r="A187" s="2">
        <v>30011</v>
      </c>
      <c r="B187" s="3">
        <v>75.737200000000001</v>
      </c>
      <c r="C187" s="4">
        <v>-0.6559999999999917</v>
      </c>
    </row>
    <row r="188" spans="1:3" x14ac:dyDescent="0.45">
      <c r="A188" s="2">
        <v>30042</v>
      </c>
      <c r="B188" s="3">
        <v>74.901799999999994</v>
      </c>
      <c r="C188" s="4">
        <v>-0.83540000000000703</v>
      </c>
    </row>
    <row r="189" spans="1:3" x14ac:dyDescent="0.45">
      <c r="A189" s="2">
        <v>30072</v>
      </c>
      <c r="B189" s="3">
        <v>74.277500000000003</v>
      </c>
      <c r="C189" s="4">
        <v>-0.62429999999999097</v>
      </c>
    </row>
    <row r="190" spans="1:3" x14ac:dyDescent="0.45">
      <c r="A190" s="2">
        <v>30103</v>
      </c>
      <c r="B190" s="3">
        <v>73.968400000000003</v>
      </c>
      <c r="C190" s="4">
        <v>-0.30910000000000082</v>
      </c>
    </row>
    <row r="191" spans="1:3" x14ac:dyDescent="0.45">
      <c r="A191" s="2">
        <v>30133</v>
      </c>
      <c r="B191" s="3">
        <v>73.621499999999997</v>
      </c>
      <c r="C191" s="4">
        <v>-0.34690000000000509</v>
      </c>
    </row>
    <row r="192" spans="1:3" x14ac:dyDescent="0.45">
      <c r="A192" s="2">
        <v>30164</v>
      </c>
      <c r="B192" s="3">
        <v>72.858599999999996</v>
      </c>
      <c r="C192" s="4">
        <v>-0.76290000000000191</v>
      </c>
    </row>
    <row r="193" spans="1:3" x14ac:dyDescent="0.45">
      <c r="A193" s="2">
        <v>30195</v>
      </c>
      <c r="B193" s="3">
        <v>72.599699999999999</v>
      </c>
      <c r="C193" s="4">
        <v>-0.25889999999999702</v>
      </c>
    </row>
    <row r="194" spans="1:3" x14ac:dyDescent="0.45">
      <c r="A194" s="2">
        <v>30225</v>
      </c>
      <c r="B194" s="3">
        <v>71.829400000000007</v>
      </c>
      <c r="C194" s="4">
        <v>-0.77029999999999177</v>
      </c>
    </row>
    <row r="195" spans="1:3" x14ac:dyDescent="0.45">
      <c r="A195" s="2">
        <v>30256</v>
      </c>
      <c r="B195" s="3">
        <v>71.539599999999993</v>
      </c>
      <c r="C195" s="4">
        <v>-0.28980000000001382</v>
      </c>
    </row>
    <row r="196" spans="1:3" x14ac:dyDescent="0.45">
      <c r="A196" s="2">
        <v>30286</v>
      </c>
      <c r="B196" s="3">
        <v>70.987099999999998</v>
      </c>
      <c r="C196" s="4">
        <v>-0.55249999999999488</v>
      </c>
    </row>
    <row r="197" spans="1:3" x14ac:dyDescent="0.45">
      <c r="A197" s="2">
        <v>30317</v>
      </c>
      <c r="B197" s="3">
        <v>72.2714</v>
      </c>
      <c r="C197" s="4">
        <v>1.2843000000000018</v>
      </c>
    </row>
    <row r="198" spans="1:3" x14ac:dyDescent="0.45">
      <c r="A198" s="2">
        <v>30348</v>
      </c>
      <c r="B198" s="3">
        <v>71.786299999999997</v>
      </c>
      <c r="C198" s="4">
        <v>-0.48510000000000275</v>
      </c>
    </row>
    <row r="199" spans="1:3" x14ac:dyDescent="0.45">
      <c r="A199" s="2">
        <v>30376</v>
      </c>
      <c r="B199" s="3">
        <v>72.366</v>
      </c>
      <c r="C199" s="4">
        <v>0.57970000000000255</v>
      </c>
    </row>
    <row r="200" spans="1:3" x14ac:dyDescent="0.45">
      <c r="A200" s="2">
        <v>30407</v>
      </c>
      <c r="B200" s="3">
        <v>73.259699999999995</v>
      </c>
      <c r="C200" s="4">
        <v>0.8936999999999955</v>
      </c>
    </row>
    <row r="201" spans="1:3" x14ac:dyDescent="0.45">
      <c r="A201" s="2">
        <v>30437</v>
      </c>
      <c r="B201" s="3">
        <v>73.680400000000006</v>
      </c>
      <c r="C201" s="4">
        <v>0.42070000000001073</v>
      </c>
    </row>
    <row r="202" spans="1:3" x14ac:dyDescent="0.45">
      <c r="A202" s="2">
        <v>30468</v>
      </c>
      <c r="B202" s="3">
        <v>74.109700000000004</v>
      </c>
      <c r="C202" s="4">
        <v>0.42929999999999779</v>
      </c>
    </row>
    <row r="203" spans="1:3" x14ac:dyDescent="0.45">
      <c r="A203" s="2">
        <v>30498</v>
      </c>
      <c r="B203" s="3">
        <v>75.188000000000002</v>
      </c>
      <c r="C203" s="4">
        <v>1.0782999999999987</v>
      </c>
    </row>
    <row r="204" spans="1:3" x14ac:dyDescent="0.45">
      <c r="A204" s="2">
        <v>30529</v>
      </c>
      <c r="B204" s="3">
        <v>76.045199999999994</v>
      </c>
      <c r="C204" s="4">
        <v>0.85719999999999175</v>
      </c>
    </row>
    <row r="205" spans="1:3" x14ac:dyDescent="0.45">
      <c r="A205" s="2">
        <v>30560</v>
      </c>
      <c r="B205" s="3">
        <v>77.110200000000006</v>
      </c>
      <c r="C205" s="4">
        <v>1.0650000000000119</v>
      </c>
    </row>
    <row r="206" spans="1:3" x14ac:dyDescent="0.45">
      <c r="A206" s="2">
        <v>30590</v>
      </c>
      <c r="B206" s="3">
        <v>77.648499999999999</v>
      </c>
      <c r="C206" s="4">
        <v>0.53829999999999245</v>
      </c>
    </row>
    <row r="207" spans="1:3" x14ac:dyDescent="0.45">
      <c r="A207" s="2">
        <v>30621</v>
      </c>
      <c r="B207" s="3">
        <v>77.931700000000006</v>
      </c>
      <c r="C207" s="4">
        <v>0.28320000000000789</v>
      </c>
    </row>
    <row r="208" spans="1:3" x14ac:dyDescent="0.45">
      <c r="A208" s="2">
        <v>30651</v>
      </c>
      <c r="B208" s="3">
        <v>78.248000000000005</v>
      </c>
      <c r="C208" s="4">
        <v>0.31629999999999825</v>
      </c>
    </row>
    <row r="209" spans="1:3" x14ac:dyDescent="0.45">
      <c r="A209" s="2">
        <v>30682</v>
      </c>
      <c r="B209" s="3">
        <v>79.720699999999994</v>
      </c>
      <c r="C209" s="4">
        <v>1.472699999999989</v>
      </c>
    </row>
    <row r="210" spans="1:3" x14ac:dyDescent="0.45">
      <c r="A210" s="2">
        <v>30713</v>
      </c>
      <c r="B210" s="3">
        <v>79.968599999999995</v>
      </c>
      <c r="C210" s="4">
        <v>0.24790000000000134</v>
      </c>
    </row>
    <row r="211" spans="1:3" x14ac:dyDescent="0.45">
      <c r="A211" s="2">
        <v>30742</v>
      </c>
      <c r="B211" s="3">
        <v>80.244399999999999</v>
      </c>
      <c r="C211" s="4">
        <v>0.27580000000000382</v>
      </c>
    </row>
    <row r="212" spans="1:3" x14ac:dyDescent="0.45">
      <c r="A212" s="2">
        <v>30773</v>
      </c>
      <c r="B212" s="3">
        <v>80.590199999999996</v>
      </c>
      <c r="C212" s="4">
        <v>0.345799999999997</v>
      </c>
    </row>
    <row r="213" spans="1:3" x14ac:dyDescent="0.45">
      <c r="A213" s="2">
        <v>30803</v>
      </c>
      <c r="B213" s="3">
        <v>80.8857</v>
      </c>
      <c r="C213" s="4">
        <v>0.29550000000000409</v>
      </c>
    </row>
    <row r="214" spans="1:3" x14ac:dyDescent="0.45">
      <c r="A214" s="2">
        <v>30834</v>
      </c>
      <c r="B214" s="3">
        <v>81.027600000000007</v>
      </c>
      <c r="C214" s="4">
        <v>0.1419000000000068</v>
      </c>
    </row>
    <row r="215" spans="1:3" x14ac:dyDescent="0.45">
      <c r="A215" s="2">
        <v>30864</v>
      </c>
      <c r="B215" s="3">
        <v>81.0869</v>
      </c>
      <c r="C215" s="4">
        <v>5.9299999999993247E-2</v>
      </c>
    </row>
    <row r="216" spans="1:3" x14ac:dyDescent="0.45">
      <c r="A216" s="2">
        <v>30895</v>
      </c>
      <c r="B216" s="3">
        <v>80.996899999999997</v>
      </c>
      <c r="C216" s="4">
        <v>-9.0000000000003411E-2</v>
      </c>
    </row>
    <row r="217" spans="1:3" x14ac:dyDescent="0.45">
      <c r="A217" s="2">
        <v>30926</v>
      </c>
      <c r="B217" s="3">
        <v>80.576099999999997</v>
      </c>
      <c r="C217" s="4">
        <v>-0.42079999999999984</v>
      </c>
    </row>
    <row r="218" spans="1:3" x14ac:dyDescent="0.45">
      <c r="A218" s="2">
        <v>30956</v>
      </c>
      <c r="B218" s="3">
        <v>80.379300000000001</v>
      </c>
      <c r="C218" s="4">
        <v>-0.19679999999999609</v>
      </c>
    </row>
    <row r="219" spans="1:3" x14ac:dyDescent="0.45">
      <c r="A219" s="2">
        <v>30987</v>
      </c>
      <c r="B219" s="3">
        <v>80.455100000000002</v>
      </c>
      <c r="C219" s="4">
        <v>7.5800000000000978E-2</v>
      </c>
    </row>
    <row r="220" spans="1:3" x14ac:dyDescent="0.45">
      <c r="A220" s="2">
        <v>31017</v>
      </c>
      <c r="B220" s="3">
        <v>80.281899999999993</v>
      </c>
      <c r="C220" s="4">
        <v>-0.17320000000000846</v>
      </c>
    </row>
    <row r="221" spans="1:3" x14ac:dyDescent="0.45">
      <c r="A221" s="2">
        <v>31048</v>
      </c>
      <c r="B221" s="3">
        <v>80.065399999999997</v>
      </c>
      <c r="C221" s="4">
        <v>-0.21649999999999636</v>
      </c>
    </row>
    <row r="222" spans="1:3" x14ac:dyDescent="0.45">
      <c r="A222" s="2">
        <v>31079</v>
      </c>
      <c r="B222" s="3">
        <v>80.079400000000007</v>
      </c>
      <c r="C222" s="4">
        <v>1.4000000000010004E-2</v>
      </c>
    </row>
    <row r="223" spans="1:3" x14ac:dyDescent="0.45">
      <c r="A223" s="2">
        <v>31107</v>
      </c>
      <c r="B223" s="3">
        <v>79.993600000000001</v>
      </c>
      <c r="C223" s="4">
        <v>-8.5800000000006094E-2</v>
      </c>
    </row>
    <row r="224" spans="1:3" x14ac:dyDescent="0.45">
      <c r="A224" s="2">
        <v>31138</v>
      </c>
      <c r="B224" s="3">
        <v>79.615399999999994</v>
      </c>
      <c r="C224" s="4">
        <v>-0.37820000000000675</v>
      </c>
    </row>
    <row r="225" spans="1:3" x14ac:dyDescent="0.45">
      <c r="A225" s="2">
        <v>31168</v>
      </c>
      <c r="B225" s="3">
        <v>79.53</v>
      </c>
      <c r="C225" s="4">
        <v>-8.5399999999992815E-2</v>
      </c>
    </row>
    <row r="226" spans="1:3" x14ac:dyDescent="0.45">
      <c r="A226" s="2">
        <v>31199</v>
      </c>
      <c r="B226" s="3">
        <v>79.295000000000002</v>
      </c>
      <c r="C226" s="4">
        <v>-0.23499999999999943</v>
      </c>
    </row>
    <row r="227" spans="1:3" x14ac:dyDescent="0.45">
      <c r="A227" s="2">
        <v>31229</v>
      </c>
      <c r="B227" s="3">
        <v>78.732500000000002</v>
      </c>
      <c r="C227" s="4">
        <v>-0.5625</v>
      </c>
    </row>
    <row r="228" spans="1:3" x14ac:dyDescent="0.45">
      <c r="A228" s="2">
        <v>31260</v>
      </c>
      <c r="B228" s="3">
        <v>78.793199999999999</v>
      </c>
      <c r="C228" s="4">
        <v>6.069999999999709E-2</v>
      </c>
    </row>
    <row r="229" spans="1:3" x14ac:dyDescent="0.45">
      <c r="A229" s="2">
        <v>31291</v>
      </c>
      <c r="B229" s="3">
        <v>78.8917</v>
      </c>
      <c r="C229" s="4">
        <v>9.8500000000001364E-2</v>
      </c>
    </row>
    <row r="230" spans="1:3" x14ac:dyDescent="0.45">
      <c r="A230" s="2">
        <v>31321</v>
      </c>
      <c r="B230" s="3">
        <v>78.490899999999996</v>
      </c>
      <c r="C230" s="4">
        <v>-0.40080000000000382</v>
      </c>
    </row>
    <row r="231" spans="1:3" x14ac:dyDescent="0.45">
      <c r="A231" s="2">
        <v>31352</v>
      </c>
      <c r="B231" s="3">
        <v>78.623999999999995</v>
      </c>
      <c r="C231" s="4">
        <v>0.13309999999999889</v>
      </c>
    </row>
    <row r="232" spans="1:3" x14ac:dyDescent="0.45">
      <c r="A232" s="2">
        <v>31382</v>
      </c>
      <c r="B232" s="3">
        <v>79.250600000000006</v>
      </c>
      <c r="C232" s="4">
        <v>0.62660000000001048</v>
      </c>
    </row>
    <row r="233" spans="1:3" x14ac:dyDescent="0.45">
      <c r="A233" s="2">
        <v>31413</v>
      </c>
      <c r="B233" s="3">
        <v>79.570800000000006</v>
      </c>
      <c r="C233" s="4">
        <v>0.32019999999999982</v>
      </c>
    </row>
    <row r="234" spans="1:3" x14ac:dyDescent="0.45">
      <c r="A234" s="2">
        <v>31444</v>
      </c>
      <c r="B234" s="3">
        <v>78.907899999999998</v>
      </c>
      <c r="C234" s="4">
        <v>-0.66290000000000759</v>
      </c>
    </row>
    <row r="235" spans="1:3" x14ac:dyDescent="0.45">
      <c r="A235" s="2">
        <v>31472</v>
      </c>
      <c r="B235" s="3">
        <v>78.253100000000003</v>
      </c>
      <c r="C235" s="4">
        <v>-0.6547999999999945</v>
      </c>
    </row>
    <row r="236" spans="1:3" x14ac:dyDescent="0.45">
      <c r="A236" s="2">
        <v>31503</v>
      </c>
      <c r="B236" s="3">
        <v>78.280900000000003</v>
      </c>
      <c r="C236" s="4">
        <v>2.7799999999999159E-2</v>
      </c>
    </row>
    <row r="237" spans="1:3" x14ac:dyDescent="0.45">
      <c r="A237" s="2">
        <v>31533</v>
      </c>
      <c r="B237" s="3">
        <v>78.317499999999995</v>
      </c>
      <c r="C237" s="4">
        <v>3.659999999999286E-2</v>
      </c>
    </row>
    <row r="238" spans="1:3" x14ac:dyDescent="0.45">
      <c r="A238" s="2">
        <v>31564</v>
      </c>
      <c r="B238" s="3">
        <v>77.925700000000006</v>
      </c>
      <c r="C238" s="4">
        <v>-0.39179999999998927</v>
      </c>
    </row>
    <row r="239" spans="1:3" x14ac:dyDescent="0.45">
      <c r="A239" s="2">
        <v>31594</v>
      </c>
      <c r="B239" s="3">
        <v>78.358900000000006</v>
      </c>
      <c r="C239" s="4">
        <v>0.43319999999999936</v>
      </c>
    </row>
    <row r="240" spans="1:3" x14ac:dyDescent="0.45">
      <c r="A240" s="2">
        <v>31625</v>
      </c>
      <c r="B240" s="3">
        <v>78.134799999999998</v>
      </c>
      <c r="C240" s="4">
        <v>-0.22410000000000707</v>
      </c>
    </row>
    <row r="241" spans="1:3" x14ac:dyDescent="0.45">
      <c r="A241" s="2">
        <v>31656</v>
      </c>
      <c r="B241" s="3">
        <v>78.249700000000004</v>
      </c>
      <c r="C241" s="4">
        <v>0.11490000000000578</v>
      </c>
    </row>
    <row r="242" spans="1:3" x14ac:dyDescent="0.45">
      <c r="A242" s="2">
        <v>31686</v>
      </c>
      <c r="B242" s="3">
        <v>78.489599999999996</v>
      </c>
      <c r="C242" s="4">
        <v>0.23989999999999156</v>
      </c>
    </row>
    <row r="243" spans="1:3" x14ac:dyDescent="0.45">
      <c r="A243" s="2">
        <v>31717</v>
      </c>
      <c r="B243" s="3">
        <v>78.7</v>
      </c>
      <c r="C243" s="4">
        <v>0.21040000000000703</v>
      </c>
    </row>
    <row r="244" spans="1:3" x14ac:dyDescent="0.45">
      <c r="A244" s="2">
        <v>31747</v>
      </c>
      <c r="B244" s="3">
        <v>79.331199999999995</v>
      </c>
      <c r="C244" s="4">
        <v>0.63119999999999266</v>
      </c>
    </row>
    <row r="245" spans="1:3" x14ac:dyDescent="0.45">
      <c r="A245" s="2">
        <v>31778</v>
      </c>
      <c r="B245" s="3">
        <v>78.930199999999999</v>
      </c>
      <c r="C245" s="4">
        <v>-0.40099999999999625</v>
      </c>
    </row>
    <row r="246" spans="1:3" x14ac:dyDescent="0.45">
      <c r="A246" s="2">
        <v>31809</v>
      </c>
      <c r="B246" s="3">
        <v>79.831999999999994</v>
      </c>
      <c r="C246" s="4">
        <v>0.90179999999999438</v>
      </c>
    </row>
    <row r="247" spans="1:3" x14ac:dyDescent="0.45">
      <c r="A247" s="2">
        <v>31837</v>
      </c>
      <c r="B247" s="3">
        <v>79.799000000000007</v>
      </c>
      <c r="C247" s="4">
        <v>-3.299999999998704E-2</v>
      </c>
    </row>
    <row r="248" spans="1:3" x14ac:dyDescent="0.45">
      <c r="A248" s="2">
        <v>31868</v>
      </c>
      <c r="B248" s="3">
        <v>80.148099999999999</v>
      </c>
      <c r="C248" s="4">
        <v>0.34909999999999286</v>
      </c>
    </row>
    <row r="249" spans="1:3" x14ac:dyDescent="0.45">
      <c r="A249" s="2">
        <v>31898</v>
      </c>
      <c r="B249" s="3">
        <v>80.492900000000006</v>
      </c>
      <c r="C249" s="4">
        <v>0.34480000000000643</v>
      </c>
    </row>
    <row r="250" spans="1:3" x14ac:dyDescent="0.45">
      <c r="A250" s="2">
        <v>31929</v>
      </c>
      <c r="B250" s="3">
        <v>80.745099999999994</v>
      </c>
      <c r="C250" s="4">
        <v>0.25219999999998777</v>
      </c>
    </row>
    <row r="251" spans="1:3" x14ac:dyDescent="0.45">
      <c r="A251" s="2">
        <v>31959</v>
      </c>
      <c r="B251" s="3">
        <v>81.133399999999995</v>
      </c>
      <c r="C251" s="4">
        <v>0.38830000000000098</v>
      </c>
    </row>
    <row r="252" spans="1:3" x14ac:dyDescent="0.45">
      <c r="A252" s="2">
        <v>31990</v>
      </c>
      <c r="B252" s="3">
        <v>81.586399999999998</v>
      </c>
      <c r="C252" s="4">
        <v>0.45300000000000296</v>
      </c>
    </row>
    <row r="253" spans="1:3" x14ac:dyDescent="0.45">
      <c r="A253" s="2">
        <v>32021</v>
      </c>
      <c r="B253" s="3">
        <v>81.762</v>
      </c>
      <c r="C253" s="4">
        <v>0.17560000000000286</v>
      </c>
    </row>
    <row r="254" spans="1:3" x14ac:dyDescent="0.45">
      <c r="A254" s="2">
        <v>32051</v>
      </c>
      <c r="B254" s="3">
        <v>82.717100000000002</v>
      </c>
      <c r="C254" s="4">
        <v>0.95510000000000161</v>
      </c>
    </row>
    <row r="255" spans="1:3" x14ac:dyDescent="0.45">
      <c r="A255" s="2">
        <v>32082</v>
      </c>
      <c r="B255" s="3">
        <v>83.001499999999993</v>
      </c>
      <c r="C255" s="4">
        <v>0.28439999999999088</v>
      </c>
    </row>
    <row r="256" spans="1:3" x14ac:dyDescent="0.45">
      <c r="A256" s="2">
        <v>32112</v>
      </c>
      <c r="B256" s="3">
        <v>83.363900000000001</v>
      </c>
      <c r="C256" s="4">
        <v>0.36240000000000805</v>
      </c>
    </row>
    <row r="257" spans="1:3" x14ac:dyDescent="0.45">
      <c r="A257" s="2">
        <v>32143</v>
      </c>
      <c r="B257" s="3">
        <v>83.261200000000002</v>
      </c>
      <c r="C257" s="4">
        <v>-0.10269999999999868</v>
      </c>
    </row>
    <row r="258" spans="1:3" x14ac:dyDescent="0.45">
      <c r="A258" s="2">
        <v>32174</v>
      </c>
      <c r="B258" s="3">
        <v>83.609200000000001</v>
      </c>
      <c r="C258" s="4">
        <v>0.34799999999999898</v>
      </c>
    </row>
    <row r="259" spans="1:3" x14ac:dyDescent="0.45">
      <c r="A259" s="2">
        <v>32203</v>
      </c>
      <c r="B259" s="3">
        <v>83.760800000000003</v>
      </c>
      <c r="C259" s="4">
        <v>0.15160000000000196</v>
      </c>
    </row>
    <row r="260" spans="1:3" x14ac:dyDescent="0.45">
      <c r="A260" s="2">
        <v>32234</v>
      </c>
      <c r="B260" s="3">
        <v>84.204499999999996</v>
      </c>
      <c r="C260" s="4">
        <v>0.44369999999999266</v>
      </c>
    </row>
    <row r="261" spans="1:3" x14ac:dyDescent="0.45">
      <c r="A261" s="2">
        <v>32264</v>
      </c>
      <c r="B261" s="3">
        <v>84.000600000000006</v>
      </c>
      <c r="C261" s="4">
        <v>-0.2038999999999902</v>
      </c>
    </row>
    <row r="262" spans="1:3" x14ac:dyDescent="0.45">
      <c r="A262" s="2">
        <v>32295</v>
      </c>
      <c r="B262" s="3">
        <v>84.214200000000005</v>
      </c>
      <c r="C262" s="4">
        <v>0.21359999999999957</v>
      </c>
    </row>
    <row r="263" spans="1:3" x14ac:dyDescent="0.45">
      <c r="A263" s="2">
        <v>32325</v>
      </c>
      <c r="B263" s="3">
        <v>84.197299999999998</v>
      </c>
      <c r="C263" s="4">
        <v>-1.6900000000006798E-2</v>
      </c>
    </row>
    <row r="264" spans="1:3" x14ac:dyDescent="0.45">
      <c r="A264" s="2">
        <v>32356</v>
      </c>
      <c r="B264" s="3">
        <v>84.585899999999995</v>
      </c>
      <c r="C264" s="4">
        <v>0.38859999999999673</v>
      </c>
    </row>
    <row r="265" spans="1:3" x14ac:dyDescent="0.45">
      <c r="A265" s="2">
        <v>32387</v>
      </c>
      <c r="B265" s="3">
        <v>84.2804</v>
      </c>
      <c r="C265" s="4">
        <v>-0.305499999999995</v>
      </c>
    </row>
    <row r="266" spans="1:3" x14ac:dyDescent="0.45">
      <c r="A266" s="2">
        <v>32417</v>
      </c>
      <c r="B266" s="3">
        <v>84.591399999999993</v>
      </c>
      <c r="C266" s="4">
        <v>0.31099999999999284</v>
      </c>
    </row>
    <row r="267" spans="1:3" x14ac:dyDescent="0.45">
      <c r="A267" s="2">
        <v>32448</v>
      </c>
      <c r="B267" s="3">
        <v>84.730099999999993</v>
      </c>
      <c r="C267" s="4">
        <v>0.13870000000000005</v>
      </c>
    </row>
    <row r="268" spans="1:3" x14ac:dyDescent="0.45">
      <c r="A268" s="2">
        <v>32478</v>
      </c>
      <c r="B268" s="3">
        <v>85.033799999999999</v>
      </c>
      <c r="C268" s="4">
        <v>0.3037000000000063</v>
      </c>
    </row>
    <row r="269" spans="1:3" x14ac:dyDescent="0.45">
      <c r="A269" s="2">
        <v>32509</v>
      </c>
      <c r="B269" s="3">
        <v>85.189099999999996</v>
      </c>
      <c r="C269" s="4">
        <v>0.15529999999999688</v>
      </c>
    </row>
    <row r="270" spans="1:3" x14ac:dyDescent="0.45">
      <c r="A270" s="2">
        <v>32540</v>
      </c>
      <c r="B270" s="3">
        <v>84.701400000000007</v>
      </c>
      <c r="C270" s="4">
        <v>-0.48769999999998959</v>
      </c>
    </row>
    <row r="271" spans="1:3" x14ac:dyDescent="0.45">
      <c r="A271" s="2">
        <v>32568</v>
      </c>
      <c r="B271" s="3">
        <v>84.786000000000001</v>
      </c>
      <c r="C271" s="4">
        <v>8.4599999999994679E-2</v>
      </c>
    </row>
    <row r="272" spans="1:3" x14ac:dyDescent="0.45">
      <c r="A272" s="2">
        <v>32599</v>
      </c>
      <c r="B272" s="3">
        <v>84.631200000000007</v>
      </c>
      <c r="C272" s="4">
        <v>-0.1547999999999945</v>
      </c>
    </row>
    <row r="273" spans="1:3" x14ac:dyDescent="0.45">
      <c r="A273" s="2">
        <v>32629</v>
      </c>
      <c r="B273" s="3">
        <v>83.994399999999999</v>
      </c>
      <c r="C273" s="4">
        <v>-0.63680000000000803</v>
      </c>
    </row>
    <row r="274" spans="1:3" x14ac:dyDescent="0.45">
      <c r="A274" s="2">
        <v>32660</v>
      </c>
      <c r="B274" s="3">
        <v>83.819000000000003</v>
      </c>
      <c r="C274" s="4">
        <v>-0.17539999999999623</v>
      </c>
    </row>
    <row r="275" spans="1:3" x14ac:dyDescent="0.45">
      <c r="A275" s="2">
        <v>32690</v>
      </c>
      <c r="B275" s="3">
        <v>82.833200000000005</v>
      </c>
      <c r="C275" s="4">
        <v>-0.98579999999999757</v>
      </c>
    </row>
    <row r="276" spans="1:3" x14ac:dyDescent="0.45">
      <c r="A276" s="2">
        <v>32721</v>
      </c>
      <c r="B276" s="3">
        <v>83.458100000000002</v>
      </c>
      <c r="C276" s="4">
        <v>0.62489999999999668</v>
      </c>
    </row>
    <row r="277" spans="1:3" x14ac:dyDescent="0.45">
      <c r="A277" s="2">
        <v>32752</v>
      </c>
      <c r="B277" s="3">
        <v>83.004499999999993</v>
      </c>
      <c r="C277" s="4">
        <v>-0.45360000000000866</v>
      </c>
    </row>
    <row r="278" spans="1:3" x14ac:dyDescent="0.45">
      <c r="A278" s="2">
        <v>32782</v>
      </c>
      <c r="B278" s="3">
        <v>82.696899999999999</v>
      </c>
      <c r="C278" s="4">
        <v>-0.30759999999999366</v>
      </c>
    </row>
    <row r="279" spans="1:3" x14ac:dyDescent="0.45">
      <c r="A279" s="2">
        <v>32813</v>
      </c>
      <c r="B279" s="3">
        <v>82.777799999999999</v>
      </c>
      <c r="C279" s="4">
        <v>8.089999999999975E-2</v>
      </c>
    </row>
    <row r="280" spans="1:3" x14ac:dyDescent="0.45">
      <c r="A280" s="2">
        <v>32843</v>
      </c>
      <c r="B280" s="3">
        <v>83.033100000000005</v>
      </c>
      <c r="C280" s="4">
        <v>0.25530000000000541</v>
      </c>
    </row>
    <row r="281" spans="1:3" x14ac:dyDescent="0.45">
      <c r="A281" s="2">
        <v>32874</v>
      </c>
      <c r="B281" s="3">
        <v>82.417900000000003</v>
      </c>
      <c r="C281" s="4">
        <v>-0.61520000000000152</v>
      </c>
    </row>
    <row r="282" spans="1:3" x14ac:dyDescent="0.45">
      <c r="A282" s="2">
        <v>32905</v>
      </c>
      <c r="B282" s="3">
        <v>82.973200000000006</v>
      </c>
      <c r="C282" s="4">
        <v>0.55530000000000257</v>
      </c>
    </row>
    <row r="283" spans="1:3" x14ac:dyDescent="0.45">
      <c r="A283" s="2">
        <v>32933</v>
      </c>
      <c r="B283" s="3">
        <v>83.198099999999997</v>
      </c>
      <c r="C283" s="4">
        <v>0.224899999999991</v>
      </c>
    </row>
    <row r="284" spans="1:3" x14ac:dyDescent="0.45">
      <c r="A284" s="2">
        <v>32964</v>
      </c>
      <c r="B284" s="3">
        <v>82.8001</v>
      </c>
      <c r="C284" s="4">
        <v>-0.39799999999999613</v>
      </c>
    </row>
    <row r="285" spans="1:3" x14ac:dyDescent="0.45">
      <c r="A285" s="2">
        <v>32994</v>
      </c>
      <c r="B285" s="3">
        <v>82.879800000000003</v>
      </c>
      <c r="C285" s="4">
        <v>7.9700000000002547E-2</v>
      </c>
    </row>
    <row r="286" spans="1:3" x14ac:dyDescent="0.45">
      <c r="A286" s="2">
        <v>33025</v>
      </c>
      <c r="B286" s="3">
        <v>82.997799999999998</v>
      </c>
      <c r="C286" s="4">
        <v>0.117999999999995</v>
      </c>
    </row>
    <row r="287" spans="1:3" x14ac:dyDescent="0.45">
      <c r="A287" s="2">
        <v>33055</v>
      </c>
      <c r="B287" s="3">
        <v>82.701800000000006</v>
      </c>
      <c r="C287" s="4">
        <v>-0.29599999999999227</v>
      </c>
    </row>
    <row r="288" spans="1:3" x14ac:dyDescent="0.45">
      <c r="A288" s="2">
        <v>33086</v>
      </c>
      <c r="B288" s="3">
        <v>82.850899999999996</v>
      </c>
      <c r="C288" s="4">
        <v>0.14909999999999002</v>
      </c>
    </row>
    <row r="289" spans="1:3" x14ac:dyDescent="0.45">
      <c r="A289" s="2">
        <v>33117</v>
      </c>
      <c r="B289" s="3">
        <v>82.729299999999995</v>
      </c>
      <c r="C289" s="4">
        <v>-0.12160000000000082</v>
      </c>
    </row>
    <row r="290" spans="1:3" x14ac:dyDescent="0.45">
      <c r="A290" s="2">
        <v>33147</v>
      </c>
      <c r="B290" s="3">
        <v>82.130300000000005</v>
      </c>
      <c r="C290" s="4">
        <v>-0.59899999999998954</v>
      </c>
    </row>
    <row r="291" spans="1:3" x14ac:dyDescent="0.45">
      <c r="A291" s="2">
        <v>33178</v>
      </c>
      <c r="B291" s="3">
        <v>80.982799999999997</v>
      </c>
      <c r="C291" s="4">
        <v>-1.147500000000008</v>
      </c>
    </row>
    <row r="292" spans="1:3" x14ac:dyDescent="0.45">
      <c r="A292" s="2">
        <v>33208</v>
      </c>
      <c r="B292" s="3">
        <v>80.296400000000006</v>
      </c>
      <c r="C292" s="4">
        <v>-0.68639999999999191</v>
      </c>
    </row>
    <row r="293" spans="1:3" x14ac:dyDescent="0.45">
      <c r="A293" s="2">
        <v>33239</v>
      </c>
      <c r="B293" s="3">
        <v>79.952200000000005</v>
      </c>
      <c r="C293" s="4">
        <v>-0.34420000000000073</v>
      </c>
    </row>
    <row r="294" spans="1:3" x14ac:dyDescent="0.45">
      <c r="A294" s="2">
        <v>33270</v>
      </c>
      <c r="B294" s="3">
        <v>79.287199999999999</v>
      </c>
      <c r="C294" s="4">
        <v>-0.66500000000000625</v>
      </c>
    </row>
    <row r="295" spans="1:3" x14ac:dyDescent="0.45">
      <c r="A295" s="2">
        <v>33298</v>
      </c>
      <c r="B295" s="3">
        <v>78.762900000000002</v>
      </c>
      <c r="C295" s="4">
        <v>-0.52429999999999666</v>
      </c>
    </row>
    <row r="296" spans="1:3" x14ac:dyDescent="0.45">
      <c r="A296" s="2">
        <v>33329</v>
      </c>
      <c r="B296" s="3">
        <v>78.906199999999998</v>
      </c>
      <c r="C296" s="4">
        <v>0.14329999999999643</v>
      </c>
    </row>
    <row r="297" spans="1:3" x14ac:dyDescent="0.45">
      <c r="A297" s="2">
        <v>33359</v>
      </c>
      <c r="B297" s="3">
        <v>79.584599999999995</v>
      </c>
      <c r="C297" s="4">
        <v>0.67839999999999634</v>
      </c>
    </row>
    <row r="298" spans="1:3" x14ac:dyDescent="0.45">
      <c r="A298" s="2">
        <v>33390</v>
      </c>
      <c r="B298" s="3">
        <v>80.162400000000005</v>
      </c>
      <c r="C298" s="4">
        <v>0.57780000000001053</v>
      </c>
    </row>
    <row r="299" spans="1:3" x14ac:dyDescent="0.45">
      <c r="A299" s="2">
        <v>33420</v>
      </c>
      <c r="B299" s="3">
        <v>80.315799999999996</v>
      </c>
      <c r="C299" s="4">
        <v>0.15339999999999065</v>
      </c>
    </row>
    <row r="300" spans="1:3" x14ac:dyDescent="0.45">
      <c r="A300" s="2">
        <v>33451</v>
      </c>
      <c r="B300" s="3">
        <v>80.236500000000007</v>
      </c>
      <c r="C300" s="4">
        <v>-7.9299999999989268E-2</v>
      </c>
    </row>
    <row r="301" spans="1:3" x14ac:dyDescent="0.45">
      <c r="A301" s="2">
        <v>33482</v>
      </c>
      <c r="B301" s="3">
        <v>80.7851</v>
      </c>
      <c r="C301" s="4">
        <v>0.54859999999999332</v>
      </c>
    </row>
    <row r="302" spans="1:3" x14ac:dyDescent="0.45">
      <c r="A302" s="2">
        <v>33512</v>
      </c>
      <c r="B302" s="3">
        <v>80.642399999999995</v>
      </c>
      <c r="C302" s="4">
        <v>-0.14270000000000493</v>
      </c>
    </row>
    <row r="303" spans="1:3" x14ac:dyDescent="0.45">
      <c r="A303" s="2">
        <v>33543</v>
      </c>
      <c r="B303" s="3">
        <v>80.405299999999997</v>
      </c>
      <c r="C303" s="4">
        <v>-0.23709999999999809</v>
      </c>
    </row>
    <row r="304" spans="1:3" x14ac:dyDescent="0.45">
      <c r="A304" s="2">
        <v>33573</v>
      </c>
      <c r="B304" s="3">
        <v>79.894900000000007</v>
      </c>
      <c r="C304" s="4">
        <v>-0.51039999999998997</v>
      </c>
    </row>
    <row r="305" spans="1:3" x14ac:dyDescent="0.45">
      <c r="A305" s="2">
        <v>33604</v>
      </c>
      <c r="B305" s="3">
        <v>79.327799999999996</v>
      </c>
      <c r="C305" s="4">
        <v>-0.5671000000000106</v>
      </c>
    </row>
    <row r="306" spans="1:3" x14ac:dyDescent="0.45">
      <c r="A306" s="2">
        <v>33635</v>
      </c>
      <c r="B306" s="3">
        <v>79.732900000000001</v>
      </c>
      <c r="C306" s="4">
        <v>0.40510000000000446</v>
      </c>
    </row>
    <row r="307" spans="1:3" x14ac:dyDescent="0.45">
      <c r="A307" s="2">
        <v>33664</v>
      </c>
      <c r="B307" s="3">
        <v>80.246399999999994</v>
      </c>
      <c r="C307" s="4">
        <v>0.51349999999999341</v>
      </c>
    </row>
    <row r="308" spans="1:3" x14ac:dyDescent="0.45">
      <c r="A308" s="2">
        <v>33695</v>
      </c>
      <c r="B308" s="3">
        <v>80.680199999999999</v>
      </c>
      <c r="C308" s="4">
        <v>0.43380000000000507</v>
      </c>
    </row>
    <row r="309" spans="1:3" x14ac:dyDescent="0.45">
      <c r="A309" s="2">
        <v>33725</v>
      </c>
      <c r="B309" s="3">
        <v>80.763999999999996</v>
      </c>
      <c r="C309" s="4">
        <v>8.3799999999996544E-2</v>
      </c>
    </row>
    <row r="310" spans="1:3" x14ac:dyDescent="0.45">
      <c r="A310" s="2">
        <v>33756</v>
      </c>
      <c r="B310" s="3">
        <v>80.620400000000004</v>
      </c>
      <c r="C310" s="4">
        <v>-0.14359999999999218</v>
      </c>
    </row>
    <row r="311" spans="1:3" x14ac:dyDescent="0.45">
      <c r="A311" s="2">
        <v>33786</v>
      </c>
      <c r="B311" s="3">
        <v>81.177099999999996</v>
      </c>
      <c r="C311" s="4">
        <v>0.5566999999999922</v>
      </c>
    </row>
    <row r="312" spans="1:3" x14ac:dyDescent="0.45">
      <c r="A312" s="2">
        <v>33817</v>
      </c>
      <c r="B312" s="3">
        <v>80.543300000000002</v>
      </c>
      <c r="C312" s="4">
        <v>-0.6337999999999937</v>
      </c>
    </row>
    <row r="313" spans="1:3" x14ac:dyDescent="0.45">
      <c r="A313" s="2">
        <v>33848</v>
      </c>
      <c r="B313" s="3">
        <v>80.635499999999993</v>
      </c>
      <c r="C313" s="4">
        <v>9.2199999999991178E-2</v>
      </c>
    </row>
    <row r="314" spans="1:3" x14ac:dyDescent="0.45">
      <c r="A314" s="2">
        <v>33878</v>
      </c>
      <c r="B314" s="3">
        <v>81.013800000000003</v>
      </c>
      <c r="C314" s="4">
        <v>0.37830000000001007</v>
      </c>
    </row>
    <row r="315" spans="1:3" x14ac:dyDescent="0.45">
      <c r="A315" s="2">
        <v>33909</v>
      </c>
      <c r="B315" s="3">
        <v>81.163600000000002</v>
      </c>
      <c r="C315" s="4">
        <v>0.14979999999999905</v>
      </c>
    </row>
    <row r="316" spans="1:3" x14ac:dyDescent="0.45">
      <c r="A316" s="2">
        <v>33939</v>
      </c>
      <c r="B316" s="3">
        <v>81.154899999999998</v>
      </c>
      <c r="C316" s="4">
        <v>-8.7000000000045929E-3</v>
      </c>
    </row>
    <row r="317" spans="1:3" x14ac:dyDescent="0.45">
      <c r="A317" s="2">
        <v>33970</v>
      </c>
      <c r="B317" s="3">
        <v>81.326400000000007</v>
      </c>
      <c r="C317" s="4">
        <v>0.17150000000000887</v>
      </c>
    </row>
    <row r="318" spans="1:3" x14ac:dyDescent="0.45">
      <c r="A318" s="2">
        <v>34001</v>
      </c>
      <c r="B318" s="3">
        <v>81.588399999999993</v>
      </c>
      <c r="C318" s="4">
        <v>0.26199999999998624</v>
      </c>
    </row>
    <row r="319" spans="1:3" x14ac:dyDescent="0.45">
      <c r="A319" s="2">
        <v>34029</v>
      </c>
      <c r="B319" s="3">
        <v>81.395499999999998</v>
      </c>
      <c r="C319" s="4">
        <v>-0.19289999999999452</v>
      </c>
    </row>
    <row r="320" spans="1:3" x14ac:dyDescent="0.45">
      <c r="A320" s="2">
        <v>34060</v>
      </c>
      <c r="B320" s="3">
        <v>81.504499999999993</v>
      </c>
      <c r="C320" s="4">
        <v>0.10899999999999466</v>
      </c>
    </row>
    <row r="321" spans="1:3" x14ac:dyDescent="0.45">
      <c r="A321" s="2">
        <v>34090</v>
      </c>
      <c r="B321" s="3">
        <v>81.085099999999997</v>
      </c>
      <c r="C321" s="4">
        <v>-0.419399999999996</v>
      </c>
    </row>
    <row r="322" spans="1:3" x14ac:dyDescent="0.45">
      <c r="A322" s="2">
        <v>34121</v>
      </c>
      <c r="B322" s="3">
        <v>81.156800000000004</v>
      </c>
      <c r="C322" s="4">
        <v>7.170000000000698E-2</v>
      </c>
    </row>
    <row r="323" spans="1:3" x14ac:dyDescent="0.45">
      <c r="A323" s="2">
        <v>34151</v>
      </c>
      <c r="B323" s="3">
        <v>81.262</v>
      </c>
      <c r="C323" s="4">
        <v>0.10519999999999641</v>
      </c>
    </row>
    <row r="324" spans="1:3" x14ac:dyDescent="0.45">
      <c r="A324" s="2">
        <v>34182</v>
      </c>
      <c r="B324" s="3">
        <v>81.044200000000004</v>
      </c>
      <c r="C324" s="4">
        <v>-0.21779999999999688</v>
      </c>
    </row>
    <row r="325" spans="1:3" x14ac:dyDescent="0.45">
      <c r="A325" s="2">
        <v>34213</v>
      </c>
      <c r="B325" s="3">
        <v>81.344800000000006</v>
      </c>
      <c r="C325" s="4">
        <v>0.30060000000000286</v>
      </c>
    </row>
    <row r="326" spans="1:3" x14ac:dyDescent="0.45">
      <c r="A326" s="2">
        <v>34243</v>
      </c>
      <c r="B326" s="3">
        <v>81.799199999999999</v>
      </c>
      <c r="C326" s="4">
        <v>0.45439999999999259</v>
      </c>
    </row>
    <row r="327" spans="1:3" x14ac:dyDescent="0.45">
      <c r="A327" s="2">
        <v>34274</v>
      </c>
      <c r="B327" s="3">
        <v>82.017799999999994</v>
      </c>
      <c r="C327" s="4">
        <v>0.21859999999999502</v>
      </c>
    </row>
    <row r="328" spans="1:3" x14ac:dyDescent="0.45">
      <c r="A328" s="2">
        <v>34304</v>
      </c>
      <c r="B328" s="3">
        <v>82.334900000000005</v>
      </c>
      <c r="C328" s="4">
        <v>0.3171000000000106</v>
      </c>
    </row>
    <row r="329" spans="1:3" x14ac:dyDescent="0.45">
      <c r="A329" s="2">
        <v>34335</v>
      </c>
      <c r="B329" s="3">
        <v>82.390299999999996</v>
      </c>
      <c r="C329" s="4">
        <v>5.5399999999991678E-2</v>
      </c>
    </row>
    <row r="330" spans="1:3" x14ac:dyDescent="0.45">
      <c r="A330" s="2">
        <v>34366</v>
      </c>
      <c r="B330" s="3">
        <v>82.243700000000004</v>
      </c>
      <c r="C330" s="4">
        <v>-0.14659999999999229</v>
      </c>
    </row>
    <row r="331" spans="1:3" x14ac:dyDescent="0.45">
      <c r="A331" s="2">
        <v>34394</v>
      </c>
      <c r="B331" s="3">
        <v>82.870999999999995</v>
      </c>
      <c r="C331" s="4">
        <v>0.62729999999999109</v>
      </c>
    </row>
    <row r="332" spans="1:3" x14ac:dyDescent="0.45">
      <c r="A332" s="2">
        <v>34425</v>
      </c>
      <c r="B332" s="3">
        <v>83.135800000000003</v>
      </c>
      <c r="C332" s="4">
        <v>0.26480000000000814</v>
      </c>
    </row>
    <row r="333" spans="1:3" x14ac:dyDescent="0.45">
      <c r="A333" s="2">
        <v>34455</v>
      </c>
      <c r="B333" s="3">
        <v>83.279300000000006</v>
      </c>
      <c r="C333" s="4">
        <v>0.14350000000000307</v>
      </c>
    </row>
    <row r="334" spans="1:3" x14ac:dyDescent="0.45">
      <c r="A334" s="2">
        <v>34486</v>
      </c>
      <c r="B334" s="3">
        <v>83.589299999999994</v>
      </c>
      <c r="C334" s="4">
        <v>0.30999999999998806</v>
      </c>
    </row>
    <row r="335" spans="1:3" x14ac:dyDescent="0.45">
      <c r="A335" s="2">
        <v>34516</v>
      </c>
      <c r="B335" s="3">
        <v>83.440600000000003</v>
      </c>
      <c r="C335" s="4">
        <v>-0.14869999999999095</v>
      </c>
    </row>
    <row r="336" spans="1:3" x14ac:dyDescent="0.45">
      <c r="A336" s="2">
        <v>34547</v>
      </c>
      <c r="B336" s="3">
        <v>83.733400000000003</v>
      </c>
      <c r="C336" s="4">
        <v>0.29279999999999973</v>
      </c>
    </row>
    <row r="337" spans="1:3" x14ac:dyDescent="0.45">
      <c r="A337" s="2">
        <v>34578</v>
      </c>
      <c r="B337" s="3">
        <v>83.725399999999993</v>
      </c>
      <c r="C337" s="4">
        <v>-8.0000000000097771E-3</v>
      </c>
    </row>
    <row r="338" spans="1:3" x14ac:dyDescent="0.45">
      <c r="A338" s="2">
        <v>34608</v>
      </c>
      <c r="B338" s="3">
        <v>84.121600000000001</v>
      </c>
      <c r="C338" s="4">
        <v>0.39620000000000744</v>
      </c>
    </row>
    <row r="339" spans="1:3" x14ac:dyDescent="0.45">
      <c r="A339" s="2">
        <v>34639</v>
      </c>
      <c r="B339" s="3">
        <v>84.414000000000001</v>
      </c>
      <c r="C339" s="4">
        <v>0.29240000000000066</v>
      </c>
    </row>
    <row r="340" spans="1:3" x14ac:dyDescent="0.45">
      <c r="A340" s="2">
        <v>34669</v>
      </c>
      <c r="B340" s="3">
        <v>84.989199999999997</v>
      </c>
      <c r="C340" s="4">
        <v>0.57519999999999527</v>
      </c>
    </row>
    <row r="341" spans="1:3" x14ac:dyDescent="0.45">
      <c r="A341" s="2">
        <v>34700</v>
      </c>
      <c r="B341" s="3">
        <v>84.847200000000001</v>
      </c>
      <c r="C341" s="4">
        <v>-0.14199999999999591</v>
      </c>
    </row>
    <row r="342" spans="1:3" x14ac:dyDescent="0.45">
      <c r="A342" s="2">
        <v>34731</v>
      </c>
      <c r="B342" s="3">
        <v>84.463399999999993</v>
      </c>
      <c r="C342" s="4">
        <v>-0.38380000000000791</v>
      </c>
    </row>
    <row r="343" spans="1:3" x14ac:dyDescent="0.45">
      <c r="A343" s="2">
        <v>34759</v>
      </c>
      <c r="B343" s="3">
        <v>84.312299999999993</v>
      </c>
      <c r="C343" s="4">
        <v>-0.15109999999999957</v>
      </c>
    </row>
    <row r="344" spans="1:3" x14ac:dyDescent="0.45">
      <c r="A344" s="2">
        <v>34790</v>
      </c>
      <c r="B344" s="3">
        <v>83.874799999999993</v>
      </c>
      <c r="C344" s="4">
        <v>-0.4375</v>
      </c>
    </row>
    <row r="345" spans="1:3" x14ac:dyDescent="0.45">
      <c r="A345" s="2">
        <v>34820</v>
      </c>
      <c r="B345" s="3">
        <v>83.9876</v>
      </c>
      <c r="C345" s="4">
        <v>0.11280000000000712</v>
      </c>
    </row>
    <row r="346" spans="1:3" x14ac:dyDescent="0.45">
      <c r="A346" s="2">
        <v>34851</v>
      </c>
      <c r="B346" s="3">
        <v>83.958399999999997</v>
      </c>
      <c r="C346" s="4">
        <v>-2.9200000000003001E-2</v>
      </c>
    </row>
    <row r="347" spans="1:3" x14ac:dyDescent="0.45">
      <c r="A347" s="2">
        <v>34881</v>
      </c>
      <c r="B347" s="3">
        <v>83.294399999999996</v>
      </c>
      <c r="C347" s="4">
        <v>-0.66400000000000148</v>
      </c>
    </row>
    <row r="348" spans="1:3" x14ac:dyDescent="0.45">
      <c r="A348" s="2">
        <v>34912</v>
      </c>
      <c r="B348" s="3">
        <v>84.072400000000002</v>
      </c>
      <c r="C348" s="4">
        <v>0.7780000000000058</v>
      </c>
    </row>
    <row r="349" spans="1:3" x14ac:dyDescent="0.45">
      <c r="A349" s="2">
        <v>34943</v>
      </c>
      <c r="B349" s="3">
        <v>84.074700000000007</v>
      </c>
      <c r="C349" s="4">
        <v>2.3000000000052978E-3</v>
      </c>
    </row>
    <row r="350" spans="1:3" x14ac:dyDescent="0.45">
      <c r="A350" s="2">
        <v>34973</v>
      </c>
      <c r="B350" s="3">
        <v>83.58</v>
      </c>
      <c r="C350" s="4">
        <v>-0.4947000000000088</v>
      </c>
    </row>
    <row r="351" spans="1:3" x14ac:dyDescent="0.45">
      <c r="A351" s="2">
        <v>35004</v>
      </c>
      <c r="B351" s="3">
        <v>83.442899999999995</v>
      </c>
      <c r="C351" s="4">
        <v>-0.13710000000000377</v>
      </c>
    </row>
    <row r="352" spans="1:3" x14ac:dyDescent="0.45">
      <c r="A352" s="2">
        <v>35034</v>
      </c>
      <c r="B352" s="3">
        <v>83.365399999999994</v>
      </c>
      <c r="C352" s="4">
        <v>-7.7500000000000568E-2</v>
      </c>
    </row>
    <row r="353" spans="1:3" x14ac:dyDescent="0.45">
      <c r="A353" s="2">
        <v>35065</v>
      </c>
      <c r="B353" s="3">
        <v>82.515799999999999</v>
      </c>
      <c r="C353" s="4">
        <v>-0.84959999999999525</v>
      </c>
    </row>
    <row r="354" spans="1:3" x14ac:dyDescent="0.45">
      <c r="A354" s="2">
        <v>35096</v>
      </c>
      <c r="B354" s="3">
        <v>83.345100000000002</v>
      </c>
      <c r="C354" s="4">
        <v>0.82930000000000348</v>
      </c>
    </row>
    <row r="355" spans="1:3" x14ac:dyDescent="0.45">
      <c r="A355" s="2">
        <v>35125</v>
      </c>
      <c r="B355" s="3">
        <v>82.859399999999994</v>
      </c>
      <c r="C355" s="4">
        <v>-0.48570000000000846</v>
      </c>
    </row>
    <row r="356" spans="1:3" x14ac:dyDescent="0.45">
      <c r="A356" s="2">
        <v>35156</v>
      </c>
      <c r="B356" s="3">
        <v>83.2941</v>
      </c>
      <c r="C356" s="4">
        <v>0.43470000000000653</v>
      </c>
    </row>
    <row r="357" spans="1:3" x14ac:dyDescent="0.45">
      <c r="A357" s="2">
        <v>35186</v>
      </c>
      <c r="B357" s="3">
        <v>83.523600000000002</v>
      </c>
      <c r="C357" s="4">
        <v>0.22950000000000159</v>
      </c>
    </row>
    <row r="358" spans="1:3" x14ac:dyDescent="0.45">
      <c r="A358" s="2">
        <v>35217</v>
      </c>
      <c r="B358" s="3">
        <v>83.766499999999994</v>
      </c>
      <c r="C358" s="4">
        <v>0.24289999999999168</v>
      </c>
    </row>
    <row r="359" spans="1:3" x14ac:dyDescent="0.45">
      <c r="A359" s="2">
        <v>35247</v>
      </c>
      <c r="B359" s="3">
        <v>83.391800000000003</v>
      </c>
      <c r="C359" s="4">
        <v>-0.37469999999999004</v>
      </c>
    </row>
    <row r="360" spans="1:3" x14ac:dyDescent="0.45">
      <c r="A360" s="2">
        <v>35278</v>
      </c>
      <c r="B360" s="3">
        <v>83.4315</v>
      </c>
      <c r="C360" s="4">
        <v>3.9699999999996294E-2</v>
      </c>
    </row>
    <row r="361" spans="1:3" x14ac:dyDescent="0.45">
      <c r="A361" s="2">
        <v>35309</v>
      </c>
      <c r="B361" s="3">
        <v>83.563999999999993</v>
      </c>
      <c r="C361" s="4">
        <v>0.13249999999999318</v>
      </c>
    </row>
    <row r="362" spans="1:3" x14ac:dyDescent="0.45">
      <c r="A362" s="2">
        <v>35339</v>
      </c>
      <c r="B362" s="3">
        <v>83.197299999999998</v>
      </c>
      <c r="C362" s="4">
        <v>-0.36669999999999447</v>
      </c>
    </row>
    <row r="363" spans="1:3" x14ac:dyDescent="0.45">
      <c r="A363" s="2">
        <v>35370</v>
      </c>
      <c r="B363" s="3">
        <v>83.562200000000004</v>
      </c>
      <c r="C363" s="4">
        <v>0.36490000000000578</v>
      </c>
    </row>
    <row r="364" spans="1:3" x14ac:dyDescent="0.45">
      <c r="A364" s="2">
        <v>35400</v>
      </c>
      <c r="B364" s="3">
        <v>83.693299999999994</v>
      </c>
      <c r="C364" s="4">
        <v>0.13109999999998934</v>
      </c>
    </row>
    <row r="365" spans="1:3" x14ac:dyDescent="0.45">
      <c r="A365" s="2">
        <v>35431</v>
      </c>
      <c r="B365" s="3">
        <v>83.426199999999994</v>
      </c>
      <c r="C365" s="4">
        <v>-0.26709999999999923</v>
      </c>
    </row>
    <row r="366" spans="1:3" x14ac:dyDescent="0.45">
      <c r="A366" s="2">
        <v>35462</v>
      </c>
      <c r="B366" s="3">
        <v>84.008399999999995</v>
      </c>
      <c r="C366" s="4">
        <v>0.58220000000000027</v>
      </c>
    </row>
    <row r="367" spans="1:3" x14ac:dyDescent="0.45">
      <c r="A367" s="2">
        <v>35490</v>
      </c>
      <c r="B367" s="3">
        <v>84.12</v>
      </c>
      <c r="C367" s="4">
        <v>0.11160000000000991</v>
      </c>
    </row>
    <row r="368" spans="1:3" x14ac:dyDescent="0.45">
      <c r="A368" s="2">
        <v>35521</v>
      </c>
      <c r="B368" s="3">
        <v>83.791600000000003</v>
      </c>
      <c r="C368" s="4">
        <v>-0.32840000000000202</v>
      </c>
    </row>
    <row r="369" spans="1:3" x14ac:dyDescent="0.45">
      <c r="A369" s="2">
        <v>35551</v>
      </c>
      <c r="B369" s="3">
        <v>83.814400000000006</v>
      </c>
      <c r="C369" s="4">
        <v>2.2800000000003706E-2</v>
      </c>
    </row>
    <row r="370" spans="1:3" x14ac:dyDescent="0.45">
      <c r="A370" s="2">
        <v>35582</v>
      </c>
      <c r="B370" s="3">
        <v>83.740200000000002</v>
      </c>
      <c r="C370" s="4">
        <v>-7.4200000000004707E-2</v>
      </c>
    </row>
    <row r="371" spans="1:3" x14ac:dyDescent="0.45">
      <c r="A371" s="2">
        <v>35612</v>
      </c>
      <c r="B371" s="3">
        <v>83.977999999999994</v>
      </c>
      <c r="C371" s="4">
        <v>0.23779999999999291</v>
      </c>
    </row>
    <row r="372" spans="1:3" x14ac:dyDescent="0.45">
      <c r="A372" s="2">
        <v>35643</v>
      </c>
      <c r="B372" s="3">
        <v>84.317800000000005</v>
      </c>
      <c r="C372" s="4">
        <v>0.33980000000001098</v>
      </c>
    </row>
    <row r="373" spans="1:3" x14ac:dyDescent="0.45">
      <c r="A373" s="2">
        <v>35674</v>
      </c>
      <c r="B373" s="3">
        <v>84.569299999999998</v>
      </c>
      <c r="C373" s="4">
        <v>0.25149999999999295</v>
      </c>
    </row>
    <row r="374" spans="1:3" x14ac:dyDescent="0.45">
      <c r="A374" s="2">
        <v>35704</v>
      </c>
      <c r="B374" s="3">
        <v>84.779300000000006</v>
      </c>
      <c r="C374" s="4">
        <v>0.21000000000000796</v>
      </c>
    </row>
    <row r="375" spans="1:3" x14ac:dyDescent="0.45">
      <c r="A375" s="2">
        <v>35735</v>
      </c>
      <c r="B375" s="3">
        <v>84.891800000000003</v>
      </c>
      <c r="C375" s="4">
        <v>0.11249999999999716</v>
      </c>
    </row>
    <row r="376" spans="1:3" x14ac:dyDescent="0.45">
      <c r="A376" s="2">
        <v>35765</v>
      </c>
      <c r="B376" s="3">
        <v>84.691999999999993</v>
      </c>
      <c r="C376" s="4">
        <v>-0.19980000000001041</v>
      </c>
    </row>
    <row r="377" spans="1:3" x14ac:dyDescent="0.45">
      <c r="A377" s="2">
        <v>35796</v>
      </c>
      <c r="B377" s="3">
        <v>84.498400000000004</v>
      </c>
      <c r="C377" s="4">
        <v>-0.19359999999998934</v>
      </c>
    </row>
    <row r="378" spans="1:3" x14ac:dyDescent="0.45">
      <c r="A378" s="2">
        <v>35827</v>
      </c>
      <c r="B378" s="3">
        <v>84.073999999999998</v>
      </c>
      <c r="C378" s="4">
        <v>-0.42440000000000566</v>
      </c>
    </row>
    <row r="379" spans="1:3" x14ac:dyDescent="0.45">
      <c r="A379" s="2">
        <v>35855</v>
      </c>
      <c r="B379" s="3">
        <v>83.5488</v>
      </c>
      <c r="C379" s="4">
        <v>-0.52519999999999811</v>
      </c>
    </row>
    <row r="380" spans="1:3" x14ac:dyDescent="0.45">
      <c r="A380" s="2">
        <v>35886</v>
      </c>
      <c r="B380" s="3">
        <v>83.292299999999997</v>
      </c>
      <c r="C380" s="4">
        <v>-0.25650000000000261</v>
      </c>
    </row>
    <row r="381" spans="1:3" x14ac:dyDescent="0.45">
      <c r="A381" s="2">
        <v>35916</v>
      </c>
      <c r="B381" s="3">
        <v>83.313599999999994</v>
      </c>
      <c r="C381" s="4">
        <v>2.1299999999996544E-2</v>
      </c>
    </row>
    <row r="382" spans="1:3" x14ac:dyDescent="0.45">
      <c r="A382" s="2">
        <v>35947</v>
      </c>
      <c r="B382" s="3">
        <v>82.315100000000001</v>
      </c>
      <c r="C382" s="4">
        <v>-0.99849999999999284</v>
      </c>
    </row>
    <row r="383" spans="1:3" x14ac:dyDescent="0.45">
      <c r="A383" s="2">
        <v>35977</v>
      </c>
      <c r="B383" s="3">
        <v>81.539599999999993</v>
      </c>
      <c r="C383" s="4">
        <v>-0.77550000000000807</v>
      </c>
    </row>
    <row r="384" spans="1:3" x14ac:dyDescent="0.45">
      <c r="A384" s="2">
        <v>36008</v>
      </c>
      <c r="B384" s="3">
        <v>82.786900000000003</v>
      </c>
      <c r="C384" s="4">
        <v>1.2473000000000098</v>
      </c>
    </row>
    <row r="385" spans="1:3" x14ac:dyDescent="0.45">
      <c r="A385" s="2">
        <v>36039</v>
      </c>
      <c r="B385" s="3">
        <v>82.325299999999999</v>
      </c>
      <c r="C385" s="4">
        <v>-0.46160000000000423</v>
      </c>
    </row>
    <row r="386" spans="1:3" x14ac:dyDescent="0.45">
      <c r="A386" s="2">
        <v>36069</v>
      </c>
      <c r="B386" s="3">
        <v>82.487899999999996</v>
      </c>
      <c r="C386" s="4">
        <v>0.16259999999999764</v>
      </c>
    </row>
    <row r="387" spans="1:3" x14ac:dyDescent="0.45">
      <c r="A387" s="2">
        <v>36100</v>
      </c>
      <c r="B387" s="3">
        <v>82.040300000000002</v>
      </c>
      <c r="C387" s="4">
        <v>-0.44759999999999422</v>
      </c>
    </row>
    <row r="388" spans="1:3" x14ac:dyDescent="0.45">
      <c r="A388" s="2">
        <v>36130</v>
      </c>
      <c r="B388" s="3">
        <v>82.041499999999999</v>
      </c>
      <c r="C388" s="4">
        <v>1.1999999999972033E-3</v>
      </c>
    </row>
    <row r="389" spans="1:3" x14ac:dyDescent="0.45">
      <c r="A389" s="2">
        <v>36161</v>
      </c>
      <c r="B389" s="3">
        <v>82.039100000000005</v>
      </c>
      <c r="C389" s="4">
        <v>-2.3999999999944066E-3</v>
      </c>
    </row>
    <row r="390" spans="1:3" x14ac:dyDescent="0.45">
      <c r="A390" s="2">
        <v>36192</v>
      </c>
      <c r="B390" s="3">
        <v>82.191599999999994</v>
      </c>
      <c r="C390" s="4">
        <v>0.1524999999999892</v>
      </c>
    </row>
    <row r="391" spans="1:3" x14ac:dyDescent="0.45">
      <c r="A391" s="2">
        <v>36220</v>
      </c>
      <c r="B391" s="3">
        <v>82.045199999999994</v>
      </c>
      <c r="C391" s="4">
        <v>-0.14639999999999986</v>
      </c>
    </row>
    <row r="392" spans="1:3" x14ac:dyDescent="0.45">
      <c r="A392" s="2">
        <v>36251</v>
      </c>
      <c r="B392" s="3">
        <v>81.915300000000002</v>
      </c>
      <c r="C392" s="4">
        <v>-0.12989999999999213</v>
      </c>
    </row>
    <row r="393" spans="1:3" x14ac:dyDescent="0.45">
      <c r="A393" s="2">
        <v>36281</v>
      </c>
      <c r="B393" s="3">
        <v>82.123999999999995</v>
      </c>
      <c r="C393" s="4">
        <v>0.20869999999999322</v>
      </c>
    </row>
    <row r="394" spans="1:3" x14ac:dyDescent="0.45">
      <c r="A394" s="2">
        <v>36312</v>
      </c>
      <c r="B394" s="3">
        <v>81.759299999999996</v>
      </c>
      <c r="C394" s="4">
        <v>-0.36469999999999914</v>
      </c>
    </row>
    <row r="395" spans="1:3" x14ac:dyDescent="0.45">
      <c r="A395" s="2">
        <v>36342</v>
      </c>
      <c r="B395" s="3">
        <v>81.9405</v>
      </c>
      <c r="C395" s="4">
        <v>0.18120000000000402</v>
      </c>
    </row>
    <row r="396" spans="1:3" x14ac:dyDescent="0.45">
      <c r="A396" s="2">
        <v>36373</v>
      </c>
      <c r="B396" s="3">
        <v>81.9786</v>
      </c>
      <c r="C396" s="4">
        <v>3.8100000000000023E-2</v>
      </c>
    </row>
    <row r="397" spans="1:3" x14ac:dyDescent="0.45">
      <c r="A397" s="2">
        <v>36404</v>
      </c>
      <c r="B397" s="3">
        <v>81.364199999999997</v>
      </c>
      <c r="C397" s="4">
        <v>-0.61440000000000339</v>
      </c>
    </row>
    <row r="398" spans="1:3" x14ac:dyDescent="0.45">
      <c r="A398" s="2">
        <v>36434</v>
      </c>
      <c r="B398" s="3">
        <v>82.077100000000002</v>
      </c>
      <c r="C398" s="4">
        <v>0.71290000000000475</v>
      </c>
    </row>
    <row r="399" spans="1:3" x14ac:dyDescent="0.45">
      <c r="A399" s="2">
        <v>36465</v>
      </c>
      <c r="B399" s="3">
        <v>82.197999999999993</v>
      </c>
      <c r="C399" s="4">
        <v>0.12089999999999179</v>
      </c>
    </row>
    <row r="400" spans="1:3" x14ac:dyDescent="0.45">
      <c r="A400" s="2">
        <v>36495</v>
      </c>
      <c r="B400" s="3">
        <v>82.559200000000004</v>
      </c>
      <c r="C400" s="4">
        <v>0.36120000000001085</v>
      </c>
    </row>
    <row r="401" spans="1:3" x14ac:dyDescent="0.45">
      <c r="A401" s="2">
        <v>36526</v>
      </c>
      <c r="B401" s="3">
        <v>82.179000000000002</v>
      </c>
      <c r="C401" s="4">
        <v>-0.38020000000000209</v>
      </c>
    </row>
    <row r="402" spans="1:3" x14ac:dyDescent="0.45">
      <c r="A402" s="2">
        <v>36557</v>
      </c>
      <c r="B402" s="3">
        <v>82.171899999999994</v>
      </c>
      <c r="C402" s="4">
        <v>-7.1000000000083219E-3</v>
      </c>
    </row>
    <row r="403" spans="1:3" x14ac:dyDescent="0.45">
      <c r="A403" s="2">
        <v>36586</v>
      </c>
      <c r="B403" s="3">
        <v>82.202299999999994</v>
      </c>
      <c r="C403" s="4">
        <v>3.0400000000000205E-2</v>
      </c>
    </row>
    <row r="404" spans="1:3" x14ac:dyDescent="0.45">
      <c r="A404" s="2">
        <v>36617</v>
      </c>
      <c r="B404" s="3">
        <v>82.431600000000003</v>
      </c>
      <c r="C404" s="4">
        <v>0.22930000000000916</v>
      </c>
    </row>
    <row r="405" spans="1:3" x14ac:dyDescent="0.45">
      <c r="A405" s="2">
        <v>36647</v>
      </c>
      <c r="B405" s="3">
        <v>82.396699999999996</v>
      </c>
      <c r="C405" s="4">
        <v>-3.4900000000007481E-2</v>
      </c>
    </row>
    <row r="406" spans="1:3" x14ac:dyDescent="0.45">
      <c r="A406" s="2">
        <v>36678</v>
      </c>
      <c r="B406" s="3">
        <v>82.172899999999998</v>
      </c>
      <c r="C406" s="4">
        <v>-0.22379999999999711</v>
      </c>
    </row>
    <row r="407" spans="1:3" x14ac:dyDescent="0.45">
      <c r="A407" s="2">
        <v>36708</v>
      </c>
      <c r="B407" s="3">
        <v>81.760300000000001</v>
      </c>
      <c r="C407" s="4">
        <v>-0.41259999999999764</v>
      </c>
    </row>
    <row r="408" spans="1:3" x14ac:dyDescent="0.45">
      <c r="A408" s="2">
        <v>36739</v>
      </c>
      <c r="B408" s="3">
        <v>81.285700000000006</v>
      </c>
      <c r="C408" s="4">
        <v>-0.47459999999999525</v>
      </c>
    </row>
    <row r="409" spans="1:3" x14ac:dyDescent="0.45">
      <c r="A409" s="2">
        <v>36770</v>
      </c>
      <c r="B409" s="3">
        <v>81.406099999999995</v>
      </c>
      <c r="C409" s="4">
        <v>0.1203999999999894</v>
      </c>
    </row>
    <row r="410" spans="1:3" x14ac:dyDescent="0.45">
      <c r="A410" s="2">
        <v>36800</v>
      </c>
      <c r="B410" s="3">
        <v>80.833399999999997</v>
      </c>
      <c r="C410" s="4">
        <v>-0.57269999999999754</v>
      </c>
    </row>
    <row r="411" spans="1:3" x14ac:dyDescent="0.45">
      <c r="A411" s="2">
        <v>36831</v>
      </c>
      <c r="B411" s="3">
        <v>80.596299999999999</v>
      </c>
      <c r="C411" s="4">
        <v>-0.23709999999999809</v>
      </c>
    </row>
    <row r="412" spans="1:3" x14ac:dyDescent="0.45">
      <c r="A412" s="2">
        <v>36861</v>
      </c>
      <c r="B412" s="3">
        <v>80.073499999999996</v>
      </c>
      <c r="C412" s="4">
        <v>-0.52280000000000371</v>
      </c>
    </row>
    <row r="413" spans="1:3" x14ac:dyDescent="0.45">
      <c r="A413" s="2">
        <v>36892</v>
      </c>
      <c r="B413" s="3">
        <v>79.433199999999999</v>
      </c>
      <c r="C413" s="4">
        <v>-0.64029999999999632</v>
      </c>
    </row>
    <row r="414" spans="1:3" x14ac:dyDescent="0.45">
      <c r="A414" s="2">
        <v>36923</v>
      </c>
      <c r="B414" s="3">
        <v>78.660399999999996</v>
      </c>
      <c r="C414" s="4">
        <v>-0.77280000000000371</v>
      </c>
    </row>
    <row r="415" spans="1:3" x14ac:dyDescent="0.45">
      <c r="A415" s="2">
        <v>36951</v>
      </c>
      <c r="B415" s="3">
        <v>78.247200000000007</v>
      </c>
      <c r="C415" s="4">
        <v>-0.41319999999998913</v>
      </c>
    </row>
    <row r="416" spans="1:3" x14ac:dyDescent="0.45">
      <c r="A416" s="2">
        <v>36982</v>
      </c>
      <c r="B416" s="3">
        <v>77.720600000000005</v>
      </c>
      <c r="C416" s="4">
        <v>-0.52660000000000196</v>
      </c>
    </row>
    <row r="417" spans="1:3" x14ac:dyDescent="0.45">
      <c r="A417" s="2">
        <v>37012</v>
      </c>
      <c r="B417" s="3">
        <v>77.112799999999993</v>
      </c>
      <c r="C417" s="4">
        <v>-0.60780000000001166</v>
      </c>
    </row>
    <row r="418" spans="1:3" x14ac:dyDescent="0.45">
      <c r="A418" s="2">
        <v>37043</v>
      </c>
      <c r="B418" s="3">
        <v>76.480699999999999</v>
      </c>
      <c r="C418" s="4">
        <v>-0.63209999999999411</v>
      </c>
    </row>
    <row r="419" spans="1:3" x14ac:dyDescent="0.45">
      <c r="A419" s="2">
        <v>37073</v>
      </c>
      <c r="B419" s="3">
        <v>75.780600000000007</v>
      </c>
      <c r="C419" s="4">
        <v>-0.70009999999999195</v>
      </c>
    </row>
    <row r="420" spans="1:3" x14ac:dyDescent="0.45">
      <c r="A420" s="2">
        <v>37104</v>
      </c>
      <c r="B420" s="3">
        <v>75.493799999999993</v>
      </c>
      <c r="C420" s="4">
        <v>-0.28680000000001371</v>
      </c>
    </row>
    <row r="421" spans="1:3" x14ac:dyDescent="0.45">
      <c r="A421" s="2">
        <v>37135</v>
      </c>
      <c r="B421" s="3">
        <v>74.923699999999997</v>
      </c>
      <c r="C421" s="4">
        <v>-0.5700999999999965</v>
      </c>
    </row>
    <row r="422" spans="1:3" x14ac:dyDescent="0.45">
      <c r="A422" s="2">
        <v>37165</v>
      </c>
      <c r="B422" s="3">
        <v>74.543099999999995</v>
      </c>
      <c r="C422" s="4">
        <v>-0.38060000000000116</v>
      </c>
    </row>
    <row r="423" spans="1:3" x14ac:dyDescent="0.45">
      <c r="A423" s="2">
        <v>37196</v>
      </c>
      <c r="B423" s="3">
        <v>73.931799999999996</v>
      </c>
      <c r="C423" s="4">
        <v>-0.61129999999999995</v>
      </c>
    </row>
    <row r="424" spans="1:3" x14ac:dyDescent="0.45">
      <c r="A424" s="2">
        <v>37226</v>
      </c>
      <c r="B424" s="3">
        <v>73.755200000000002</v>
      </c>
      <c r="C424" s="4">
        <v>-0.17659999999999343</v>
      </c>
    </row>
    <row r="425" spans="1:3" x14ac:dyDescent="0.45">
      <c r="A425" s="2">
        <v>37257</v>
      </c>
      <c r="B425" s="3">
        <v>74.116100000000003</v>
      </c>
      <c r="C425" s="4">
        <v>0.36090000000000089</v>
      </c>
    </row>
    <row r="426" spans="1:3" x14ac:dyDescent="0.45">
      <c r="A426" s="2">
        <v>37288</v>
      </c>
      <c r="B426" s="3">
        <v>74.013199999999998</v>
      </c>
      <c r="C426" s="4">
        <v>-0.10290000000000532</v>
      </c>
    </row>
    <row r="427" spans="1:3" x14ac:dyDescent="0.45">
      <c r="A427" s="2">
        <v>37316</v>
      </c>
      <c r="B427" s="3">
        <v>74.455799999999996</v>
      </c>
      <c r="C427" s="4">
        <v>0.44259999999999877</v>
      </c>
    </row>
    <row r="428" spans="1:3" x14ac:dyDescent="0.45">
      <c r="A428" s="2">
        <v>37347</v>
      </c>
      <c r="B428" s="3">
        <v>74.745199999999997</v>
      </c>
      <c r="C428" s="4">
        <v>0.28940000000000055</v>
      </c>
    </row>
    <row r="429" spans="1:3" x14ac:dyDescent="0.45">
      <c r="A429" s="2">
        <v>37377</v>
      </c>
      <c r="B429" s="3">
        <v>74.989400000000003</v>
      </c>
      <c r="C429" s="4">
        <v>0.24420000000000641</v>
      </c>
    </row>
    <row r="430" spans="1:3" x14ac:dyDescent="0.45">
      <c r="A430" s="2">
        <v>37408</v>
      </c>
      <c r="B430" s="3">
        <v>75.569000000000003</v>
      </c>
      <c r="C430" s="4">
        <v>0.57959999999999923</v>
      </c>
    </row>
    <row r="431" spans="1:3" x14ac:dyDescent="0.45">
      <c r="A431" s="2">
        <v>37438</v>
      </c>
      <c r="B431" s="3">
        <v>75.522800000000004</v>
      </c>
      <c r="C431" s="4">
        <v>-4.6199999999998909E-2</v>
      </c>
    </row>
    <row r="432" spans="1:3" x14ac:dyDescent="0.45">
      <c r="A432" s="2">
        <v>37469</v>
      </c>
      <c r="B432" s="3">
        <v>75.431700000000006</v>
      </c>
      <c r="C432" s="4">
        <v>-9.1099999999997294E-2</v>
      </c>
    </row>
    <row r="433" spans="1:3" x14ac:dyDescent="0.45">
      <c r="A433" s="2">
        <v>37500</v>
      </c>
      <c r="B433" s="3">
        <v>75.499499999999998</v>
      </c>
      <c r="C433" s="4">
        <v>6.7799999999991201E-2</v>
      </c>
    </row>
    <row r="434" spans="1:3" x14ac:dyDescent="0.45">
      <c r="A434" s="2">
        <v>37530</v>
      </c>
      <c r="B434" s="3">
        <v>75.3553</v>
      </c>
      <c r="C434" s="4">
        <v>-0.14419999999999789</v>
      </c>
    </row>
    <row r="435" spans="1:3" x14ac:dyDescent="0.45">
      <c r="A435" s="2">
        <v>37561</v>
      </c>
      <c r="B435" s="3">
        <v>75.8001</v>
      </c>
      <c r="C435" s="4">
        <v>0.44480000000000075</v>
      </c>
    </row>
    <row r="436" spans="1:3" x14ac:dyDescent="0.45">
      <c r="A436" s="2">
        <v>37591</v>
      </c>
      <c r="B436" s="3">
        <v>75.407300000000006</v>
      </c>
      <c r="C436" s="4">
        <v>-0.39279999999999404</v>
      </c>
    </row>
    <row r="437" spans="1:3" x14ac:dyDescent="0.45">
      <c r="A437" s="2">
        <v>37622</v>
      </c>
      <c r="B437" s="3">
        <v>76.082899999999995</v>
      </c>
      <c r="C437" s="4">
        <v>0.67559999999998865</v>
      </c>
    </row>
    <row r="438" spans="1:3" x14ac:dyDescent="0.45">
      <c r="A438" s="2">
        <v>37653</v>
      </c>
      <c r="B438" s="3">
        <v>76.200800000000001</v>
      </c>
      <c r="C438" s="4">
        <v>0.11790000000000589</v>
      </c>
    </row>
    <row r="439" spans="1:3" x14ac:dyDescent="0.45">
      <c r="A439" s="2">
        <v>37681</v>
      </c>
      <c r="B439" s="3">
        <v>76.027199999999993</v>
      </c>
      <c r="C439" s="4">
        <v>-0.17360000000000753</v>
      </c>
    </row>
    <row r="440" spans="1:3" x14ac:dyDescent="0.45">
      <c r="A440" s="2">
        <v>37712</v>
      </c>
      <c r="B440" s="3">
        <v>75.602800000000002</v>
      </c>
      <c r="C440" s="4">
        <v>-0.42439999999999145</v>
      </c>
    </row>
    <row r="441" spans="1:3" x14ac:dyDescent="0.45">
      <c r="A441" s="2">
        <v>37742</v>
      </c>
      <c r="B441" s="3">
        <v>75.609899999999996</v>
      </c>
      <c r="C441" s="4">
        <v>7.099999999994111E-3</v>
      </c>
    </row>
    <row r="442" spans="1:3" x14ac:dyDescent="0.45">
      <c r="A442" s="2">
        <v>37773</v>
      </c>
      <c r="B442" s="3">
        <v>75.731099999999998</v>
      </c>
      <c r="C442" s="4">
        <v>0.12120000000000175</v>
      </c>
    </row>
    <row r="443" spans="1:3" x14ac:dyDescent="0.45">
      <c r="A443" s="2">
        <v>37803</v>
      </c>
      <c r="B443" s="3">
        <v>76.136899999999997</v>
      </c>
      <c r="C443" s="4">
        <v>0.40579999999999927</v>
      </c>
    </row>
    <row r="444" spans="1:3" x14ac:dyDescent="0.45">
      <c r="A444" s="2">
        <v>37834</v>
      </c>
      <c r="B444" s="3">
        <v>75.983199999999997</v>
      </c>
      <c r="C444" s="4">
        <v>-0.15370000000000061</v>
      </c>
    </row>
    <row r="445" spans="1:3" x14ac:dyDescent="0.45">
      <c r="A445" s="2">
        <v>37865</v>
      </c>
      <c r="B445" s="3">
        <v>76.483000000000004</v>
      </c>
      <c r="C445" s="4">
        <v>0.49980000000000757</v>
      </c>
    </row>
    <row r="446" spans="1:3" x14ac:dyDescent="0.45">
      <c r="A446" s="2">
        <v>37895</v>
      </c>
      <c r="B446" s="3">
        <v>76.588399999999993</v>
      </c>
      <c r="C446" s="4">
        <v>0.10539999999998884</v>
      </c>
    </row>
    <row r="447" spans="1:3" x14ac:dyDescent="0.45">
      <c r="A447" s="2">
        <v>37926</v>
      </c>
      <c r="B447" s="3">
        <v>77.113500000000002</v>
      </c>
      <c r="C447" s="4">
        <v>0.525100000000009</v>
      </c>
    </row>
    <row r="448" spans="1:3" x14ac:dyDescent="0.45">
      <c r="A448" s="2">
        <v>37956</v>
      </c>
      <c r="B448" s="3">
        <v>77.148899999999998</v>
      </c>
      <c r="C448" s="4">
        <v>3.5399999999995657E-2</v>
      </c>
    </row>
    <row r="449" spans="1:3" x14ac:dyDescent="0.45">
      <c r="A449" s="2">
        <v>37987</v>
      </c>
      <c r="B449" s="3">
        <v>77.280600000000007</v>
      </c>
      <c r="C449" s="4">
        <v>0.13170000000000925</v>
      </c>
    </row>
    <row r="450" spans="1:3" x14ac:dyDescent="0.45">
      <c r="A450" s="2">
        <v>38018</v>
      </c>
      <c r="B450" s="3">
        <v>77.763900000000007</v>
      </c>
      <c r="C450" s="4">
        <v>0.48329999999999984</v>
      </c>
    </row>
    <row r="451" spans="1:3" x14ac:dyDescent="0.45">
      <c r="A451" s="2">
        <v>38047</v>
      </c>
      <c r="B451" s="3">
        <v>77.472099999999998</v>
      </c>
      <c r="C451" s="4">
        <v>-0.29180000000000916</v>
      </c>
    </row>
    <row r="452" spans="1:3" x14ac:dyDescent="0.45">
      <c r="A452" s="2">
        <v>38078</v>
      </c>
      <c r="B452" s="3">
        <v>77.780699999999996</v>
      </c>
      <c r="C452" s="4">
        <v>0.30859999999999843</v>
      </c>
    </row>
    <row r="453" spans="1:3" x14ac:dyDescent="0.45">
      <c r="A453" s="2">
        <v>38108</v>
      </c>
      <c r="B453" s="3">
        <v>78.362300000000005</v>
      </c>
      <c r="C453" s="4">
        <v>0.58160000000000878</v>
      </c>
    </row>
    <row r="454" spans="1:3" x14ac:dyDescent="0.45">
      <c r="A454" s="2">
        <v>38139</v>
      </c>
      <c r="B454" s="3">
        <v>77.766900000000007</v>
      </c>
      <c r="C454" s="4">
        <v>-0.59539999999999793</v>
      </c>
    </row>
    <row r="455" spans="1:3" x14ac:dyDescent="0.45">
      <c r="A455" s="2">
        <v>38169</v>
      </c>
      <c r="B455" s="3">
        <v>78.359399999999994</v>
      </c>
      <c r="C455" s="4">
        <v>0.59249999999998693</v>
      </c>
    </row>
    <row r="456" spans="1:3" x14ac:dyDescent="0.45">
      <c r="A456" s="2">
        <v>38200</v>
      </c>
      <c r="B456" s="3">
        <v>78.416700000000006</v>
      </c>
      <c r="C456" s="4">
        <v>5.7300000000012119E-2</v>
      </c>
    </row>
    <row r="457" spans="1:3" x14ac:dyDescent="0.45">
      <c r="A457" s="2">
        <v>38231</v>
      </c>
      <c r="B457" s="3">
        <v>78.510900000000007</v>
      </c>
      <c r="C457" s="4">
        <v>9.4200000000000728E-2</v>
      </c>
    </row>
    <row r="458" spans="1:3" x14ac:dyDescent="0.45">
      <c r="A458" s="2">
        <v>38261</v>
      </c>
      <c r="B458" s="3">
        <v>79.163499999999999</v>
      </c>
      <c r="C458" s="4">
        <v>0.65259999999999252</v>
      </c>
    </row>
    <row r="459" spans="1:3" x14ac:dyDescent="0.45">
      <c r="A459" s="2">
        <v>38292</v>
      </c>
      <c r="B459" s="3">
        <v>79.329599999999999</v>
      </c>
      <c r="C459" s="4">
        <v>0.16610000000000014</v>
      </c>
    </row>
    <row r="460" spans="1:3" x14ac:dyDescent="0.45">
      <c r="A460" s="2">
        <v>38322</v>
      </c>
      <c r="B460" s="3">
        <v>79.917900000000003</v>
      </c>
      <c r="C460" s="4">
        <v>0.58830000000000382</v>
      </c>
    </row>
    <row r="461" spans="1:3" x14ac:dyDescent="0.45">
      <c r="A461" s="2">
        <v>38353</v>
      </c>
      <c r="B461" s="3">
        <v>80.1494</v>
      </c>
      <c r="C461" s="4">
        <v>0.23149999999999693</v>
      </c>
    </row>
    <row r="462" spans="1:3" x14ac:dyDescent="0.45">
      <c r="A462" s="2">
        <v>38384</v>
      </c>
      <c r="B462" s="3">
        <v>80.6584</v>
      </c>
      <c r="C462" s="4">
        <v>0.50900000000000034</v>
      </c>
    </row>
    <row r="463" spans="1:3" x14ac:dyDescent="0.45">
      <c r="A463" s="2">
        <v>38412</v>
      </c>
      <c r="B463" s="3">
        <v>80.463800000000006</v>
      </c>
      <c r="C463" s="4">
        <v>-0.19459999999999411</v>
      </c>
    </row>
    <row r="464" spans="1:3" x14ac:dyDescent="0.45">
      <c r="A464" s="2">
        <v>38443</v>
      </c>
      <c r="B464" s="3">
        <v>80.542100000000005</v>
      </c>
      <c r="C464" s="4">
        <v>7.8299999999998704E-2</v>
      </c>
    </row>
    <row r="465" spans="1:3" x14ac:dyDescent="0.45">
      <c r="A465" s="2">
        <v>38473</v>
      </c>
      <c r="B465" s="3">
        <v>80.509399999999999</v>
      </c>
      <c r="C465" s="4">
        <v>-3.2700000000005502E-2</v>
      </c>
    </row>
    <row r="466" spans="1:3" x14ac:dyDescent="0.45">
      <c r="A466" s="2">
        <v>38504</v>
      </c>
      <c r="B466" s="3">
        <v>80.756699999999995</v>
      </c>
      <c r="C466" s="4">
        <v>0.24729999999999563</v>
      </c>
    </row>
    <row r="467" spans="1:3" x14ac:dyDescent="0.45">
      <c r="A467" s="2">
        <v>38534</v>
      </c>
      <c r="B467" s="3">
        <v>80.380200000000002</v>
      </c>
      <c r="C467" s="4">
        <v>-0.37649999999999295</v>
      </c>
    </row>
    <row r="468" spans="1:3" x14ac:dyDescent="0.45">
      <c r="A468" s="2">
        <v>38565</v>
      </c>
      <c r="B468" s="3">
        <v>80.517200000000003</v>
      </c>
      <c r="C468" s="4">
        <v>0.13700000000000045</v>
      </c>
    </row>
    <row r="469" spans="1:3" x14ac:dyDescent="0.45">
      <c r="A469" s="2">
        <v>38596</v>
      </c>
      <c r="B469" s="3">
        <v>78.831900000000005</v>
      </c>
      <c r="C469" s="4">
        <v>-1.685299999999998</v>
      </c>
    </row>
    <row r="470" spans="1:3" x14ac:dyDescent="0.45">
      <c r="A470" s="2">
        <v>38626</v>
      </c>
      <c r="B470" s="3">
        <v>79.660700000000006</v>
      </c>
      <c r="C470" s="4">
        <v>0.82880000000000109</v>
      </c>
    </row>
    <row r="471" spans="1:3" x14ac:dyDescent="0.45">
      <c r="A471" s="2">
        <v>38657</v>
      </c>
      <c r="B471" s="3">
        <v>80.426000000000002</v>
      </c>
      <c r="C471" s="4">
        <v>0.76529999999999632</v>
      </c>
    </row>
    <row r="472" spans="1:3" x14ac:dyDescent="0.45">
      <c r="A472" s="2">
        <v>38687</v>
      </c>
      <c r="B472" s="3">
        <v>80.710899999999995</v>
      </c>
      <c r="C472" s="4">
        <v>0.28489999999999327</v>
      </c>
    </row>
    <row r="473" spans="1:3" x14ac:dyDescent="0.45">
      <c r="A473" s="2">
        <v>38718</v>
      </c>
      <c r="B473" s="3">
        <v>80.707800000000006</v>
      </c>
      <c r="C473" s="4">
        <v>-3.0999999999892225E-3</v>
      </c>
    </row>
    <row r="474" spans="1:3" x14ac:dyDescent="0.45">
      <c r="A474" s="2">
        <v>38749</v>
      </c>
      <c r="B474" s="3">
        <v>80.611099999999993</v>
      </c>
      <c r="C474" s="4">
        <v>-9.6700000000012665E-2</v>
      </c>
    </row>
    <row r="475" spans="1:3" x14ac:dyDescent="0.45">
      <c r="A475" s="2">
        <v>38777</v>
      </c>
      <c r="B475" s="3">
        <v>80.660899999999998</v>
      </c>
      <c r="C475" s="4">
        <v>4.9800000000004729E-2</v>
      </c>
    </row>
    <row r="476" spans="1:3" x14ac:dyDescent="0.45">
      <c r="A476" s="2">
        <v>38808</v>
      </c>
      <c r="B476" s="3">
        <v>80.771299999999997</v>
      </c>
      <c r="C476" s="4">
        <v>0.1103999999999985</v>
      </c>
    </row>
    <row r="477" spans="1:3" x14ac:dyDescent="0.45">
      <c r="A477" s="2">
        <v>38838</v>
      </c>
      <c r="B477" s="3">
        <v>80.652100000000004</v>
      </c>
      <c r="C477" s="4">
        <v>-0.1191999999999922</v>
      </c>
    </row>
    <row r="478" spans="1:3" x14ac:dyDescent="0.45">
      <c r="A478" s="2">
        <v>38869</v>
      </c>
      <c r="B478" s="3">
        <v>80.760099999999994</v>
      </c>
      <c r="C478" s="4">
        <v>0.10799999999998988</v>
      </c>
    </row>
    <row r="479" spans="1:3" x14ac:dyDescent="0.45">
      <c r="A479" s="2">
        <v>38899</v>
      </c>
      <c r="B479" s="3">
        <v>80.564300000000003</v>
      </c>
      <c r="C479" s="4">
        <v>-0.19579999999999131</v>
      </c>
    </row>
    <row r="480" spans="1:3" x14ac:dyDescent="0.45">
      <c r="A480" s="2">
        <v>38930</v>
      </c>
      <c r="B480" s="3">
        <v>80.754000000000005</v>
      </c>
      <c r="C480" s="4">
        <v>0.18970000000000198</v>
      </c>
    </row>
    <row r="481" spans="1:3" x14ac:dyDescent="0.45">
      <c r="A481" s="2">
        <v>38961</v>
      </c>
      <c r="B481" s="3">
        <v>80.449200000000005</v>
      </c>
      <c r="C481" s="4">
        <v>-0.30480000000000018</v>
      </c>
    </row>
    <row r="482" spans="1:3" x14ac:dyDescent="0.45">
      <c r="A482" s="2">
        <v>38991</v>
      </c>
      <c r="B482" s="3">
        <v>80.180400000000006</v>
      </c>
      <c r="C482" s="4">
        <v>-0.26879999999999882</v>
      </c>
    </row>
    <row r="483" spans="1:3" x14ac:dyDescent="0.45">
      <c r="A483" s="2">
        <v>39022</v>
      </c>
      <c r="B483" s="3">
        <v>79.966300000000004</v>
      </c>
      <c r="C483" s="4">
        <v>-0.21410000000000196</v>
      </c>
    </row>
    <row r="484" spans="1:3" x14ac:dyDescent="0.45">
      <c r="A484" s="2">
        <v>39052</v>
      </c>
      <c r="B484" s="3">
        <v>80.598500000000001</v>
      </c>
      <c r="C484" s="4">
        <v>0.63219999999999743</v>
      </c>
    </row>
    <row r="485" spans="1:3" x14ac:dyDescent="0.45">
      <c r="A485" s="2">
        <v>39083</v>
      </c>
      <c r="B485" s="3">
        <v>80.145200000000003</v>
      </c>
      <c r="C485" s="4">
        <v>-0.4532999999999987</v>
      </c>
    </row>
    <row r="486" spans="1:3" x14ac:dyDescent="0.45">
      <c r="A486" s="2">
        <v>39114</v>
      </c>
      <c r="B486" s="3">
        <v>80.721800000000002</v>
      </c>
      <c r="C486" s="4">
        <v>0.57659999999999911</v>
      </c>
    </row>
    <row r="487" spans="1:3" x14ac:dyDescent="0.45">
      <c r="A487" s="2">
        <v>39142</v>
      </c>
      <c r="B487" s="3">
        <v>80.693200000000004</v>
      </c>
      <c r="C487" s="4">
        <v>-2.8599999999997294E-2</v>
      </c>
    </row>
    <row r="488" spans="1:3" x14ac:dyDescent="0.45">
      <c r="A488" s="2">
        <v>39173</v>
      </c>
      <c r="B488" s="3">
        <v>81.073700000000002</v>
      </c>
      <c r="C488" s="4">
        <v>0.38049999999999784</v>
      </c>
    </row>
    <row r="489" spans="1:3" x14ac:dyDescent="0.45">
      <c r="A489" s="2">
        <v>39203</v>
      </c>
      <c r="B489" s="3">
        <v>81.004400000000004</v>
      </c>
      <c r="C489" s="4">
        <v>-6.9299999999998363E-2</v>
      </c>
    </row>
    <row r="490" spans="1:3" x14ac:dyDescent="0.45">
      <c r="A490" s="2">
        <v>39234</v>
      </c>
      <c r="B490" s="3">
        <v>80.9238</v>
      </c>
      <c r="C490" s="4">
        <v>-8.0600000000004002E-2</v>
      </c>
    </row>
    <row r="491" spans="1:3" x14ac:dyDescent="0.45">
      <c r="A491" s="2">
        <v>39264</v>
      </c>
      <c r="B491" s="3">
        <v>80.725499999999997</v>
      </c>
      <c r="C491" s="4">
        <v>-0.19830000000000325</v>
      </c>
    </row>
    <row r="492" spans="1:3" x14ac:dyDescent="0.45">
      <c r="A492" s="2">
        <v>39295</v>
      </c>
      <c r="B492" s="3">
        <v>80.808199999999999</v>
      </c>
      <c r="C492" s="4">
        <v>8.270000000000266E-2</v>
      </c>
    </row>
    <row r="493" spans="1:3" x14ac:dyDescent="0.45">
      <c r="A493" s="2">
        <v>39326</v>
      </c>
      <c r="B493" s="3">
        <v>80.938699999999997</v>
      </c>
      <c r="C493" s="4">
        <v>0.13049999999999784</v>
      </c>
    </row>
    <row r="494" spans="1:3" x14ac:dyDescent="0.45">
      <c r="A494" s="2">
        <v>39356</v>
      </c>
      <c r="B494" s="3">
        <v>80.683700000000002</v>
      </c>
      <c r="C494" s="4">
        <v>-0.25499999999999545</v>
      </c>
    </row>
    <row r="495" spans="1:3" x14ac:dyDescent="0.45">
      <c r="A495" s="2">
        <v>39387</v>
      </c>
      <c r="B495" s="3">
        <v>81.106499999999997</v>
      </c>
      <c r="C495" s="4">
        <v>0.42279999999999518</v>
      </c>
    </row>
    <row r="496" spans="1:3" x14ac:dyDescent="0.45">
      <c r="A496" s="2">
        <v>39417</v>
      </c>
      <c r="B496" s="3">
        <v>81.142499999999998</v>
      </c>
      <c r="C496" s="4">
        <v>3.6000000000001364E-2</v>
      </c>
    </row>
    <row r="497" spans="1:3" x14ac:dyDescent="0.45">
      <c r="A497" s="2">
        <v>39448</v>
      </c>
      <c r="B497" s="3">
        <v>81.054900000000004</v>
      </c>
      <c r="C497" s="4">
        <v>-8.7599999999994793E-2</v>
      </c>
    </row>
    <row r="498" spans="1:3" x14ac:dyDescent="0.45">
      <c r="A498" s="2">
        <v>39479</v>
      </c>
      <c r="B498" s="3">
        <v>80.760199999999998</v>
      </c>
      <c r="C498" s="4">
        <v>-0.29470000000000596</v>
      </c>
    </row>
    <row r="499" spans="1:3" x14ac:dyDescent="0.45">
      <c r="A499" s="2">
        <v>39508</v>
      </c>
      <c r="B499" s="3">
        <v>80.5381</v>
      </c>
      <c r="C499" s="4">
        <v>-0.22209999999999752</v>
      </c>
    </row>
    <row r="500" spans="1:3" x14ac:dyDescent="0.45">
      <c r="A500" s="2">
        <v>39539</v>
      </c>
      <c r="B500" s="3">
        <v>80.037599999999998</v>
      </c>
      <c r="C500" s="4">
        <v>-0.50050000000000239</v>
      </c>
    </row>
    <row r="501" spans="1:3" x14ac:dyDescent="0.45">
      <c r="A501" s="2">
        <v>39569</v>
      </c>
      <c r="B501" s="3">
        <v>79.557900000000004</v>
      </c>
      <c r="C501" s="4">
        <v>-0.47969999999999402</v>
      </c>
    </row>
    <row r="502" spans="1:3" x14ac:dyDescent="0.45">
      <c r="A502" s="2">
        <v>39600</v>
      </c>
      <c r="B502" s="3">
        <v>79.357100000000003</v>
      </c>
      <c r="C502" s="4">
        <v>-0.20080000000000098</v>
      </c>
    </row>
    <row r="503" spans="1:3" x14ac:dyDescent="0.45">
      <c r="A503" s="2">
        <v>39630</v>
      </c>
      <c r="B503" s="3">
        <v>79.032499999999999</v>
      </c>
      <c r="C503" s="4">
        <v>-0.32460000000000377</v>
      </c>
    </row>
    <row r="504" spans="1:3" x14ac:dyDescent="0.45">
      <c r="A504" s="2">
        <v>39661</v>
      </c>
      <c r="B504" s="3">
        <v>77.725099999999998</v>
      </c>
      <c r="C504" s="4">
        <v>-1.3074000000000012</v>
      </c>
    </row>
    <row r="505" spans="1:3" x14ac:dyDescent="0.45">
      <c r="A505" s="2">
        <v>39692</v>
      </c>
      <c r="B505" s="3">
        <v>74.221599999999995</v>
      </c>
      <c r="C505" s="4">
        <v>-3.5035000000000025</v>
      </c>
    </row>
    <row r="506" spans="1:3" x14ac:dyDescent="0.45">
      <c r="A506" s="2">
        <v>39722</v>
      </c>
      <c r="B506" s="3">
        <v>74.866900000000001</v>
      </c>
      <c r="C506" s="4">
        <v>0.64530000000000598</v>
      </c>
    </row>
    <row r="507" spans="1:3" x14ac:dyDescent="0.45">
      <c r="A507" s="2">
        <v>39753</v>
      </c>
      <c r="B507" s="3">
        <v>73.781999999999996</v>
      </c>
      <c r="C507" s="4">
        <v>-1.0849000000000046</v>
      </c>
    </row>
    <row r="508" spans="1:3" x14ac:dyDescent="0.45">
      <c r="A508" s="2">
        <v>39783</v>
      </c>
      <c r="B508" s="3">
        <v>71.606999999999999</v>
      </c>
      <c r="C508" s="4">
        <v>-2.1749999999999972</v>
      </c>
    </row>
    <row r="509" spans="1:3" x14ac:dyDescent="0.45">
      <c r="A509" s="2">
        <v>39814</v>
      </c>
      <c r="B509" s="3">
        <v>69.730400000000003</v>
      </c>
      <c r="C509" s="4">
        <v>-1.8765999999999963</v>
      </c>
    </row>
    <row r="510" spans="1:3" x14ac:dyDescent="0.45">
      <c r="A510" s="2">
        <v>39845</v>
      </c>
      <c r="B510" s="3">
        <v>69.232600000000005</v>
      </c>
      <c r="C510" s="4">
        <v>-0.49779999999999802</v>
      </c>
    </row>
    <row r="511" spans="1:3" x14ac:dyDescent="0.45">
      <c r="A511" s="2">
        <v>39873</v>
      </c>
      <c r="B511" s="3">
        <v>68.088899999999995</v>
      </c>
      <c r="C511" s="4">
        <v>-1.1437000000000097</v>
      </c>
    </row>
    <row r="512" spans="1:3" x14ac:dyDescent="0.45">
      <c r="A512" s="2">
        <v>39904</v>
      </c>
      <c r="B512" s="3">
        <v>67.476200000000006</v>
      </c>
      <c r="C512" s="4">
        <v>-0.61269999999998959</v>
      </c>
    </row>
    <row r="513" spans="1:3" x14ac:dyDescent="0.45">
      <c r="A513" s="2">
        <v>39934</v>
      </c>
      <c r="B513" s="3">
        <v>66.767600000000002</v>
      </c>
      <c r="C513" s="4">
        <v>-0.70860000000000412</v>
      </c>
    </row>
    <row r="514" spans="1:3" x14ac:dyDescent="0.45">
      <c r="A514" s="2">
        <v>39965</v>
      </c>
      <c r="B514" s="3">
        <v>66.513800000000003</v>
      </c>
      <c r="C514" s="4">
        <v>-0.25379999999999825</v>
      </c>
    </row>
    <row r="515" spans="1:3" x14ac:dyDescent="0.45">
      <c r="A515" s="2">
        <v>39995</v>
      </c>
      <c r="B515" s="3">
        <v>67.290000000000006</v>
      </c>
      <c r="C515" s="4">
        <v>0.77620000000000289</v>
      </c>
    </row>
    <row r="516" spans="1:3" x14ac:dyDescent="0.45">
      <c r="A516" s="2">
        <v>40026</v>
      </c>
      <c r="B516" s="3">
        <v>68.079499999999996</v>
      </c>
      <c r="C516" s="4">
        <v>0.78949999999998965</v>
      </c>
    </row>
    <row r="517" spans="1:3" x14ac:dyDescent="0.45">
      <c r="A517" s="2">
        <v>40057</v>
      </c>
      <c r="B517" s="3">
        <v>68.754900000000006</v>
      </c>
      <c r="C517" s="4">
        <v>0.67540000000001044</v>
      </c>
    </row>
    <row r="518" spans="1:3" x14ac:dyDescent="0.45">
      <c r="A518" s="2">
        <v>40087</v>
      </c>
      <c r="B518" s="3">
        <v>69.035700000000006</v>
      </c>
      <c r="C518" s="4">
        <v>0.28079999999999927</v>
      </c>
    </row>
    <row r="519" spans="1:3" x14ac:dyDescent="0.45">
      <c r="A519" s="2">
        <v>40118</v>
      </c>
      <c r="B519" s="3">
        <v>69.447000000000003</v>
      </c>
      <c r="C519" s="4">
        <v>0.41129999999999711</v>
      </c>
    </row>
    <row r="520" spans="1:3" x14ac:dyDescent="0.45">
      <c r="A520" s="2">
        <v>40148</v>
      </c>
      <c r="B520" s="3">
        <v>69.854100000000003</v>
      </c>
      <c r="C520" s="4">
        <v>0.4070999999999998</v>
      </c>
    </row>
    <row r="521" spans="1:3" x14ac:dyDescent="0.45">
      <c r="A521" s="2">
        <v>40179</v>
      </c>
      <c r="B521" s="3">
        <v>70.753200000000007</v>
      </c>
      <c r="C521" s="4">
        <v>0.89910000000000423</v>
      </c>
    </row>
    <row r="522" spans="1:3" x14ac:dyDescent="0.45">
      <c r="A522" s="2">
        <v>40210</v>
      </c>
      <c r="B522" s="3">
        <v>71.161199999999994</v>
      </c>
      <c r="C522" s="4">
        <v>0.40799999999998704</v>
      </c>
    </row>
    <row r="523" spans="1:3" x14ac:dyDescent="0.45">
      <c r="A523" s="2">
        <v>40238</v>
      </c>
      <c r="B523" s="3">
        <v>71.796400000000006</v>
      </c>
      <c r="C523" s="4">
        <v>0.63520000000001176</v>
      </c>
    </row>
    <row r="524" spans="1:3" x14ac:dyDescent="0.45">
      <c r="A524" s="2">
        <v>40269</v>
      </c>
      <c r="B524" s="3">
        <v>72.1905</v>
      </c>
      <c r="C524" s="4">
        <v>0.39409999999999457</v>
      </c>
    </row>
    <row r="525" spans="1:3" x14ac:dyDescent="0.45">
      <c r="A525" s="2">
        <v>40299</v>
      </c>
      <c r="B525" s="3">
        <v>73.314599999999999</v>
      </c>
      <c r="C525" s="4">
        <v>1.1240999999999985</v>
      </c>
    </row>
    <row r="526" spans="1:3" x14ac:dyDescent="0.45">
      <c r="A526" s="2">
        <v>40330</v>
      </c>
      <c r="B526" s="3">
        <v>73.591800000000006</v>
      </c>
      <c r="C526" s="4">
        <v>0.27720000000000766</v>
      </c>
    </row>
    <row r="527" spans="1:3" x14ac:dyDescent="0.45">
      <c r="A527" s="2">
        <v>40360</v>
      </c>
      <c r="B527" s="3">
        <v>74.000900000000001</v>
      </c>
      <c r="C527" s="4">
        <v>0.40909999999999513</v>
      </c>
    </row>
    <row r="528" spans="1:3" x14ac:dyDescent="0.45">
      <c r="A528" s="2">
        <v>40391</v>
      </c>
      <c r="B528" s="3">
        <v>74.388300000000001</v>
      </c>
      <c r="C528" s="4">
        <v>0.38739999999999952</v>
      </c>
    </row>
    <row r="529" spans="1:3" x14ac:dyDescent="0.45">
      <c r="A529" s="2">
        <v>40422</v>
      </c>
      <c r="B529" s="3">
        <v>74.707599999999999</v>
      </c>
      <c r="C529" s="4">
        <v>0.31929999999999836</v>
      </c>
    </row>
    <row r="530" spans="1:3" x14ac:dyDescent="0.45">
      <c r="A530" s="2">
        <v>40452</v>
      </c>
      <c r="B530" s="3">
        <v>74.58</v>
      </c>
      <c r="C530" s="4">
        <v>-0.12760000000000105</v>
      </c>
    </row>
    <row r="531" spans="1:3" x14ac:dyDescent="0.45">
      <c r="A531" s="2">
        <v>40483</v>
      </c>
      <c r="B531" s="3">
        <v>74.713099999999997</v>
      </c>
      <c r="C531" s="4">
        <v>0.13309999999999889</v>
      </c>
    </row>
    <row r="532" spans="1:3" x14ac:dyDescent="0.45">
      <c r="A532" s="2">
        <v>40513</v>
      </c>
      <c r="B532" s="3">
        <v>75.496799999999993</v>
      </c>
      <c r="C532" s="4">
        <v>0.78369999999999607</v>
      </c>
    </row>
    <row r="533" spans="1:3" x14ac:dyDescent="0.45">
      <c r="A533" s="2">
        <v>40544</v>
      </c>
      <c r="B533" s="3">
        <v>75.374099999999999</v>
      </c>
      <c r="C533" s="4">
        <v>-0.1226999999999947</v>
      </c>
    </row>
    <row r="534" spans="1:3" x14ac:dyDescent="0.45">
      <c r="A534" s="2">
        <v>40575</v>
      </c>
      <c r="B534" s="3">
        <v>75.092799999999997</v>
      </c>
      <c r="C534" s="4">
        <v>-0.28130000000000166</v>
      </c>
    </row>
    <row r="535" spans="1:3" x14ac:dyDescent="0.45">
      <c r="A535" s="2">
        <v>40603</v>
      </c>
      <c r="B535" s="3">
        <v>75.874700000000004</v>
      </c>
      <c r="C535" s="4">
        <v>0.78190000000000737</v>
      </c>
    </row>
    <row r="536" spans="1:3" x14ac:dyDescent="0.45">
      <c r="A536" s="2">
        <v>40634</v>
      </c>
      <c r="B536" s="3">
        <v>75.612700000000004</v>
      </c>
      <c r="C536" s="4">
        <v>-0.26200000000000045</v>
      </c>
    </row>
    <row r="537" spans="1:3" x14ac:dyDescent="0.45">
      <c r="A537" s="2">
        <v>40664</v>
      </c>
      <c r="B537" s="3">
        <v>75.668400000000005</v>
      </c>
      <c r="C537" s="4">
        <v>5.5700000000001637E-2</v>
      </c>
    </row>
    <row r="538" spans="1:3" x14ac:dyDescent="0.45">
      <c r="A538" s="2">
        <v>40695</v>
      </c>
      <c r="B538" s="3">
        <v>75.842500000000001</v>
      </c>
      <c r="C538" s="4">
        <v>0.1740999999999957</v>
      </c>
    </row>
    <row r="539" spans="1:3" x14ac:dyDescent="0.45">
      <c r="A539" s="2">
        <v>40725</v>
      </c>
      <c r="B539" s="3">
        <v>76.143100000000004</v>
      </c>
      <c r="C539" s="4">
        <v>0.30060000000000286</v>
      </c>
    </row>
    <row r="540" spans="1:3" x14ac:dyDescent="0.45">
      <c r="A540" s="2">
        <v>40756</v>
      </c>
      <c r="B540" s="3">
        <v>76.566699999999997</v>
      </c>
      <c r="C540" s="4">
        <v>0.42359999999999332</v>
      </c>
    </row>
    <row r="541" spans="1:3" x14ac:dyDescent="0.45">
      <c r="A541" s="2">
        <v>40787</v>
      </c>
      <c r="B541" s="3">
        <v>76.399199999999993</v>
      </c>
      <c r="C541" s="4">
        <v>-0.16750000000000398</v>
      </c>
    </row>
    <row r="542" spans="1:3" x14ac:dyDescent="0.45">
      <c r="A542" s="2">
        <v>40817</v>
      </c>
      <c r="B542" s="3">
        <v>76.812299999999993</v>
      </c>
      <c r="C542" s="4">
        <v>0.41310000000000002</v>
      </c>
    </row>
    <row r="543" spans="1:3" x14ac:dyDescent="0.45">
      <c r="A543" s="2">
        <v>40848</v>
      </c>
      <c r="B543" s="3">
        <v>76.678299999999993</v>
      </c>
      <c r="C543" s="4">
        <v>-0.13400000000000034</v>
      </c>
    </row>
    <row r="544" spans="1:3" x14ac:dyDescent="0.45">
      <c r="A544" s="2">
        <v>40878</v>
      </c>
      <c r="B544" s="3">
        <v>76.9495</v>
      </c>
      <c r="C544" s="4">
        <v>0.27120000000000744</v>
      </c>
    </row>
    <row r="545" spans="1:3" x14ac:dyDescent="0.45">
      <c r="A545" s="2">
        <v>40909</v>
      </c>
      <c r="B545" s="3">
        <v>77.265199999999993</v>
      </c>
      <c r="C545" s="4">
        <v>0.31569999999999254</v>
      </c>
    </row>
    <row r="546" spans="1:3" x14ac:dyDescent="0.45">
      <c r="A546" s="2">
        <v>40940</v>
      </c>
      <c r="B546" s="3">
        <v>77.3673</v>
      </c>
      <c r="C546" s="4">
        <v>0.10210000000000719</v>
      </c>
    </row>
    <row r="547" spans="1:3" x14ac:dyDescent="0.45">
      <c r="A547" s="2">
        <v>40969</v>
      </c>
      <c r="B547" s="3">
        <v>76.819400000000002</v>
      </c>
      <c r="C547" s="4">
        <v>-0.5478999999999985</v>
      </c>
    </row>
    <row r="548" spans="1:3" x14ac:dyDescent="0.45">
      <c r="A548" s="2">
        <v>41000</v>
      </c>
      <c r="B548" s="3">
        <v>77.223399999999998</v>
      </c>
      <c r="C548" s="4">
        <v>0.40399999999999636</v>
      </c>
    </row>
    <row r="549" spans="1:3" x14ac:dyDescent="0.45">
      <c r="A549" s="2">
        <v>41030</v>
      </c>
      <c r="B549" s="3">
        <v>77.254599999999996</v>
      </c>
      <c r="C549" s="4">
        <v>3.119999999999834E-2</v>
      </c>
    </row>
    <row r="550" spans="1:3" x14ac:dyDescent="0.45">
      <c r="A550" s="2">
        <v>41061</v>
      </c>
      <c r="B550" s="3">
        <v>77.114900000000006</v>
      </c>
      <c r="C550" s="4">
        <v>-0.13969999999999061</v>
      </c>
    </row>
    <row r="551" spans="1:3" x14ac:dyDescent="0.45">
      <c r="A551" s="2">
        <v>41091</v>
      </c>
      <c r="B551" s="3">
        <v>77.137200000000007</v>
      </c>
      <c r="C551" s="4">
        <v>2.2300000000001319E-2</v>
      </c>
    </row>
    <row r="552" spans="1:3" x14ac:dyDescent="0.45">
      <c r="A552" s="2">
        <v>41122</v>
      </c>
      <c r="B552" s="3">
        <v>76.671999999999997</v>
      </c>
      <c r="C552" s="4">
        <v>-0.46520000000001005</v>
      </c>
    </row>
    <row r="553" spans="1:3" x14ac:dyDescent="0.45">
      <c r="A553" s="2">
        <v>41153</v>
      </c>
      <c r="B553" s="3">
        <v>76.4846</v>
      </c>
      <c r="C553" s="4">
        <v>-0.18739999999999668</v>
      </c>
    </row>
    <row r="554" spans="1:3" x14ac:dyDescent="0.45">
      <c r="A554" s="2">
        <v>41183</v>
      </c>
      <c r="B554" s="3">
        <v>76.622699999999995</v>
      </c>
      <c r="C554" s="4">
        <v>0.13809999999999434</v>
      </c>
    </row>
    <row r="555" spans="1:3" x14ac:dyDescent="0.45">
      <c r="A555" s="2">
        <v>41214</v>
      </c>
      <c r="B555" s="3">
        <v>76.78</v>
      </c>
      <c r="C555" s="4">
        <v>0.15730000000000643</v>
      </c>
    </row>
    <row r="556" spans="1:3" x14ac:dyDescent="0.45">
      <c r="A556" s="2">
        <v>41244</v>
      </c>
      <c r="B556" s="3">
        <v>76.843500000000006</v>
      </c>
      <c r="C556" s="4">
        <v>6.3500000000004775E-2</v>
      </c>
    </row>
    <row r="557" spans="1:3" x14ac:dyDescent="0.45">
      <c r="A557" s="2">
        <v>41275</v>
      </c>
      <c r="B557" s="3">
        <v>76.750200000000007</v>
      </c>
      <c r="C557" s="4">
        <v>-9.3299999999999272E-2</v>
      </c>
    </row>
    <row r="558" spans="1:3" x14ac:dyDescent="0.45">
      <c r="A558" s="2">
        <v>41306</v>
      </c>
      <c r="B558" s="3">
        <v>77.002899999999997</v>
      </c>
      <c r="C558" s="4">
        <v>0.25269999999999015</v>
      </c>
    </row>
    <row r="559" spans="1:3" x14ac:dyDescent="0.45">
      <c r="A559" s="2">
        <v>41334</v>
      </c>
      <c r="B559" s="3">
        <v>77.213499999999996</v>
      </c>
      <c r="C559" s="4">
        <v>0.21059999999999945</v>
      </c>
    </row>
    <row r="560" spans="1:3" x14ac:dyDescent="0.45">
      <c r="A560" s="2">
        <v>41365</v>
      </c>
      <c r="B560" s="3">
        <v>77.055300000000003</v>
      </c>
      <c r="C560" s="4">
        <v>-0.15819999999999368</v>
      </c>
    </row>
    <row r="561" spans="1:3" x14ac:dyDescent="0.45">
      <c r="A561" s="2">
        <v>41395</v>
      </c>
      <c r="B561" s="3">
        <v>77.030699999999996</v>
      </c>
      <c r="C561" s="4">
        <v>-2.4600000000006617E-2</v>
      </c>
    </row>
    <row r="562" spans="1:3" x14ac:dyDescent="0.45">
      <c r="A562" s="2">
        <v>41426</v>
      </c>
      <c r="B562" s="3">
        <v>77.111900000000006</v>
      </c>
      <c r="C562" s="4">
        <v>8.1200000000009709E-2</v>
      </c>
    </row>
    <row r="563" spans="1:3" x14ac:dyDescent="0.45">
      <c r="A563" s="2">
        <v>41456</v>
      </c>
      <c r="B563" s="3">
        <v>76.800799999999995</v>
      </c>
      <c r="C563" s="4">
        <v>-0.31110000000001037</v>
      </c>
    </row>
    <row r="564" spans="1:3" x14ac:dyDescent="0.45">
      <c r="A564" s="2">
        <v>41487</v>
      </c>
      <c r="B564" s="3">
        <v>77.177199999999999</v>
      </c>
      <c r="C564" s="4">
        <v>0.37640000000000384</v>
      </c>
    </row>
    <row r="565" spans="1:3" x14ac:dyDescent="0.45">
      <c r="A565" s="2">
        <v>41518</v>
      </c>
      <c r="B565" s="3">
        <v>77.504599999999996</v>
      </c>
      <c r="C565" s="4">
        <v>0.32739999999999725</v>
      </c>
    </row>
    <row r="566" spans="1:3" x14ac:dyDescent="0.45">
      <c r="A566" s="2">
        <v>41548</v>
      </c>
      <c r="B566" s="3">
        <v>77.380200000000002</v>
      </c>
      <c r="C566" s="4">
        <v>-0.12439999999999429</v>
      </c>
    </row>
    <row r="567" spans="1:3" x14ac:dyDescent="0.45">
      <c r="A567" s="2">
        <v>41579</v>
      </c>
      <c r="B567" s="3">
        <v>77.498800000000003</v>
      </c>
      <c r="C567" s="4">
        <v>0.1186000000000007</v>
      </c>
    </row>
    <row r="568" spans="1:3" x14ac:dyDescent="0.45">
      <c r="A568" s="2">
        <v>41609</v>
      </c>
      <c r="B568" s="3">
        <v>77.592699999999994</v>
      </c>
      <c r="C568" s="4">
        <v>9.3899999999990769E-2</v>
      </c>
    </row>
    <row r="569" spans="1:3" x14ac:dyDescent="0.45">
      <c r="A569" s="2">
        <v>41640</v>
      </c>
      <c r="B569" s="3">
        <v>77.254000000000005</v>
      </c>
      <c r="C569" s="4">
        <v>-0.33869999999998868</v>
      </c>
    </row>
    <row r="570" spans="1:3" x14ac:dyDescent="0.45">
      <c r="A570" s="2">
        <v>41671</v>
      </c>
      <c r="B570" s="3">
        <v>77.774699999999996</v>
      </c>
      <c r="C570" s="4">
        <v>0.52069999999999084</v>
      </c>
    </row>
    <row r="571" spans="1:3" x14ac:dyDescent="0.45">
      <c r="A571" s="2">
        <v>41699</v>
      </c>
      <c r="B571" s="3">
        <v>78.462800000000001</v>
      </c>
      <c r="C571" s="4">
        <v>0.68810000000000571</v>
      </c>
    </row>
    <row r="572" spans="1:3" x14ac:dyDescent="0.45">
      <c r="A572" s="2">
        <v>41730</v>
      </c>
      <c r="B572" s="3">
        <v>78.470500000000001</v>
      </c>
      <c r="C572" s="4">
        <v>7.6999999999998181E-3</v>
      </c>
    </row>
    <row r="573" spans="1:3" x14ac:dyDescent="0.45">
      <c r="A573" s="2">
        <v>41760</v>
      </c>
      <c r="B573" s="3">
        <v>78.6999</v>
      </c>
      <c r="C573" s="4">
        <v>0.22939999999999827</v>
      </c>
    </row>
    <row r="574" spans="1:3" x14ac:dyDescent="0.45">
      <c r="A574" s="2">
        <v>41791</v>
      </c>
      <c r="B574" s="3">
        <v>78.895200000000003</v>
      </c>
      <c r="C574" s="4">
        <v>0.19530000000000314</v>
      </c>
    </row>
    <row r="575" spans="1:3" x14ac:dyDescent="0.45">
      <c r="A575" s="2">
        <v>41821</v>
      </c>
      <c r="B575" s="3">
        <v>78.993300000000005</v>
      </c>
      <c r="C575" s="4">
        <v>9.8100000000002296E-2</v>
      </c>
    </row>
    <row r="576" spans="1:3" x14ac:dyDescent="0.45">
      <c r="A576" s="2">
        <v>41852</v>
      </c>
      <c r="B576" s="3">
        <v>78.766900000000007</v>
      </c>
      <c r="C576" s="4">
        <v>-0.22639999999999816</v>
      </c>
    </row>
    <row r="577" spans="1:3" x14ac:dyDescent="0.45">
      <c r="A577" s="2">
        <v>41883</v>
      </c>
      <c r="B577" s="3">
        <v>78.921800000000005</v>
      </c>
      <c r="C577" s="4">
        <v>0.15489999999999782</v>
      </c>
    </row>
    <row r="578" spans="1:3" x14ac:dyDescent="0.45">
      <c r="A578" s="2">
        <v>41913</v>
      </c>
      <c r="B578" s="3">
        <v>78.866299999999995</v>
      </c>
      <c r="C578" s="4">
        <v>-5.5500000000009209E-2</v>
      </c>
    </row>
    <row r="579" spans="1:3" x14ac:dyDescent="0.45">
      <c r="A579" s="2">
        <v>41944</v>
      </c>
      <c r="B579" s="3">
        <v>79.296199999999999</v>
      </c>
      <c r="C579" s="4">
        <v>0.4299000000000035</v>
      </c>
    </row>
    <row r="580" spans="1:3" x14ac:dyDescent="0.45">
      <c r="A580" s="2">
        <v>41974</v>
      </c>
      <c r="B580" s="3">
        <v>79.241900000000001</v>
      </c>
      <c r="C580" s="4">
        <v>-5.4299999999997794E-2</v>
      </c>
    </row>
    <row r="581" spans="1:3" x14ac:dyDescent="0.45">
      <c r="A581" s="2">
        <v>42005</v>
      </c>
      <c r="B581" s="3">
        <v>78.580299999999994</v>
      </c>
      <c r="C581" s="4">
        <v>-0.66160000000000707</v>
      </c>
    </row>
    <row r="582" spans="1:3" x14ac:dyDescent="0.45">
      <c r="A582" s="2">
        <v>42036</v>
      </c>
      <c r="B582" s="3">
        <v>78.055000000000007</v>
      </c>
      <c r="C582" s="4">
        <v>-0.52529999999998722</v>
      </c>
    </row>
    <row r="583" spans="1:3" x14ac:dyDescent="0.45">
      <c r="A583" s="2">
        <v>42064</v>
      </c>
      <c r="B583" s="3">
        <v>77.7804</v>
      </c>
      <c r="C583" s="4">
        <v>-0.27460000000000662</v>
      </c>
    </row>
    <row r="584" spans="1:3" x14ac:dyDescent="0.45">
      <c r="A584" s="2">
        <v>42095</v>
      </c>
      <c r="B584" s="3">
        <v>77.348699999999994</v>
      </c>
      <c r="C584" s="4">
        <v>-0.43170000000000641</v>
      </c>
    </row>
    <row r="585" spans="1:3" x14ac:dyDescent="0.45">
      <c r="A585" s="2">
        <v>42125</v>
      </c>
      <c r="B585" s="3">
        <v>77.009200000000007</v>
      </c>
      <c r="C585" s="4">
        <v>-0.33949999999998681</v>
      </c>
    </row>
    <row r="586" spans="1:3" x14ac:dyDescent="0.45">
      <c r="A586" s="2">
        <v>42156</v>
      </c>
      <c r="B586" s="3">
        <v>76.7774</v>
      </c>
      <c r="C586" s="4">
        <v>-0.23180000000000689</v>
      </c>
    </row>
    <row r="587" spans="1:3" x14ac:dyDescent="0.45">
      <c r="A587" s="2">
        <v>42186</v>
      </c>
      <c r="B587" s="3">
        <v>77.292400000000001</v>
      </c>
      <c r="C587" s="4">
        <v>0.51500000000000057</v>
      </c>
    </row>
    <row r="588" spans="1:3" x14ac:dyDescent="0.45">
      <c r="A588" s="2">
        <v>42217</v>
      </c>
      <c r="B588" s="3">
        <v>77.171499999999995</v>
      </c>
      <c r="C588" s="4">
        <v>-0.120900000000006</v>
      </c>
    </row>
    <row r="589" spans="1:3" x14ac:dyDescent="0.45">
      <c r="A589" s="2">
        <v>42248</v>
      </c>
      <c r="B589" s="3">
        <v>76.979100000000003</v>
      </c>
      <c r="C589" s="4">
        <v>-0.19239999999999213</v>
      </c>
    </row>
    <row r="590" spans="1:3" x14ac:dyDescent="0.45">
      <c r="A590" s="2">
        <v>42278</v>
      </c>
      <c r="B590" s="3">
        <v>76.628200000000007</v>
      </c>
      <c r="C590" s="4">
        <v>-0.35089999999999577</v>
      </c>
    </row>
    <row r="591" spans="1:3" x14ac:dyDescent="0.45">
      <c r="A591" s="2">
        <v>42309</v>
      </c>
      <c r="B591" s="3">
        <v>76.081900000000005</v>
      </c>
      <c r="C591" s="4">
        <v>-0.54630000000000223</v>
      </c>
    </row>
    <row r="592" spans="1:3" x14ac:dyDescent="0.45">
      <c r="A592" s="2">
        <v>42339</v>
      </c>
      <c r="B592" s="3">
        <v>75.721400000000003</v>
      </c>
      <c r="C592" s="4">
        <v>-0.36050000000000182</v>
      </c>
    </row>
    <row r="593" spans="1:3" x14ac:dyDescent="0.45">
      <c r="A593" s="2">
        <v>42370</v>
      </c>
      <c r="B593" s="3">
        <v>76.124799999999993</v>
      </c>
      <c r="C593" s="4">
        <v>0.40339999999999065</v>
      </c>
    </row>
    <row r="594" spans="1:3" x14ac:dyDescent="0.45">
      <c r="A594" s="2">
        <v>42401</v>
      </c>
      <c r="B594" s="3">
        <v>75.729100000000003</v>
      </c>
      <c r="C594" s="4">
        <v>-0.39569999999999084</v>
      </c>
    </row>
    <row r="595" spans="1:3" x14ac:dyDescent="0.45">
      <c r="A595" s="2">
        <v>42430</v>
      </c>
      <c r="B595" s="3">
        <v>75.158699999999996</v>
      </c>
      <c r="C595" s="4">
        <v>-0.57040000000000646</v>
      </c>
    </row>
    <row r="596" spans="1:3" x14ac:dyDescent="0.45">
      <c r="A596" s="2">
        <v>42461</v>
      </c>
      <c r="B596" s="3">
        <v>75.396900000000002</v>
      </c>
      <c r="C596" s="4">
        <v>0.23820000000000618</v>
      </c>
    </row>
    <row r="597" spans="1:3" x14ac:dyDescent="0.45">
      <c r="A597" s="2">
        <v>42491</v>
      </c>
      <c r="B597" s="3">
        <v>75.203400000000002</v>
      </c>
      <c r="C597" s="4">
        <v>-0.19350000000000023</v>
      </c>
    </row>
    <row r="598" spans="1:3" x14ac:dyDescent="0.45">
      <c r="A598" s="2">
        <v>42522</v>
      </c>
      <c r="B598" s="3">
        <v>75.529799999999994</v>
      </c>
      <c r="C598" s="4">
        <v>0.32639999999999247</v>
      </c>
    </row>
    <row r="599" spans="1:3" x14ac:dyDescent="0.45">
      <c r="A599" s="2">
        <v>42552</v>
      </c>
      <c r="B599" s="3">
        <v>75.5839</v>
      </c>
      <c r="C599" s="4">
        <v>5.4100000000005366E-2</v>
      </c>
    </row>
    <row r="600" spans="1:3" x14ac:dyDescent="0.45">
      <c r="A600" s="2">
        <v>42583</v>
      </c>
      <c r="B600" s="3">
        <v>75.432000000000002</v>
      </c>
      <c r="C600" s="4">
        <v>-0.1518999999999977</v>
      </c>
    </row>
    <row r="601" spans="1:3" x14ac:dyDescent="0.45">
      <c r="A601" s="2">
        <v>42614</v>
      </c>
      <c r="B601" s="3">
        <v>75.314499999999995</v>
      </c>
      <c r="C601" s="4">
        <v>-0.11750000000000682</v>
      </c>
    </row>
    <row r="602" spans="1:3" x14ac:dyDescent="0.45">
      <c r="A602" s="2">
        <v>42644</v>
      </c>
      <c r="B602" s="3">
        <v>75.291799999999995</v>
      </c>
      <c r="C602" s="4">
        <v>-2.2700000000000387E-2</v>
      </c>
    </row>
    <row r="603" spans="1:3" x14ac:dyDescent="0.45">
      <c r="A603" s="2">
        <v>42675</v>
      </c>
      <c r="B603" s="3">
        <v>74.949799999999996</v>
      </c>
      <c r="C603" s="4">
        <v>-0.34199999999999875</v>
      </c>
    </row>
    <row r="604" spans="1:3" x14ac:dyDescent="0.45">
      <c r="A604" s="2">
        <v>42705</v>
      </c>
      <c r="B604" s="3">
        <v>75.442400000000006</v>
      </c>
      <c r="C604" s="4">
        <v>0.49260000000001014</v>
      </c>
    </row>
    <row r="605" spans="1:3" x14ac:dyDescent="0.45">
      <c r="A605" s="2">
        <v>42736</v>
      </c>
      <c r="B605" s="3">
        <v>75.233900000000006</v>
      </c>
      <c r="C605" s="4">
        <v>-0.2085000000000008</v>
      </c>
    </row>
    <row r="606" spans="1:3" x14ac:dyDescent="0.45">
      <c r="A606" s="2">
        <v>42767</v>
      </c>
      <c r="B606" s="3">
        <v>74.934600000000003</v>
      </c>
      <c r="C606" s="4">
        <v>-0.29930000000000234</v>
      </c>
    </row>
    <row r="607" spans="1:3" x14ac:dyDescent="0.45">
      <c r="A607" s="2">
        <v>42795</v>
      </c>
      <c r="B607" s="3">
        <v>75.443899999999999</v>
      </c>
      <c r="C607" s="4">
        <v>0.50929999999999609</v>
      </c>
    </row>
    <row r="608" spans="1:3" x14ac:dyDescent="0.45">
      <c r="A608" s="2">
        <v>42826</v>
      </c>
      <c r="B608" s="3">
        <v>76.239199999999997</v>
      </c>
      <c r="C608" s="4">
        <v>0.79529999999999745</v>
      </c>
    </row>
    <row r="609" spans="1:3" x14ac:dyDescent="0.45">
      <c r="A609" s="2">
        <v>42856</v>
      </c>
      <c r="B609" s="3">
        <v>76.367999999999995</v>
      </c>
      <c r="C609" s="4">
        <v>0.12879999999999825</v>
      </c>
    </row>
    <row r="610" spans="1:3" x14ac:dyDescent="0.45">
      <c r="A610" s="2">
        <v>42887</v>
      </c>
      <c r="B610" s="3">
        <v>76.575800000000001</v>
      </c>
      <c r="C610" s="4">
        <v>0.20780000000000598</v>
      </c>
    </row>
    <row r="611" spans="1:3" x14ac:dyDescent="0.45">
      <c r="A611" s="2">
        <v>42917</v>
      </c>
      <c r="B611" s="3">
        <v>76.453400000000002</v>
      </c>
      <c r="C611" s="4">
        <v>-0.12239999999999895</v>
      </c>
    </row>
    <row r="612" spans="1:3" x14ac:dyDescent="0.45">
      <c r="A612" s="2">
        <v>42948</v>
      </c>
      <c r="B612" s="3">
        <v>76.206699999999998</v>
      </c>
      <c r="C612" s="4">
        <v>-0.24670000000000414</v>
      </c>
    </row>
    <row r="613" spans="1:3" x14ac:dyDescent="0.45">
      <c r="A613" s="2">
        <v>42979</v>
      </c>
      <c r="B613" s="3">
        <v>76.359099999999998</v>
      </c>
      <c r="C613" s="4">
        <v>0.15240000000000009</v>
      </c>
    </row>
    <row r="614" spans="1:3" x14ac:dyDescent="0.45">
      <c r="A614" s="2">
        <v>43009</v>
      </c>
      <c r="B614" s="3">
        <v>77.375299999999996</v>
      </c>
      <c r="C614" s="4">
        <v>1.0161999999999978</v>
      </c>
    </row>
    <row r="615" spans="1:3" x14ac:dyDescent="0.45">
      <c r="A615" s="2">
        <v>43040</v>
      </c>
      <c r="B615" s="3">
        <v>77.633700000000005</v>
      </c>
      <c r="C615" s="4">
        <v>0.25840000000000884</v>
      </c>
    </row>
    <row r="616" spans="1:3" x14ac:dyDescent="0.45">
      <c r="A616" s="2">
        <v>43070</v>
      </c>
      <c r="B616" s="3">
        <v>77.853800000000007</v>
      </c>
      <c r="C616" s="4">
        <v>0.22010000000000218</v>
      </c>
    </row>
    <row r="617" spans="1:3" x14ac:dyDescent="0.45">
      <c r="A617" s="2">
        <v>43101</v>
      </c>
      <c r="B617" s="3">
        <v>77.913799999999995</v>
      </c>
      <c r="C617" s="4">
        <v>5.9999999999988063E-2</v>
      </c>
    </row>
    <row r="618" spans="1:3" x14ac:dyDescent="0.45">
      <c r="A618" s="2">
        <v>43132</v>
      </c>
      <c r="B618" s="3">
        <v>78.150800000000004</v>
      </c>
      <c r="C618" s="4">
        <v>0.23700000000000898</v>
      </c>
    </row>
    <row r="619" spans="1:3" x14ac:dyDescent="0.45">
      <c r="A619" s="2">
        <v>43160</v>
      </c>
      <c r="B619" s="3">
        <v>78.569699999999997</v>
      </c>
      <c r="C619" s="4">
        <v>0.41889999999999361</v>
      </c>
    </row>
    <row r="620" spans="1:3" x14ac:dyDescent="0.45">
      <c r="A620" s="2">
        <v>43191</v>
      </c>
      <c r="B620" s="3">
        <v>79.459699999999998</v>
      </c>
      <c r="C620" s="4">
        <v>0.89000000000000057</v>
      </c>
    </row>
    <row r="621" spans="1:3" x14ac:dyDescent="0.45">
      <c r="A621" s="2">
        <v>43221</v>
      </c>
      <c r="B621" s="3">
        <v>78.752600000000001</v>
      </c>
      <c r="C621" s="4">
        <v>-0.70709999999999695</v>
      </c>
    </row>
    <row r="622" spans="1:3" x14ac:dyDescent="0.45">
      <c r="A622" s="2">
        <v>43252</v>
      </c>
      <c r="B622" s="3">
        <v>79.355999999999995</v>
      </c>
      <c r="C622" s="4">
        <v>0.6033999999999935</v>
      </c>
    </row>
    <row r="623" spans="1:3" x14ac:dyDescent="0.45">
      <c r="A623" s="2">
        <v>43282</v>
      </c>
      <c r="B623" s="3">
        <v>79.458799999999997</v>
      </c>
      <c r="C623" s="4">
        <v>0.102800000000002</v>
      </c>
    </row>
    <row r="624" spans="1:3" x14ac:dyDescent="0.45">
      <c r="A624" s="2">
        <v>43313</v>
      </c>
      <c r="B624" s="3">
        <v>79.932199999999995</v>
      </c>
      <c r="C624" s="4">
        <v>0.47339999999999804</v>
      </c>
    </row>
    <row r="625" spans="1:3" x14ac:dyDescent="0.45">
      <c r="A625" s="2">
        <v>43344</v>
      </c>
      <c r="B625" s="3">
        <v>79.931399999999996</v>
      </c>
      <c r="C625" s="4">
        <v>-7.9999999999813554E-4</v>
      </c>
    </row>
    <row r="626" spans="1:3" x14ac:dyDescent="0.45">
      <c r="A626" s="2">
        <v>43374</v>
      </c>
      <c r="B626" s="3">
        <v>79.780199999999994</v>
      </c>
      <c r="C626" s="4">
        <v>-0.15120000000000289</v>
      </c>
    </row>
    <row r="627" spans="1:3" x14ac:dyDescent="0.45">
      <c r="A627" s="2">
        <v>43405</v>
      </c>
      <c r="B627" s="3">
        <v>79.772199999999998</v>
      </c>
      <c r="C627" s="4">
        <v>-7.9999999999955662E-3</v>
      </c>
    </row>
    <row r="628" spans="1:3" x14ac:dyDescent="0.45">
      <c r="A628" s="2">
        <v>43435</v>
      </c>
      <c r="B628" s="3">
        <v>79.714200000000005</v>
      </c>
      <c r="C628" s="4">
        <v>-5.7999999999992724E-2</v>
      </c>
    </row>
    <row r="629" spans="1:3" x14ac:dyDescent="0.45">
      <c r="A629" s="2">
        <v>43466</v>
      </c>
      <c r="B629" s="3">
        <v>79.102400000000003</v>
      </c>
      <c r="C629" s="4">
        <v>-0.61180000000000234</v>
      </c>
    </row>
    <row r="630" spans="1:3" x14ac:dyDescent="0.45">
      <c r="A630" s="2">
        <v>43497</v>
      </c>
      <c r="B630" s="3">
        <v>78.587699999999998</v>
      </c>
      <c r="C630" s="4">
        <v>-0.51470000000000482</v>
      </c>
    </row>
    <row r="631" spans="1:3" x14ac:dyDescent="0.45">
      <c r="A631" s="2">
        <v>43525</v>
      </c>
      <c r="B631" s="3">
        <v>78.533699999999996</v>
      </c>
      <c r="C631" s="4">
        <v>-5.4000000000002046E-2</v>
      </c>
    </row>
    <row r="632" spans="1:3" x14ac:dyDescent="0.45">
      <c r="A632" s="2">
        <v>43556</v>
      </c>
      <c r="B632" s="3">
        <v>77.989800000000002</v>
      </c>
      <c r="C632" s="4">
        <v>-0.54389999999999361</v>
      </c>
    </row>
    <row r="633" spans="1:3" x14ac:dyDescent="0.45">
      <c r="A633" s="2">
        <v>43586</v>
      </c>
      <c r="B633" s="3">
        <v>77.996200000000002</v>
      </c>
      <c r="C633" s="4">
        <v>6.3999999999992951E-3</v>
      </c>
    </row>
    <row r="634" spans="1:3" x14ac:dyDescent="0.45">
      <c r="A634" s="2">
        <v>43617</v>
      </c>
      <c r="B634" s="3">
        <v>77.949299999999994</v>
      </c>
      <c r="C634" s="4">
        <v>-4.6900000000007935E-2</v>
      </c>
    </row>
    <row r="635" spans="1:3" x14ac:dyDescent="0.45">
      <c r="A635" s="2">
        <v>43647</v>
      </c>
      <c r="B635" s="3">
        <v>77.493499999999997</v>
      </c>
      <c r="C635" s="4">
        <v>-0.45579999999999643</v>
      </c>
    </row>
    <row r="636" spans="1:3" x14ac:dyDescent="0.45">
      <c r="A636" s="2">
        <v>43678</v>
      </c>
      <c r="B636" s="3">
        <v>77.949700000000007</v>
      </c>
      <c r="C636" s="4">
        <v>0.45620000000000971</v>
      </c>
    </row>
    <row r="637" spans="1:3" x14ac:dyDescent="0.45">
      <c r="A637" s="2">
        <v>43709</v>
      </c>
      <c r="B637" s="3">
        <v>77.620500000000007</v>
      </c>
      <c r="C637" s="4">
        <v>-0.32920000000000016</v>
      </c>
    </row>
    <row r="638" spans="1:3" x14ac:dyDescent="0.45">
      <c r="A638" s="2">
        <v>43739</v>
      </c>
      <c r="B638" s="3">
        <v>76.909899999999993</v>
      </c>
      <c r="C638" s="4">
        <v>-0.71060000000001367</v>
      </c>
    </row>
    <row r="639" spans="1:3" x14ac:dyDescent="0.45">
      <c r="A639" s="2">
        <v>43770</v>
      </c>
      <c r="B639" s="3">
        <v>77.251999999999995</v>
      </c>
      <c r="C639" s="4">
        <v>0.34210000000000207</v>
      </c>
    </row>
    <row r="640" spans="1:3" x14ac:dyDescent="0.45">
      <c r="A640" s="2">
        <v>43800</v>
      </c>
      <c r="B640" s="3">
        <v>77.041600000000003</v>
      </c>
      <c r="C640" s="4">
        <v>-0.21039999999999281</v>
      </c>
    </row>
    <row r="641" spans="1:3" x14ac:dyDescent="0.45">
      <c r="A641" s="2">
        <v>43831</v>
      </c>
      <c r="B641" s="3">
        <v>76.519000000000005</v>
      </c>
      <c r="C641" s="4">
        <v>-0.52259999999999707</v>
      </c>
    </row>
    <row r="642" spans="1:3" x14ac:dyDescent="0.45">
      <c r="A642" s="2">
        <v>43862</v>
      </c>
      <c r="B642" s="3">
        <v>76.776399999999995</v>
      </c>
      <c r="C642" s="4">
        <v>0.25739999999998986</v>
      </c>
    </row>
    <row r="643" spans="1:3" x14ac:dyDescent="0.45">
      <c r="A643" s="2">
        <v>43891</v>
      </c>
      <c r="B643" s="3">
        <v>73.788700000000006</v>
      </c>
      <c r="C643" s="4">
        <v>-2.9876999999999896</v>
      </c>
    </row>
    <row r="644" spans="1:3" x14ac:dyDescent="0.45">
      <c r="A644" s="2">
        <v>43922</v>
      </c>
      <c r="B644" s="3">
        <v>64.084699999999998</v>
      </c>
      <c r="C644" s="4">
        <v>-9.7040000000000077</v>
      </c>
    </row>
    <row r="645" spans="1:3" x14ac:dyDescent="0.45">
      <c r="A645" s="2">
        <v>43952</v>
      </c>
      <c r="B645" s="3">
        <v>65.187399999999997</v>
      </c>
      <c r="C645" s="4">
        <v>1.1026999999999987</v>
      </c>
    </row>
    <row r="646" spans="1:3" x14ac:dyDescent="0.45">
      <c r="A646" s="2">
        <v>43983</v>
      </c>
      <c r="B646" s="3">
        <v>69.521799999999999</v>
      </c>
      <c r="C646" s="4">
        <v>4.3344000000000023</v>
      </c>
    </row>
    <row r="647" spans="1:3" x14ac:dyDescent="0.45">
      <c r="A647" s="2">
        <v>44013</v>
      </c>
      <c r="B647" s="3">
        <v>72.210300000000004</v>
      </c>
      <c r="C647" s="4">
        <v>2.6885000000000048</v>
      </c>
    </row>
    <row r="648" spans="1:3" x14ac:dyDescent="0.45">
      <c r="A648" s="2">
        <v>44044</v>
      </c>
      <c r="B648" s="3">
        <v>73.019199999999998</v>
      </c>
      <c r="C648" s="4">
        <v>0.80889999999999418</v>
      </c>
    </row>
    <row r="649" spans="1:3" x14ac:dyDescent="0.45">
      <c r="A649" s="2">
        <v>44075</v>
      </c>
      <c r="B649" s="3">
        <v>73.145099999999999</v>
      </c>
      <c r="C649" s="4">
        <v>0.12590000000000146</v>
      </c>
    </row>
    <row r="650" spans="1:3" x14ac:dyDescent="0.45">
      <c r="A650" s="2">
        <v>44105</v>
      </c>
      <c r="B650" s="3">
        <v>73.863600000000005</v>
      </c>
      <c r="C650" s="4">
        <v>0.71850000000000591</v>
      </c>
    </row>
    <row r="651" spans="1:3" x14ac:dyDescent="0.45">
      <c r="A651" s="2">
        <v>44136</v>
      </c>
      <c r="B651" s="3">
        <v>74.2637</v>
      </c>
      <c r="C651" s="4">
        <v>0.40009999999999479</v>
      </c>
    </row>
    <row r="652" spans="1:3" x14ac:dyDescent="0.45">
      <c r="A652" s="2">
        <v>44166</v>
      </c>
      <c r="B652" s="3">
        <v>75.390299999999996</v>
      </c>
      <c r="C652" s="4">
        <v>1.1265999999999963</v>
      </c>
    </row>
    <row r="653" spans="1:3" x14ac:dyDescent="0.45">
      <c r="A653" s="2">
        <v>44197</v>
      </c>
      <c r="B653" s="3">
        <v>75.940100000000001</v>
      </c>
      <c r="C653" s="4">
        <v>0.54980000000000473</v>
      </c>
    </row>
    <row r="654" spans="1:3" x14ac:dyDescent="0.45">
      <c r="A654" s="2">
        <v>44228</v>
      </c>
      <c r="B654" s="3">
        <v>73.572500000000005</v>
      </c>
      <c r="C654" s="4">
        <v>-2.3675999999999959</v>
      </c>
    </row>
    <row r="655" spans="1:3" x14ac:dyDescent="0.45">
      <c r="A655" s="2">
        <v>44256</v>
      </c>
      <c r="B655" s="3">
        <v>75.847200000000001</v>
      </c>
      <c r="C655" s="4">
        <v>2.2746999999999957</v>
      </c>
    </row>
    <row r="656" spans="1:3" x14ac:dyDescent="0.45">
      <c r="A656" s="2">
        <v>44287</v>
      </c>
      <c r="B656" s="3">
        <v>76.121600000000001</v>
      </c>
      <c r="C656" s="4">
        <v>0.27439999999999998</v>
      </c>
    </row>
    <row r="657" spans="1:3" x14ac:dyDescent="0.45">
      <c r="A657" s="2">
        <v>44317</v>
      </c>
      <c r="B657" s="3">
        <v>76.930999999999997</v>
      </c>
      <c r="C657" s="4">
        <v>0.80939999999999657</v>
      </c>
    </row>
    <row r="658" spans="1:3" x14ac:dyDescent="0.45">
      <c r="A658" s="2">
        <v>44348</v>
      </c>
      <c r="B658" s="3">
        <v>77.336699999999993</v>
      </c>
      <c r="C658" s="4">
        <v>0.40569999999999595</v>
      </c>
    </row>
    <row r="659" spans="1:3" x14ac:dyDescent="0.45">
      <c r="A659" s="2">
        <v>44378</v>
      </c>
      <c r="B659" s="3">
        <v>77.797200000000004</v>
      </c>
      <c r="C659" s="4">
        <v>0.46050000000001035</v>
      </c>
    </row>
    <row r="660" spans="1:3" x14ac:dyDescent="0.45">
      <c r="A660" s="2">
        <v>44409</v>
      </c>
      <c r="B660" s="3">
        <v>77.730800000000002</v>
      </c>
      <c r="C660" s="4">
        <v>-6.6400000000001569E-2</v>
      </c>
    </row>
    <row r="661" spans="1:3" x14ac:dyDescent="0.45">
      <c r="A661" s="2">
        <v>44440</v>
      </c>
      <c r="B661" s="3">
        <v>76.887100000000004</v>
      </c>
      <c r="C661" s="4">
        <v>-0.84369999999999834</v>
      </c>
    </row>
    <row r="662" spans="1:3" x14ac:dyDescent="0.45">
      <c r="A662" s="2">
        <v>44470</v>
      </c>
      <c r="B662" s="3">
        <v>77.983800000000002</v>
      </c>
      <c r="C662" s="4">
        <v>1.0966999999999985</v>
      </c>
    </row>
    <row r="663" spans="1:3" x14ac:dyDescent="0.45">
      <c r="A663" s="2">
        <v>44501</v>
      </c>
      <c r="B663" s="3">
        <v>78.561999999999998</v>
      </c>
      <c r="C663" s="4">
        <v>0.57819999999999538</v>
      </c>
    </row>
    <row r="664" spans="1:3" x14ac:dyDescent="0.45">
      <c r="A664" s="2">
        <v>44531</v>
      </c>
      <c r="B664" s="3">
        <v>78.368700000000004</v>
      </c>
      <c r="C664" s="4">
        <v>-0.19329999999999359</v>
      </c>
    </row>
    <row r="665" spans="1:3" x14ac:dyDescent="0.45">
      <c r="A665" s="2">
        <v>44562</v>
      </c>
      <c r="B665" s="3">
        <v>78.087999999999994</v>
      </c>
      <c r="C665" s="4">
        <v>-0.28070000000001016</v>
      </c>
    </row>
    <row r="666" spans="1:3" x14ac:dyDescent="0.45">
      <c r="A666" s="2">
        <v>44593</v>
      </c>
      <c r="B666" s="3">
        <v>78.577699999999993</v>
      </c>
      <c r="C666" s="4">
        <v>0.48969999999999914</v>
      </c>
    </row>
    <row r="667" spans="1:3" x14ac:dyDescent="0.45">
      <c r="A667" s="2">
        <v>44621</v>
      </c>
      <c r="B667" s="3">
        <v>79.025300000000001</v>
      </c>
      <c r="C667" s="4">
        <v>0.44760000000000844</v>
      </c>
    </row>
    <row r="668" spans="1:3" x14ac:dyDescent="0.45">
      <c r="A668" s="2">
        <v>44652</v>
      </c>
      <c r="B668" s="3">
        <v>79.041799999999995</v>
      </c>
      <c r="C668" s="4">
        <v>1.649999999999352E-2</v>
      </c>
    </row>
    <row r="669" spans="1:3" x14ac:dyDescent="0.45">
      <c r="A669" s="2">
        <v>44682</v>
      </c>
      <c r="B669" s="3">
        <v>78.922399999999996</v>
      </c>
      <c r="C669" s="4">
        <v>-0.11939999999999884</v>
      </c>
    </row>
    <row r="670" spans="1:3" x14ac:dyDescent="0.45">
      <c r="A670" s="2">
        <v>44713</v>
      </c>
      <c r="B670" s="3">
        <v>78.625900000000001</v>
      </c>
      <c r="C670" s="4">
        <v>-0.29649999999999466</v>
      </c>
    </row>
    <row r="671" spans="1:3" x14ac:dyDescent="0.45">
      <c r="A671" s="2">
        <v>44743</v>
      </c>
      <c r="B671" s="3">
        <v>78.720399999999998</v>
      </c>
      <c r="C671" s="4">
        <v>9.4499999999996476E-2</v>
      </c>
    </row>
    <row r="672" spans="1:3" x14ac:dyDescent="0.45">
      <c r="A672" s="2">
        <v>44774</v>
      </c>
      <c r="B672" s="3">
        <v>78.543800000000005</v>
      </c>
      <c r="C672" s="4">
        <v>-0.17659999999999343</v>
      </c>
    </row>
    <row r="673" spans="1:3" x14ac:dyDescent="0.45">
      <c r="A673" s="2">
        <v>44805</v>
      </c>
      <c r="B673" s="3">
        <v>78.608699999999999</v>
      </c>
      <c r="C673" s="4">
        <v>6.4899999999994407E-2</v>
      </c>
    </row>
    <row r="674" spans="1:3" x14ac:dyDescent="0.45">
      <c r="A674" s="2">
        <v>44835</v>
      </c>
      <c r="B674" s="3">
        <v>78.484300000000005</v>
      </c>
      <c r="C674" s="4">
        <v>-0.12439999999999429</v>
      </c>
    </row>
    <row r="675" spans="1:3" x14ac:dyDescent="0.45">
      <c r="A675" s="2">
        <v>44866</v>
      </c>
      <c r="B675" s="3">
        <v>78.154399999999995</v>
      </c>
      <c r="C675" s="4">
        <v>-0.32990000000000919</v>
      </c>
    </row>
    <row r="676" spans="1:3" x14ac:dyDescent="0.45">
      <c r="A676" s="2">
        <v>44896</v>
      </c>
      <c r="B676" s="3">
        <v>77.133399999999995</v>
      </c>
      <c r="C676" s="4">
        <v>-1.0210000000000008</v>
      </c>
    </row>
    <row r="677" spans="1:3" x14ac:dyDescent="0.45">
      <c r="A677" s="2">
        <v>44927</v>
      </c>
      <c r="B677" s="3">
        <v>77.600999999999999</v>
      </c>
      <c r="C677" s="4">
        <v>0.46760000000000446</v>
      </c>
    </row>
    <row r="678" spans="1:3" x14ac:dyDescent="0.45">
      <c r="A678" s="2">
        <v>44958</v>
      </c>
      <c r="B678" s="3">
        <v>77.607799999999997</v>
      </c>
      <c r="C678" s="4">
        <v>6.7999999999983629E-3</v>
      </c>
    </row>
    <row r="679" spans="1:3" x14ac:dyDescent="0.45">
      <c r="A679" s="2">
        <v>44986</v>
      </c>
      <c r="B679" s="3">
        <v>77.803600000000003</v>
      </c>
      <c r="C679" s="4">
        <v>0.19580000000000553</v>
      </c>
    </row>
    <row r="680" spans="1:3" x14ac:dyDescent="0.45">
      <c r="A680" s="2">
        <v>45017</v>
      </c>
      <c r="B680" s="3">
        <v>77.888000000000005</v>
      </c>
      <c r="C680" s="4">
        <v>8.4400000000002251E-2</v>
      </c>
    </row>
    <row r="681" spans="1:3" x14ac:dyDescent="0.45">
      <c r="A681" s="2">
        <v>45047</v>
      </c>
      <c r="B681" s="3">
        <v>77.549599999999998</v>
      </c>
      <c r="C681" s="4">
        <v>-0.33840000000000714</v>
      </c>
    </row>
    <row r="682" spans="1:3" x14ac:dyDescent="0.45">
      <c r="A682" s="2">
        <v>45078</v>
      </c>
      <c r="B682" s="3">
        <v>76.846699999999998</v>
      </c>
      <c r="C682" s="4">
        <v>-0.70289999999999964</v>
      </c>
    </row>
    <row r="683" spans="1:3" x14ac:dyDescent="0.45">
      <c r="A683" s="2">
        <v>45108</v>
      </c>
      <c r="B683" s="3">
        <v>77.377300000000005</v>
      </c>
      <c r="C683" s="4">
        <v>0.53060000000000684</v>
      </c>
    </row>
    <row r="684" spans="1:3" x14ac:dyDescent="0.45">
      <c r="A684" s="2">
        <v>45139</v>
      </c>
      <c r="B684" s="3">
        <v>77.258799999999994</v>
      </c>
      <c r="C684" s="4">
        <v>-0.1185000000000116</v>
      </c>
    </row>
    <row r="685" spans="1:3" x14ac:dyDescent="0.45">
      <c r="A685" s="2">
        <v>45170</v>
      </c>
      <c r="B685" s="3">
        <v>77.337500000000006</v>
      </c>
      <c r="C685" s="4">
        <v>7.8700000000011983E-2</v>
      </c>
    </row>
    <row r="686" spans="1:3" x14ac:dyDescent="0.45">
      <c r="A686" s="2">
        <v>45200</v>
      </c>
      <c r="B686" s="3">
        <v>76.858999999999995</v>
      </c>
      <c r="C686" s="4">
        <v>-0.47850000000001103</v>
      </c>
    </row>
    <row r="687" spans="1:3" x14ac:dyDescent="0.45">
      <c r="A687" s="2">
        <v>45231</v>
      </c>
      <c r="B687" s="3">
        <v>77.108099999999993</v>
      </c>
      <c r="C687" s="4">
        <v>0.24909999999999854</v>
      </c>
    </row>
    <row r="688" spans="1:3" x14ac:dyDescent="0.45">
      <c r="A688" s="2">
        <v>45261</v>
      </c>
      <c r="B688" s="3">
        <v>76.858000000000004</v>
      </c>
      <c r="C688" s="4">
        <v>-0.25009999999998911</v>
      </c>
    </row>
    <row r="689" spans="1:3" x14ac:dyDescent="0.45">
      <c r="A689" s="2">
        <v>45292</v>
      </c>
      <c r="B689" s="3">
        <v>75.754199999999997</v>
      </c>
      <c r="C689" s="4">
        <v>-1.1038000000000068</v>
      </c>
    </row>
    <row r="690" spans="1:3" x14ac:dyDescent="0.45">
      <c r="A690" s="2">
        <v>45323</v>
      </c>
      <c r="B690" s="3">
        <v>76.515699999999995</v>
      </c>
      <c r="C690" s="4">
        <v>0.76149999999999807</v>
      </c>
    </row>
    <row r="691" spans="1:3" x14ac:dyDescent="0.45">
      <c r="A691" s="2">
        <v>45352</v>
      </c>
      <c r="B691" s="3">
        <v>76.596400000000003</v>
      </c>
      <c r="C691" s="4">
        <v>8.0700000000007321E-2</v>
      </c>
    </row>
    <row r="692" spans="1:3" x14ac:dyDescent="0.45">
      <c r="A692" s="2">
        <v>45383</v>
      </c>
      <c r="B692" s="3">
        <v>76.380300000000005</v>
      </c>
      <c r="C692" s="4">
        <v>-0.21609999999999729</v>
      </c>
    </row>
    <row r="693" spans="1:3" x14ac:dyDescent="0.45">
      <c r="A693" s="2">
        <v>45413</v>
      </c>
      <c r="B693" s="3">
        <v>76.796099999999996</v>
      </c>
      <c r="C693" s="4">
        <v>0.41579999999999018</v>
      </c>
    </row>
    <row r="694" spans="1:3" x14ac:dyDescent="0.45">
      <c r="A694" s="2">
        <v>45444</v>
      </c>
      <c r="B694" s="3">
        <v>76.758600000000001</v>
      </c>
      <c r="C694" s="4">
        <v>-3.7499999999994316E-2</v>
      </c>
    </row>
    <row r="695" spans="1:3" x14ac:dyDescent="0.45">
      <c r="A695" s="2">
        <v>45474</v>
      </c>
      <c r="B695" s="3">
        <v>75.994600000000005</v>
      </c>
      <c r="C695" s="4">
        <v>-0.76399999999999579</v>
      </c>
    </row>
    <row r="696" spans="1:3" x14ac:dyDescent="0.45">
      <c r="A696" s="2">
        <v>45505</v>
      </c>
      <c r="B696" s="3">
        <v>76.2697</v>
      </c>
      <c r="C696" s="4">
        <v>0.27509999999999479</v>
      </c>
    </row>
    <row r="697" spans="1:3" x14ac:dyDescent="0.45">
      <c r="A697" s="2">
        <v>45536</v>
      </c>
      <c r="B697" s="3">
        <v>75.721599999999995</v>
      </c>
      <c r="C697" s="4">
        <v>-0.54810000000000514</v>
      </c>
    </row>
    <row r="698" spans="1:3" x14ac:dyDescent="0.45">
      <c r="A698" s="2">
        <v>45566</v>
      </c>
      <c r="B698" s="3">
        <v>75.385199999999998</v>
      </c>
      <c r="C698" s="4">
        <v>-0.33639999999999759</v>
      </c>
    </row>
    <row r="699" spans="1:3" x14ac:dyDescent="0.45">
      <c r="A699" s="2">
        <v>45597</v>
      </c>
      <c r="B699" s="3">
        <v>75.168099999999995</v>
      </c>
      <c r="C699" s="4">
        <v>-0.21710000000000207</v>
      </c>
    </row>
    <row r="700" spans="1:3" x14ac:dyDescent="0.45">
      <c r="A700" s="2">
        <v>45627</v>
      </c>
      <c r="B700" s="3">
        <v>75.865099999999998</v>
      </c>
      <c r="C700" s="4">
        <v>0.69700000000000273</v>
      </c>
    </row>
    <row r="701" spans="1:3" x14ac:dyDescent="0.45">
      <c r="A701" s="2">
        <v>45658</v>
      </c>
      <c r="B701" s="3">
        <v>75.578100000000006</v>
      </c>
      <c r="C701" s="4">
        <v>-0.28699999999999193</v>
      </c>
    </row>
    <row r="702" spans="1:3" x14ac:dyDescent="0.45">
      <c r="A702" s="2">
        <v>45689</v>
      </c>
      <c r="B702" s="3">
        <v>76.268500000000003</v>
      </c>
      <c r="C702" s="4">
        <v>0.69039999999999679</v>
      </c>
    </row>
    <row r="703" spans="1:3" x14ac:dyDescent="0.45">
      <c r="A703" s="2">
        <v>45717</v>
      </c>
      <c r="B703" s="3">
        <v>76.131799999999998</v>
      </c>
      <c r="C703" s="4">
        <v>-0.13670000000000471</v>
      </c>
    </row>
    <row r="704" spans="1:3" x14ac:dyDescent="0.45">
      <c r="A704" s="2">
        <v>45748</v>
      </c>
      <c r="B704" s="3">
        <v>76.104799999999997</v>
      </c>
      <c r="C704" s="4">
        <v>-2.7000000000001023E-2</v>
      </c>
    </row>
    <row r="705" spans="1:3" x14ac:dyDescent="0.45">
      <c r="A705" s="2">
        <v>45778</v>
      </c>
      <c r="B705" s="3">
        <v>75.889399999999995</v>
      </c>
      <c r="C705" s="4">
        <v>-0.21540000000000248</v>
      </c>
    </row>
    <row r="706" spans="1:3" x14ac:dyDescent="0.45">
      <c r="A706" s="2">
        <v>45809</v>
      </c>
      <c r="B706" s="3">
        <v>76.180999999999997</v>
      </c>
      <c r="C706" s="4">
        <v>0.29160000000000252</v>
      </c>
    </row>
    <row r="707" spans="1:3" x14ac:dyDescent="0.45">
      <c r="A707" s="2">
        <v>45839</v>
      </c>
      <c r="B707" s="3">
        <v>76.399699999999996</v>
      </c>
      <c r="C707" s="4">
        <v>0.21869999999999834</v>
      </c>
    </row>
    <row r="708" spans="1:3" x14ac:dyDescent="0.45">
      <c r="A708" s="2">
        <v>45870</v>
      </c>
      <c r="B708" s="3">
        <v>76.105500000000006</v>
      </c>
      <c r="C708" s="4">
        <v>-0.29419999999998936</v>
      </c>
    </row>
    <row r="709" spans="1:3" x14ac:dyDescent="0.45">
      <c r="A709" s="2">
        <v>45901</v>
      </c>
      <c r="B709" s="3">
        <v>76.046099999999996</v>
      </c>
      <c r="C709" s="4">
        <v>-5.9400000000010778E-2</v>
      </c>
    </row>
    <row r="710" spans="1:3" x14ac:dyDescent="0.45">
      <c r="A710" s="2">
        <v>45931</v>
      </c>
      <c r="B710" s="3">
        <v>75.619399999999999</v>
      </c>
      <c r="C710" s="4">
        <v>-0.42669999999999675</v>
      </c>
    </row>
    <row r="711" spans="1:3" x14ac:dyDescent="0.45">
      <c r="A711" s="2">
        <v>45962</v>
      </c>
      <c r="B711" s="3">
        <v>75.390100000000004</v>
      </c>
      <c r="C711" s="4">
        <v>-0.22929999999999495</v>
      </c>
    </row>
    <row r="712" spans="1:3" x14ac:dyDescent="0.45">
      <c r="A712" s="2">
        <v>45992</v>
      </c>
      <c r="B712" s="3">
        <v>75.642200000000003</v>
      </c>
      <c r="C712" s="4">
        <v>0.25209999999999866</v>
      </c>
    </row>
    <row r="713" spans="1:3" x14ac:dyDescent="0.45">
      <c r="A713" s="2">
        <v>46023</v>
      </c>
      <c r="B713" s="3">
        <v>75.305000000000007</v>
      </c>
      <c r="C713" s="4">
        <v>-0.33719999999999573</v>
      </c>
    </row>
    <row r="714" spans="1:3" x14ac:dyDescent="0.45">
      <c r="A714" s="2">
        <v>46054</v>
      </c>
      <c r="B714" s="3">
        <v>75.846999999999994</v>
      </c>
      <c r="C714" s="4">
        <v>0.54199999999998738</v>
      </c>
    </row>
    <row r="715" spans="1:3" x14ac:dyDescent="0.45">
      <c r="A715" s="2">
        <v>46082</v>
      </c>
      <c r="B715" s="3">
        <v>75.538799999999995</v>
      </c>
      <c r="C715" s="4">
        <v>-0.30819999999999936</v>
      </c>
    </row>
    <row r="716" spans="1:3" x14ac:dyDescent="0.45">
      <c r="A716" s="2">
        <v>46113</v>
      </c>
      <c r="B716" s="3">
        <v>76.128900000000002</v>
      </c>
      <c r="C716" s="4">
        <v>0.59010000000000673</v>
      </c>
    </row>
    <row r="717" spans="1:3" x14ac:dyDescent="0.45">
      <c r="A717" s="2">
        <v>46143</v>
      </c>
      <c r="B717" s="3">
        <v>76.166300000000007</v>
      </c>
      <c r="C717" s="4">
        <v>3.7400000000005207E-2</v>
      </c>
    </row>
    <row r="718" spans="1:3" x14ac:dyDescent="0.45">
      <c r="A718" s="2">
        <v>46174</v>
      </c>
      <c r="B718" s="3">
        <v>76.099999999999994</v>
      </c>
      <c r="C718" s="3">
        <v>-6.630000000001246E-2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124BC-1DC2-4496-ABEE-852A4E660B0C}">
  <dimension ref="A1:X947"/>
  <sheetViews>
    <sheetView workbookViewId="0"/>
  </sheetViews>
  <sheetFormatPr defaultRowHeight="14.25" x14ac:dyDescent="0.45"/>
  <cols>
    <col min="1" max="1" width="13.3984375" customWidth="1"/>
    <col min="2" max="2" width="5.53125" bestFit="1" customWidth="1"/>
    <col min="3" max="3" width="13.1328125" bestFit="1" customWidth="1"/>
  </cols>
  <sheetData>
    <row r="1" spans="1:24" x14ac:dyDescent="0.45">
      <c r="A1" s="1" t="s">
        <v>66</v>
      </c>
    </row>
    <row r="2" spans="1:24" x14ac:dyDescent="0.45">
      <c r="A2" t="s">
        <v>121</v>
      </c>
      <c r="F2" s="1" t="s">
        <v>4</v>
      </c>
      <c r="Q2" s="1" t="s">
        <v>67</v>
      </c>
      <c r="U2" s="1" t="s">
        <v>32</v>
      </c>
    </row>
    <row r="3" spans="1:24" x14ac:dyDescent="0.45">
      <c r="F3" t="s">
        <v>5</v>
      </c>
      <c r="G3" s="4">
        <f>B$947</f>
        <v>55.6</v>
      </c>
      <c r="Q3" t="s">
        <v>19</v>
      </c>
      <c r="R3" s="4">
        <f>AVERAGE($C$6:$C$947)</f>
        <v>4.1401273885350301E-3</v>
      </c>
      <c r="U3" t="s">
        <v>33</v>
      </c>
      <c r="V3">
        <v>1</v>
      </c>
      <c r="W3">
        <v>2</v>
      </c>
      <c r="X3">
        <v>3</v>
      </c>
    </row>
    <row r="4" spans="1:24" x14ac:dyDescent="0.45">
      <c r="A4" s="1" t="s">
        <v>1</v>
      </c>
      <c r="B4" s="1" t="s">
        <v>2</v>
      </c>
      <c r="C4" s="1" t="s">
        <v>3</v>
      </c>
      <c r="F4" t="s">
        <v>6</v>
      </c>
      <c r="G4" s="4">
        <f>AVERAGE($B$5:$B$947)</f>
        <v>52.818430540827173</v>
      </c>
      <c r="Q4" t="s">
        <v>20</v>
      </c>
      <c r="R4">
        <f>_xlfn.STDEV.S($C$6:$C$947)/SQRT(COUNT($C$6:$C$947))</f>
        <v>8.4311748702351572E-2</v>
      </c>
      <c r="U4" t="s">
        <v>34</v>
      </c>
      <c r="V4">
        <f>$R$3+V$3*$R$7</f>
        <v>2.5918378788719014</v>
      </c>
      <c r="W4">
        <f>$R$3+W$3*$R$7</f>
        <v>5.179535630355268</v>
      </c>
      <c r="X4">
        <f>$R$3+X$3*$R$7</f>
        <v>7.7672333818386345</v>
      </c>
    </row>
    <row r="5" spans="1:24" x14ac:dyDescent="0.45">
      <c r="A5" s="2">
        <v>17533</v>
      </c>
      <c r="B5" s="4">
        <v>51.7</v>
      </c>
      <c r="C5" s="4"/>
      <c r="F5" t="s">
        <v>7</v>
      </c>
      <c r="G5">
        <f>_xlfn.STDEV.S($B$5:$B$947)</f>
        <v>7.1529853370948926</v>
      </c>
      <c r="Q5" t="s">
        <v>21</v>
      </c>
      <c r="R5" s="4">
        <f>MEDIAN($C$6:$C$947)</f>
        <v>-1.9999999999999574E-2</v>
      </c>
      <c r="U5" t="s">
        <v>35</v>
      </c>
      <c r="V5">
        <f>$R$3-V$3*$R$7</f>
        <v>-2.5835576240948317</v>
      </c>
      <c r="W5">
        <f>$R$3-W$3*$R$7</f>
        <v>-5.1712553755781983</v>
      </c>
      <c r="X5">
        <f>$R$3-X$3*$R$7</f>
        <v>-7.7589531270615648</v>
      </c>
    </row>
    <row r="6" spans="1:24" x14ac:dyDescent="0.45">
      <c r="A6" s="2">
        <v>17564</v>
      </c>
      <c r="B6" s="4">
        <v>50.2</v>
      </c>
      <c r="C6" s="4">
        <v>-1.5</v>
      </c>
      <c r="F6" t="s">
        <v>8</v>
      </c>
      <c r="G6">
        <f>(G3-G4)/G5</f>
        <v>0.38886832952778472</v>
      </c>
      <c r="Q6" t="s">
        <v>22</v>
      </c>
      <c r="R6">
        <f>_xlfn.MODE.SNGL($C$6:$C$947)</f>
        <v>-0.5</v>
      </c>
    </row>
    <row r="7" spans="1:24" x14ac:dyDescent="0.45">
      <c r="A7" s="2">
        <v>17593</v>
      </c>
      <c r="B7" s="4">
        <v>43.3</v>
      </c>
      <c r="C7" s="4">
        <v>-6.9000000000000057</v>
      </c>
      <c r="F7" t="s">
        <v>9</v>
      </c>
      <c r="G7" s="5">
        <f>_xlfn.PERCENTRANK.INC($B$5:$B$947,G3)</f>
        <v>0.65800000000000003</v>
      </c>
      <c r="Q7" t="s">
        <v>23</v>
      </c>
      <c r="R7">
        <f>_xlfn.STDEV.S($C$6:$C$947)</f>
        <v>2.5876977514833666</v>
      </c>
      <c r="U7" s="1" t="s">
        <v>36</v>
      </c>
    </row>
    <row r="8" spans="1:24" x14ac:dyDescent="0.45">
      <c r="A8" s="2">
        <v>17624</v>
      </c>
      <c r="B8" s="4">
        <v>45.4</v>
      </c>
      <c r="C8" s="4">
        <v>2.1000000000000014</v>
      </c>
      <c r="F8" t="s">
        <v>10</v>
      </c>
      <c r="G8" t="str">
        <f>IF(G6&gt;=2,"EXTREME HIGH",IF(G6&gt;=1,"HIGH (+1 to +2σ)",IF(G6&lt;=-2,"EXTREME LOW",IF(G6&lt;=-1,"LOW (-1 to -2σ)","NORMAL (±1σ)"))))</f>
        <v>NORMAL (±1σ)</v>
      </c>
      <c r="Q8" t="s">
        <v>24</v>
      </c>
      <c r="R8">
        <f>_xlfn.VAR.S($C$6:$C$947)</f>
        <v>6.6961796530320719</v>
      </c>
      <c r="U8" t="s">
        <v>37</v>
      </c>
      <c r="V8" t="s">
        <v>38</v>
      </c>
      <c r="W8" t="s">
        <v>39</v>
      </c>
      <c r="X8" t="s">
        <v>40</v>
      </c>
    </row>
    <row r="9" spans="1:24" x14ac:dyDescent="0.45">
      <c r="A9" s="2">
        <v>17654</v>
      </c>
      <c r="B9" s="4">
        <v>49.5</v>
      </c>
      <c r="C9" s="4">
        <v>4.1000000000000014</v>
      </c>
      <c r="F9" t="s">
        <v>11</v>
      </c>
      <c r="G9" t="str">
        <f>IF(G6&gt;=1,"STRONG vs history",IF(G6&lt;=-1,"WEAK vs history","NEUTRAL vs history"))</f>
        <v>NEUTRAL vs history</v>
      </c>
      <c r="Q9" t="s">
        <v>25</v>
      </c>
      <c r="R9">
        <f>KURT($C$6:$C$947)</f>
        <v>2.0283446082983025</v>
      </c>
      <c r="S9" t="str">
        <f>IF(R9&gt;0,"More peaked than normal — fat tails (excess kurtosis &gt; 0)",IF(R9&lt;0,"Flatter than normal — thin tails (excess kurtosis &lt; 0)","Approximately normal kurtosis"))</f>
        <v>More peaked than normal — fat tails (excess kurtosis &gt; 0)</v>
      </c>
      <c r="U9">
        <v>1</v>
      </c>
      <c r="V9" s="5">
        <f>COUNTIFS($C$6:$C$947,"&gt;="&amp;($R$3-$R$7*$U9),$C$6:$C$947,"&lt;="&amp;($R$3+$R$7*$U9))/$R$15</f>
        <v>0.73885350318471332</v>
      </c>
      <c r="W9" s="5">
        <v>0.68200000000000005</v>
      </c>
      <c r="X9" t="str">
        <f>IF(V9&gt;W9+0.02,"fat tails",IF(V9&lt;W9-0.02,"thin tails","≈ normal"))</f>
        <v>fat tails</v>
      </c>
    </row>
    <row r="10" spans="1:24" x14ac:dyDescent="0.45">
      <c r="A10" s="2">
        <v>17685</v>
      </c>
      <c r="B10" s="4">
        <v>53</v>
      </c>
      <c r="C10" s="4">
        <v>3.5</v>
      </c>
      <c r="Q10" t="s">
        <v>26</v>
      </c>
      <c r="R10">
        <f>SKEW($C$6:$C$947)</f>
        <v>3.2873693627289174E-2</v>
      </c>
      <c r="S10" t="str">
        <f>IF(R10&gt;0,"Positive skew — bigger fat tail on the upside",IF(R10&lt;0,"Negative skew — bigger fat tail on the downside","Approximately symmetric"))</f>
        <v>Positive skew — bigger fat tail on the upside</v>
      </c>
      <c r="U10">
        <v>2</v>
      </c>
      <c r="V10" s="5">
        <f>COUNTIFS($C$6:$C$947,"&gt;="&amp;($R$3-$R$7*$U10),$C$6:$C$947,"&lt;="&amp;($R$3+$R$7*$U10))/$R$15</f>
        <v>0.94585987261146498</v>
      </c>
      <c r="W10" s="5">
        <v>0.95399999999999996</v>
      </c>
      <c r="X10" t="str">
        <f>IF(V10&gt;W10+0.02,"fat tails",IF(V10&lt;W10-0.02,"thin tails","≈ normal"))</f>
        <v>≈ normal</v>
      </c>
    </row>
    <row r="11" spans="1:24" x14ac:dyDescent="0.45">
      <c r="A11" s="2">
        <v>17715</v>
      </c>
      <c r="B11" s="4">
        <v>48.4</v>
      </c>
      <c r="C11" s="4">
        <v>-4.6000000000000014</v>
      </c>
      <c r="H11" s="1" t="s">
        <v>12</v>
      </c>
      <c r="Q11" t="s">
        <v>15</v>
      </c>
      <c r="R11" s="4">
        <f>MAX($C$6:$C$947)-MIN($C$6:$C$947)</f>
        <v>24.1</v>
      </c>
      <c r="U11">
        <v>3</v>
      </c>
      <c r="V11" s="5">
        <f>COUNTIFS($C$6:$C$947,"&gt;="&amp;($R$3-$R$7*$U11),$C$6:$C$947,"&lt;="&amp;($R$3+$R$7*$U11))/$R$15</f>
        <v>0.98832271762208068</v>
      </c>
      <c r="W11" s="5">
        <v>0.997</v>
      </c>
      <c r="X11" t="str">
        <f>IF(V11&gt;W11+0.02,"fat tails",IF(V11&lt;W11-0.02,"thin tails","≈ normal"))</f>
        <v>≈ normal</v>
      </c>
    </row>
    <row r="12" spans="1:24" x14ac:dyDescent="0.45">
      <c r="A12" s="2">
        <v>17746</v>
      </c>
      <c r="B12" s="4">
        <v>45.1</v>
      </c>
      <c r="C12" s="4">
        <v>-3.2999999999999972</v>
      </c>
      <c r="H12" t="s">
        <v>13</v>
      </c>
      <c r="I12" t="s">
        <v>14</v>
      </c>
      <c r="J12" t="s">
        <v>15</v>
      </c>
      <c r="K12" t="s">
        <v>16</v>
      </c>
      <c r="L12" t="s">
        <v>17</v>
      </c>
      <c r="Q12" t="s">
        <v>27</v>
      </c>
      <c r="R12" s="4">
        <f>MIN($C$6:$C$947)</f>
        <v>-12</v>
      </c>
    </row>
    <row r="13" spans="1:24" x14ac:dyDescent="0.45">
      <c r="A13" s="2">
        <v>17777</v>
      </c>
      <c r="B13" s="4">
        <v>42.1</v>
      </c>
      <c r="C13" s="4">
        <v>-3</v>
      </c>
      <c r="H13" s="6">
        <f>$R$12+($R$11/12)*(ROW()-12)</f>
        <v>-9.9916666666666671</v>
      </c>
      <c r="I13">
        <f>COUNTIFS($C$6:$C$947,"&gt;="&amp;$R$12,$C$6:$C$947,"&lt;="&amp;H13)</f>
        <v>1</v>
      </c>
      <c r="J13" t="str">
        <f>TEXT($R$12,"0.00")&amp;" to "&amp;TEXT(H13,"0.00")</f>
        <v>-12.00 to -9.99</v>
      </c>
      <c r="K13" s="5">
        <f>I13/$R$15</f>
        <v>1.0615711252653928E-3</v>
      </c>
      <c r="L13" s="5">
        <f>SUM($K$13:K13)</f>
        <v>1.0615711252653928E-3</v>
      </c>
      <c r="Q13" t="s">
        <v>28</v>
      </c>
      <c r="R13" s="4">
        <f>MAX($C$6:$C$947)</f>
        <v>12.100000000000001</v>
      </c>
    </row>
    <row r="14" spans="1:24" x14ac:dyDescent="0.45">
      <c r="A14" s="2">
        <v>17807</v>
      </c>
      <c r="B14" s="4">
        <v>47.2</v>
      </c>
      <c r="C14" s="4">
        <v>5.1000000000000014</v>
      </c>
      <c r="H14" s="6">
        <f>$R$12+($R$11/12)*(ROW()-12)</f>
        <v>-7.9833333333333334</v>
      </c>
      <c r="I14">
        <f>COUNTIFS($C$6:$C$947,"&gt;"&amp;H13,$C$6:$C$947,"&lt;="&amp;H14)</f>
        <v>4</v>
      </c>
      <c r="J14" t="str">
        <f>TEXT(H13,"0.00")&amp;" to "&amp;TEXT(H14,"0.00")</f>
        <v>-9.99 to -7.98</v>
      </c>
      <c r="K14" s="5">
        <f>I14/$R$15</f>
        <v>4.246284501061571E-3</v>
      </c>
      <c r="L14" s="5">
        <f>SUM($K$13:K14)</f>
        <v>5.3078556263269636E-3</v>
      </c>
      <c r="Q14" t="s">
        <v>29</v>
      </c>
      <c r="R14" s="4">
        <f>SUM($C$6:$C$947)</f>
        <v>3.8999999999999986</v>
      </c>
    </row>
    <row r="15" spans="1:24" x14ac:dyDescent="0.45">
      <c r="A15" s="2">
        <v>17838</v>
      </c>
      <c r="B15" s="4">
        <v>42.4</v>
      </c>
      <c r="C15" s="4">
        <v>-4.8000000000000043</v>
      </c>
      <c r="H15" s="6">
        <f>$R$12+($R$11/12)*(ROW()-12)</f>
        <v>-5.9749999999999996</v>
      </c>
      <c r="I15">
        <f>COUNTIFS($C$6:$C$947,"&gt;"&amp;H14,$C$6:$C$947,"&lt;="&amp;H15)</f>
        <v>14</v>
      </c>
      <c r="J15" t="str">
        <f>TEXT(H14,"0.00")&amp;" to "&amp;TEXT(H15,"0.00")</f>
        <v>-7.98 to -5.98</v>
      </c>
      <c r="K15" s="5">
        <f>I15/$R$15</f>
        <v>1.4861995753715499E-2</v>
      </c>
      <c r="L15" s="5">
        <f>SUM($K$13:K15)</f>
        <v>2.0169851380042462E-2</v>
      </c>
      <c r="Q15" t="s">
        <v>30</v>
      </c>
      <c r="R15">
        <f>COUNT($C$6:$C$947)</f>
        <v>942</v>
      </c>
      <c r="S15" t="s">
        <v>31</v>
      </c>
    </row>
    <row r="16" spans="1:24" x14ac:dyDescent="0.45">
      <c r="A16" s="2">
        <v>17868</v>
      </c>
      <c r="B16" s="4">
        <v>35</v>
      </c>
      <c r="C16" s="4">
        <v>-7.3999999999999986</v>
      </c>
      <c r="H16" s="6">
        <f>$R$12+($R$11/12)*(ROW()-12)</f>
        <v>-3.9666666666666668</v>
      </c>
      <c r="I16">
        <f>COUNTIFS($C$6:$C$947,"&gt;"&amp;H15,$C$6:$C$947,"&lt;="&amp;H16)</f>
        <v>26</v>
      </c>
      <c r="J16" t="str">
        <f>TEXT(H15,"0.00")&amp;" to "&amp;TEXT(H16,"0.00")</f>
        <v>-5.98 to -3.97</v>
      </c>
      <c r="K16" s="5">
        <f>I16/$R$15</f>
        <v>2.7600849256900213E-2</v>
      </c>
      <c r="L16" s="5">
        <f>SUM($K$13:K16)</f>
        <v>4.7770700636942678E-2</v>
      </c>
    </row>
    <row r="17" spans="1:12" x14ac:dyDescent="0.45">
      <c r="A17" s="2">
        <v>17899</v>
      </c>
      <c r="B17" s="4">
        <v>32.9</v>
      </c>
      <c r="C17" s="4">
        <v>-2.1000000000000014</v>
      </c>
      <c r="H17" s="6">
        <f>$R$12+($R$11/12)*(ROW()-12)</f>
        <v>-1.9583333333333339</v>
      </c>
      <c r="I17">
        <f>COUNTIFS($C$6:$C$947,"&gt;"&amp;H16,$C$6:$C$947,"&lt;="&amp;H17)</f>
        <v>129</v>
      </c>
      <c r="J17" t="str">
        <f>TEXT(H16,"0.00")&amp;" to "&amp;TEXT(H17,"0.00")</f>
        <v>-3.97 to -1.96</v>
      </c>
      <c r="K17" s="5">
        <f>I17/$R$15</f>
        <v>0.13694267515923567</v>
      </c>
      <c r="L17" s="5">
        <f>SUM($K$13:K17)</f>
        <v>0.18471337579617836</v>
      </c>
    </row>
    <row r="18" spans="1:12" x14ac:dyDescent="0.45">
      <c r="A18" s="2">
        <v>17930</v>
      </c>
      <c r="B18" s="4">
        <v>31.3</v>
      </c>
      <c r="C18" s="4">
        <v>-1.5999999999999979</v>
      </c>
      <c r="H18" s="6">
        <f>$R$12+($R$11/12)*(ROW()-12)</f>
        <v>5.0000000000000711E-2</v>
      </c>
      <c r="I18">
        <f>COUNTIFS($C$6:$C$947,"&gt;"&amp;H17,$C$6:$C$947,"&lt;="&amp;H18)</f>
        <v>312</v>
      </c>
      <c r="J18" t="str">
        <f>TEXT(H17,"0.00")&amp;" to "&amp;TEXT(H18,"0.00")</f>
        <v>-1.96 to 0.05</v>
      </c>
      <c r="K18" s="5">
        <f>I18/$R$15</f>
        <v>0.33121019108280253</v>
      </c>
      <c r="L18" s="5">
        <f>SUM($K$13:K18)</f>
        <v>0.51592356687898089</v>
      </c>
    </row>
    <row r="19" spans="1:12" x14ac:dyDescent="0.45">
      <c r="A19" s="2">
        <v>17958</v>
      </c>
      <c r="B19" s="4">
        <v>34.5</v>
      </c>
      <c r="C19" s="4">
        <v>3.1999999999999993</v>
      </c>
      <c r="H19" s="6">
        <f>$R$12+($R$11/12)*(ROW()-12)</f>
        <v>2.0583333333333336</v>
      </c>
      <c r="I19">
        <f>COUNTIFS($C$6:$C$947,"&gt;"&amp;H18,$C$6:$C$947,"&lt;="&amp;H19)</f>
        <v>283</v>
      </c>
      <c r="J19" t="str">
        <f>TEXT(H18,"0.00")&amp;" to "&amp;TEXT(H19,"0.00")</f>
        <v>0.05 to 2.06</v>
      </c>
      <c r="K19" s="5">
        <f>I19/$R$15</f>
        <v>0.30042462845010615</v>
      </c>
      <c r="L19" s="5">
        <f>SUM($K$13:K19)</f>
        <v>0.81634819532908698</v>
      </c>
    </row>
    <row r="20" spans="1:12" x14ac:dyDescent="0.45">
      <c r="A20" s="2">
        <v>17989</v>
      </c>
      <c r="B20" s="4">
        <v>35.5</v>
      </c>
      <c r="C20" s="4">
        <v>1</v>
      </c>
      <c r="H20" s="6">
        <f>$R$12+($R$11/12)*(ROW()-12)</f>
        <v>4.0666666666666664</v>
      </c>
      <c r="I20">
        <f>COUNTIFS($C$6:$C$947,"&gt;"&amp;H19,$C$6:$C$947,"&lt;="&amp;H20)</f>
        <v>128</v>
      </c>
      <c r="J20" t="str">
        <f>TEXT(H19,"0.00")&amp;" to "&amp;TEXT(H20,"0.00")</f>
        <v>2.06 to 4.07</v>
      </c>
      <c r="K20" s="5">
        <f>I20/$R$15</f>
        <v>0.13588110403397027</v>
      </c>
      <c r="L20" s="5">
        <f>SUM($K$13:K20)</f>
        <v>0.95222929936305722</v>
      </c>
    </row>
    <row r="21" spans="1:12" x14ac:dyDescent="0.45">
      <c r="A21" s="2">
        <v>18019</v>
      </c>
      <c r="B21" s="4">
        <v>32.6</v>
      </c>
      <c r="C21" s="4">
        <v>-2.8999999999999986</v>
      </c>
      <c r="H21" s="6">
        <f>$R$12+($R$11/12)*(ROW()-12)</f>
        <v>6.0749999999999993</v>
      </c>
      <c r="I21">
        <f>COUNTIFS($C$6:$C$947,"&gt;"&amp;H20,$C$6:$C$947,"&lt;="&amp;H21)</f>
        <v>31</v>
      </c>
      <c r="J21" t="str">
        <f>TEXT(H20,"0.00")&amp;" to "&amp;TEXT(H21,"0.00")</f>
        <v>4.07 to 6.08</v>
      </c>
      <c r="K21" s="5">
        <f>I21/$R$15</f>
        <v>3.2908704883227176E-2</v>
      </c>
      <c r="L21" s="5">
        <f>SUM($K$13:K21)</f>
        <v>0.98513800424628439</v>
      </c>
    </row>
    <row r="22" spans="1:12" x14ac:dyDescent="0.45">
      <c r="A22" s="2">
        <v>18050</v>
      </c>
      <c r="B22" s="4">
        <v>31.6</v>
      </c>
      <c r="C22" s="4">
        <v>-1</v>
      </c>
      <c r="H22" s="6">
        <f>$R$12+($R$11/12)*(ROW()-12)</f>
        <v>8.0833333333333321</v>
      </c>
      <c r="I22">
        <f>COUNTIFS($C$6:$C$947,"&gt;"&amp;H21,$C$6:$C$947,"&lt;="&amp;H22)</f>
        <v>9</v>
      </c>
      <c r="J22" t="str">
        <f>TEXT(H21,"0.00")&amp;" to "&amp;TEXT(H22,"0.00")</f>
        <v>6.08 to 8.08</v>
      </c>
      <c r="K22" s="5">
        <f>I22/$R$15</f>
        <v>9.5541401273885346E-3</v>
      </c>
      <c r="L22" s="5">
        <f>SUM($K$13:K22)</f>
        <v>0.99469214437367293</v>
      </c>
    </row>
    <row r="23" spans="1:12" x14ac:dyDescent="0.45">
      <c r="A23" s="2">
        <v>18080</v>
      </c>
      <c r="B23" s="4">
        <v>39</v>
      </c>
      <c r="C23" s="4">
        <v>7.3999999999999986</v>
      </c>
      <c r="H23" s="6">
        <f>$R$12+($R$11/12)*(ROW()-12)</f>
        <v>10.091666666666665</v>
      </c>
      <c r="I23">
        <f>COUNTIFS($C$6:$C$947,"&gt;"&amp;H22,$C$6:$C$947,"&lt;="&amp;H23)</f>
        <v>3</v>
      </c>
      <c r="J23" t="str">
        <f>TEXT(H22,"0.00")&amp;" to "&amp;TEXT(H23,"0.00")</f>
        <v>8.08 to 10.09</v>
      </c>
      <c r="K23" s="5">
        <f>I23/$R$15</f>
        <v>3.1847133757961785E-3</v>
      </c>
      <c r="L23" s="5">
        <f>SUM($K$13:K23)</f>
        <v>0.9978768577494691</v>
      </c>
    </row>
    <row r="24" spans="1:12" x14ac:dyDescent="0.45">
      <c r="A24" s="2">
        <v>18111</v>
      </c>
      <c r="B24" s="4">
        <v>47</v>
      </c>
      <c r="C24" s="4">
        <v>8</v>
      </c>
      <c r="H24" s="6">
        <f>$R$12+($R$11/12)*(ROW()-12)</f>
        <v>12.100000000000001</v>
      </c>
      <c r="I24">
        <f>COUNTIFS($C$6:$C$947,"&gt;"&amp;H23,$C$6:$C$947,"&lt;="&amp;H24)</f>
        <v>2</v>
      </c>
      <c r="J24" t="str">
        <f>TEXT(H23,"0.00")&amp;" to "&amp;TEXT(H24,"0.00")</f>
        <v>10.09 to 12.10</v>
      </c>
      <c r="K24" s="5">
        <f>I24/$R$15</f>
        <v>2.1231422505307855E-3</v>
      </c>
      <c r="L24" s="5">
        <f>SUM($K$13:K24)</f>
        <v>0.99999999999999989</v>
      </c>
    </row>
    <row r="25" spans="1:12" x14ac:dyDescent="0.45">
      <c r="A25" s="2">
        <v>18142</v>
      </c>
      <c r="B25" s="4">
        <v>52.3</v>
      </c>
      <c r="C25" s="4">
        <v>5.2999999999999972</v>
      </c>
    </row>
    <row r="26" spans="1:12" x14ac:dyDescent="0.45">
      <c r="A26" s="2">
        <v>18172</v>
      </c>
      <c r="B26" s="4">
        <v>51</v>
      </c>
      <c r="C26" s="4">
        <v>-1.2999999999999972</v>
      </c>
    </row>
    <row r="27" spans="1:12" x14ac:dyDescent="0.45">
      <c r="A27" s="2">
        <v>18203</v>
      </c>
      <c r="B27" s="4">
        <v>51</v>
      </c>
      <c r="C27" s="4">
        <v>0</v>
      </c>
    </row>
    <row r="28" spans="1:12" x14ac:dyDescent="0.45">
      <c r="A28" s="2">
        <v>18233</v>
      </c>
      <c r="B28" s="4">
        <v>57.3</v>
      </c>
      <c r="C28" s="4">
        <v>6.2999999999999972</v>
      </c>
    </row>
    <row r="29" spans="1:12" x14ac:dyDescent="0.45">
      <c r="A29" s="2">
        <v>18264</v>
      </c>
      <c r="B29" s="4">
        <v>59.1</v>
      </c>
      <c r="C29" s="4">
        <v>1.8000000000000043</v>
      </c>
    </row>
    <row r="30" spans="1:12" x14ac:dyDescent="0.45">
      <c r="A30" s="2">
        <v>18295</v>
      </c>
      <c r="B30" s="4">
        <v>60.5</v>
      </c>
      <c r="C30" s="4">
        <v>1.3999999999999986</v>
      </c>
    </row>
    <row r="31" spans="1:12" x14ac:dyDescent="0.45">
      <c r="A31" s="2">
        <v>18323</v>
      </c>
      <c r="B31" s="4">
        <v>62.1</v>
      </c>
      <c r="C31" s="4">
        <v>1.6000000000000014</v>
      </c>
    </row>
    <row r="32" spans="1:12" x14ac:dyDescent="0.45">
      <c r="A32" s="2">
        <v>18354</v>
      </c>
      <c r="B32" s="4">
        <v>68.099999999999994</v>
      </c>
      <c r="C32" s="4">
        <v>5.9999999999999929</v>
      </c>
    </row>
    <row r="33" spans="1:3" x14ac:dyDescent="0.45">
      <c r="A33" s="2">
        <v>18384</v>
      </c>
      <c r="B33" s="4">
        <v>74.7</v>
      </c>
      <c r="C33" s="4">
        <v>6.6000000000000085</v>
      </c>
    </row>
    <row r="34" spans="1:3" x14ac:dyDescent="0.45">
      <c r="A34" s="2">
        <v>18415</v>
      </c>
      <c r="B34" s="4">
        <v>76.599999999999994</v>
      </c>
      <c r="C34" s="4">
        <v>1.8999999999999915</v>
      </c>
    </row>
    <row r="35" spans="1:3" x14ac:dyDescent="0.45">
      <c r="A35" s="2">
        <v>18445</v>
      </c>
      <c r="B35" s="4">
        <v>77.5</v>
      </c>
      <c r="C35" s="4">
        <v>0.90000000000000568</v>
      </c>
    </row>
    <row r="36" spans="1:3" x14ac:dyDescent="0.45">
      <c r="A36" s="2">
        <v>18476</v>
      </c>
      <c r="B36" s="4">
        <v>75.8</v>
      </c>
      <c r="C36" s="4">
        <v>-1.7000000000000028</v>
      </c>
    </row>
    <row r="37" spans="1:3" x14ac:dyDescent="0.45">
      <c r="A37" s="2">
        <v>18507</v>
      </c>
      <c r="B37" s="4">
        <v>68.099999999999994</v>
      </c>
      <c r="C37" s="4">
        <v>-7.7000000000000028</v>
      </c>
    </row>
    <row r="38" spans="1:3" x14ac:dyDescent="0.45">
      <c r="A38" s="2">
        <v>18537</v>
      </c>
      <c r="B38" s="4">
        <v>59.2</v>
      </c>
      <c r="C38" s="4">
        <v>-8.8999999999999915</v>
      </c>
    </row>
    <row r="39" spans="1:3" x14ac:dyDescent="0.45">
      <c r="A39" s="2">
        <v>18568</v>
      </c>
      <c r="B39" s="4">
        <v>63.1</v>
      </c>
      <c r="C39" s="4">
        <v>3.8999999999999986</v>
      </c>
    </row>
    <row r="40" spans="1:3" x14ac:dyDescent="0.45">
      <c r="A40" s="2">
        <v>18598</v>
      </c>
      <c r="B40" s="4">
        <v>67.099999999999994</v>
      </c>
      <c r="C40" s="4">
        <v>3.9999999999999929</v>
      </c>
    </row>
    <row r="41" spans="1:3" x14ac:dyDescent="0.45">
      <c r="A41" s="2">
        <v>18629</v>
      </c>
      <c r="B41" s="4">
        <v>67.8</v>
      </c>
      <c r="C41" s="4">
        <v>0.70000000000000284</v>
      </c>
    </row>
    <row r="42" spans="1:3" x14ac:dyDescent="0.45">
      <c r="A42" s="2">
        <v>18660</v>
      </c>
      <c r="B42" s="4">
        <v>69.3</v>
      </c>
      <c r="C42" s="4">
        <v>1.5</v>
      </c>
    </row>
    <row r="43" spans="1:3" x14ac:dyDescent="0.45">
      <c r="A43" s="2">
        <v>18688</v>
      </c>
      <c r="B43" s="4">
        <v>65.5</v>
      </c>
      <c r="C43" s="4">
        <v>-3.7999999999999972</v>
      </c>
    </row>
    <row r="44" spans="1:3" x14ac:dyDescent="0.45">
      <c r="A44" s="2">
        <v>18719</v>
      </c>
      <c r="B44" s="4">
        <v>53.5</v>
      </c>
      <c r="C44" s="4">
        <v>-12</v>
      </c>
    </row>
    <row r="45" spans="1:3" x14ac:dyDescent="0.45">
      <c r="A45" s="2">
        <v>18749</v>
      </c>
      <c r="B45" s="4">
        <v>50.7</v>
      </c>
      <c r="C45" s="4">
        <v>-2.7999999999999972</v>
      </c>
    </row>
    <row r="46" spans="1:3" x14ac:dyDescent="0.45">
      <c r="A46" s="2">
        <v>18780</v>
      </c>
      <c r="B46" s="4">
        <v>45.5</v>
      </c>
      <c r="C46" s="4">
        <v>-5.2000000000000028</v>
      </c>
    </row>
    <row r="47" spans="1:3" x14ac:dyDescent="0.45">
      <c r="A47" s="2">
        <v>18810</v>
      </c>
      <c r="B47" s="4">
        <v>42.1</v>
      </c>
      <c r="C47" s="4">
        <v>-3.3999999999999986</v>
      </c>
    </row>
    <row r="48" spans="1:3" x14ac:dyDescent="0.45">
      <c r="A48" s="2">
        <v>18841</v>
      </c>
      <c r="B48" s="4">
        <v>43.6</v>
      </c>
      <c r="C48" s="4">
        <v>1.5</v>
      </c>
    </row>
    <row r="49" spans="1:3" x14ac:dyDescent="0.45">
      <c r="A49" s="2">
        <v>18872</v>
      </c>
      <c r="B49" s="4">
        <v>48.1</v>
      </c>
      <c r="C49" s="4">
        <v>4.5</v>
      </c>
    </row>
    <row r="50" spans="1:3" x14ac:dyDescent="0.45">
      <c r="A50" s="2">
        <v>18902</v>
      </c>
      <c r="B50" s="4">
        <v>49.6</v>
      </c>
      <c r="C50" s="4">
        <v>1.5</v>
      </c>
    </row>
    <row r="51" spans="1:3" x14ac:dyDescent="0.45">
      <c r="A51" s="2">
        <v>18933</v>
      </c>
      <c r="B51" s="4">
        <v>47.2</v>
      </c>
      <c r="C51" s="4">
        <v>-2.3999999999999986</v>
      </c>
    </row>
    <row r="52" spans="1:3" x14ac:dyDescent="0.45">
      <c r="A52" s="2">
        <v>18963</v>
      </c>
      <c r="B52" s="4">
        <v>46.5</v>
      </c>
      <c r="C52" s="4">
        <v>-0.70000000000000284</v>
      </c>
    </row>
    <row r="53" spans="1:3" x14ac:dyDescent="0.45">
      <c r="A53" s="2">
        <v>18994</v>
      </c>
      <c r="B53" s="4">
        <v>44.7</v>
      </c>
      <c r="C53" s="4">
        <v>-1.7999999999999972</v>
      </c>
    </row>
    <row r="54" spans="1:3" x14ac:dyDescent="0.45">
      <c r="A54" s="2">
        <v>19025</v>
      </c>
      <c r="B54" s="4">
        <v>41.8</v>
      </c>
      <c r="C54" s="4">
        <v>-2.9000000000000057</v>
      </c>
    </row>
    <row r="55" spans="1:3" x14ac:dyDescent="0.45">
      <c r="A55" s="2">
        <v>19054</v>
      </c>
      <c r="B55" s="4">
        <v>40</v>
      </c>
      <c r="C55" s="4">
        <v>-1.7999999999999972</v>
      </c>
    </row>
    <row r="56" spans="1:3" x14ac:dyDescent="0.45">
      <c r="A56" s="2">
        <v>19085</v>
      </c>
      <c r="B56" s="4">
        <v>36.700000000000003</v>
      </c>
      <c r="C56" s="4">
        <v>-3.2999999999999972</v>
      </c>
    </row>
    <row r="57" spans="1:3" x14ac:dyDescent="0.45">
      <c r="A57" s="2">
        <v>19115</v>
      </c>
      <c r="B57" s="4">
        <v>39.5</v>
      </c>
      <c r="C57" s="4">
        <v>2.7999999999999972</v>
      </c>
    </row>
    <row r="58" spans="1:3" x14ac:dyDescent="0.45">
      <c r="A58" s="2">
        <v>19146</v>
      </c>
      <c r="B58" s="4">
        <v>43.3</v>
      </c>
      <c r="C58" s="4">
        <v>3.7999999999999972</v>
      </c>
    </row>
    <row r="59" spans="1:3" x14ac:dyDescent="0.45">
      <c r="A59" s="2">
        <v>19176</v>
      </c>
      <c r="B59" s="4">
        <v>48.3</v>
      </c>
      <c r="C59" s="4">
        <v>5</v>
      </c>
    </row>
    <row r="60" spans="1:3" x14ac:dyDescent="0.45">
      <c r="A60" s="2">
        <v>19207</v>
      </c>
      <c r="B60" s="4">
        <v>60.4</v>
      </c>
      <c r="C60" s="4">
        <v>12.100000000000001</v>
      </c>
    </row>
    <row r="61" spans="1:3" x14ac:dyDescent="0.45">
      <c r="A61" s="2">
        <v>19238</v>
      </c>
      <c r="B61" s="4">
        <v>56.1</v>
      </c>
      <c r="C61" s="4">
        <v>-4.2999999999999972</v>
      </c>
    </row>
    <row r="62" spans="1:3" x14ac:dyDescent="0.45">
      <c r="A62" s="2">
        <v>19268</v>
      </c>
      <c r="B62" s="4">
        <v>56.2</v>
      </c>
      <c r="C62" s="4">
        <v>0.10000000000000142</v>
      </c>
    </row>
    <row r="63" spans="1:3" x14ac:dyDescent="0.45">
      <c r="A63" s="2">
        <v>19299</v>
      </c>
      <c r="B63" s="4">
        <v>56.8</v>
      </c>
      <c r="C63" s="4">
        <v>0.59999999999999432</v>
      </c>
    </row>
    <row r="64" spans="1:3" x14ac:dyDescent="0.45">
      <c r="A64" s="2">
        <v>19329</v>
      </c>
      <c r="B64" s="4">
        <v>55.8</v>
      </c>
      <c r="C64" s="4">
        <v>-1</v>
      </c>
    </row>
    <row r="65" spans="1:3" x14ac:dyDescent="0.45">
      <c r="A65" s="2">
        <v>19360</v>
      </c>
      <c r="B65" s="4">
        <v>59.4</v>
      </c>
      <c r="C65" s="4">
        <v>3.6000000000000014</v>
      </c>
    </row>
    <row r="66" spans="1:3" x14ac:dyDescent="0.45">
      <c r="A66" s="2">
        <v>19391</v>
      </c>
      <c r="B66" s="4">
        <v>55.4</v>
      </c>
      <c r="C66" s="4">
        <v>-4</v>
      </c>
    </row>
    <row r="67" spans="1:3" x14ac:dyDescent="0.45">
      <c r="A67" s="2">
        <v>19419</v>
      </c>
      <c r="B67" s="4">
        <v>50.5</v>
      </c>
      <c r="C67" s="4">
        <v>-4.8999999999999986</v>
      </c>
    </row>
    <row r="68" spans="1:3" x14ac:dyDescent="0.45">
      <c r="A68" s="2">
        <v>19450</v>
      </c>
      <c r="B68" s="4">
        <v>51.1</v>
      </c>
      <c r="C68" s="4">
        <v>0.60000000000000142</v>
      </c>
    </row>
    <row r="69" spans="1:3" x14ac:dyDescent="0.45">
      <c r="A69" s="2">
        <v>19480</v>
      </c>
      <c r="B69" s="4">
        <v>48.9</v>
      </c>
      <c r="C69" s="4">
        <v>-2.2000000000000028</v>
      </c>
    </row>
    <row r="70" spans="1:3" x14ac:dyDescent="0.45">
      <c r="A70" s="2">
        <v>19511</v>
      </c>
      <c r="B70" s="4">
        <v>48.5</v>
      </c>
      <c r="C70" s="4">
        <v>-0.39999999999999858</v>
      </c>
    </row>
    <row r="71" spans="1:3" x14ac:dyDescent="0.45">
      <c r="A71" s="2">
        <v>19541</v>
      </c>
      <c r="B71" s="4">
        <v>46.3</v>
      </c>
      <c r="C71" s="4">
        <v>-2.2000000000000028</v>
      </c>
    </row>
    <row r="72" spans="1:3" x14ac:dyDescent="0.45">
      <c r="A72" s="2">
        <v>19572</v>
      </c>
      <c r="B72" s="4">
        <v>43.5</v>
      </c>
      <c r="C72" s="4">
        <v>-2.7999999999999972</v>
      </c>
    </row>
    <row r="73" spans="1:3" x14ac:dyDescent="0.45">
      <c r="A73" s="2">
        <v>19603</v>
      </c>
      <c r="B73" s="4">
        <v>40.200000000000003</v>
      </c>
      <c r="C73" s="4">
        <v>-3.2999999999999972</v>
      </c>
    </row>
    <row r="74" spans="1:3" x14ac:dyDescent="0.45">
      <c r="A74" s="2">
        <v>19633</v>
      </c>
      <c r="B74" s="4">
        <v>37.4</v>
      </c>
      <c r="C74" s="4">
        <v>-2.8000000000000043</v>
      </c>
    </row>
    <row r="75" spans="1:3" x14ac:dyDescent="0.45">
      <c r="A75" s="2">
        <v>19664</v>
      </c>
      <c r="B75" s="4">
        <v>36.9</v>
      </c>
      <c r="C75" s="4">
        <v>-0.5</v>
      </c>
    </row>
    <row r="76" spans="1:3" x14ac:dyDescent="0.45">
      <c r="A76" s="2">
        <v>19694</v>
      </c>
      <c r="B76" s="4">
        <v>35.6</v>
      </c>
      <c r="C76" s="4">
        <v>-1.2999999999999972</v>
      </c>
    </row>
    <row r="77" spans="1:3" x14ac:dyDescent="0.45">
      <c r="A77" s="2">
        <v>19725</v>
      </c>
      <c r="B77" s="4">
        <v>37.4</v>
      </c>
      <c r="C77" s="4">
        <v>1.7999999999999972</v>
      </c>
    </row>
    <row r="78" spans="1:3" x14ac:dyDescent="0.45">
      <c r="A78" s="2">
        <v>19756</v>
      </c>
      <c r="B78" s="4">
        <v>40.700000000000003</v>
      </c>
      <c r="C78" s="4">
        <v>3.3000000000000043</v>
      </c>
    </row>
    <row r="79" spans="1:3" x14ac:dyDescent="0.45">
      <c r="A79" s="2">
        <v>19784</v>
      </c>
      <c r="B79" s="4">
        <v>44.7</v>
      </c>
      <c r="C79" s="4">
        <v>4</v>
      </c>
    </row>
    <row r="80" spans="1:3" x14ac:dyDescent="0.45">
      <c r="A80" s="2">
        <v>19815</v>
      </c>
      <c r="B80" s="4">
        <v>47.7</v>
      </c>
      <c r="C80" s="4">
        <v>3</v>
      </c>
    </row>
    <row r="81" spans="1:3" x14ac:dyDescent="0.45">
      <c r="A81" s="2">
        <v>19845</v>
      </c>
      <c r="B81" s="4">
        <v>50.1</v>
      </c>
      <c r="C81" s="4">
        <v>2.3999999999999986</v>
      </c>
    </row>
    <row r="82" spans="1:3" x14ac:dyDescent="0.45">
      <c r="A82" s="2">
        <v>19876</v>
      </c>
      <c r="B82" s="4">
        <v>52.1</v>
      </c>
      <c r="C82" s="4">
        <v>2</v>
      </c>
    </row>
    <row r="83" spans="1:3" x14ac:dyDescent="0.45">
      <c r="A83" s="2">
        <v>19906</v>
      </c>
      <c r="B83" s="4">
        <v>51.7</v>
      </c>
      <c r="C83" s="4">
        <v>-0.39999999999999858</v>
      </c>
    </row>
    <row r="84" spans="1:3" x14ac:dyDescent="0.45">
      <c r="A84" s="2">
        <v>19937</v>
      </c>
      <c r="B84" s="4">
        <v>54.4</v>
      </c>
      <c r="C84" s="4">
        <v>2.6999999999999957</v>
      </c>
    </row>
    <row r="85" spans="1:3" x14ac:dyDescent="0.45">
      <c r="A85" s="2">
        <v>19968</v>
      </c>
      <c r="B85" s="4">
        <v>53.5</v>
      </c>
      <c r="C85" s="4">
        <v>-0.89999999999999858</v>
      </c>
    </row>
    <row r="86" spans="1:3" x14ac:dyDescent="0.45">
      <c r="A86" s="2">
        <v>19998</v>
      </c>
      <c r="B86" s="4">
        <v>58.2</v>
      </c>
      <c r="C86" s="4">
        <v>4.7000000000000028</v>
      </c>
    </row>
    <row r="87" spans="1:3" x14ac:dyDescent="0.45">
      <c r="A87" s="2">
        <v>20029</v>
      </c>
      <c r="B87" s="4">
        <v>58.8</v>
      </c>
      <c r="C87" s="4">
        <v>0.59999999999999432</v>
      </c>
    </row>
    <row r="88" spans="1:3" x14ac:dyDescent="0.45">
      <c r="A88" s="2">
        <v>20059</v>
      </c>
      <c r="B88" s="4">
        <v>63.8</v>
      </c>
      <c r="C88" s="4">
        <v>5</v>
      </c>
    </row>
    <row r="89" spans="1:3" x14ac:dyDescent="0.45">
      <c r="A89" s="2">
        <v>20090</v>
      </c>
      <c r="B89" s="4">
        <v>63</v>
      </c>
      <c r="C89" s="4">
        <v>-0.79999999999999716</v>
      </c>
    </row>
    <row r="90" spans="1:3" x14ac:dyDescent="0.45">
      <c r="A90" s="2">
        <v>20121</v>
      </c>
      <c r="B90" s="4">
        <v>67.8</v>
      </c>
      <c r="C90" s="4">
        <v>4.7999999999999972</v>
      </c>
    </row>
    <row r="91" spans="1:3" x14ac:dyDescent="0.45">
      <c r="A91" s="2">
        <v>20149</v>
      </c>
      <c r="B91" s="4">
        <v>67.5</v>
      </c>
      <c r="C91" s="4">
        <v>-0.29999999999999716</v>
      </c>
    </row>
    <row r="92" spans="1:3" x14ac:dyDescent="0.45">
      <c r="A92" s="2">
        <v>20180</v>
      </c>
      <c r="B92" s="4">
        <v>68.7</v>
      </c>
      <c r="C92" s="4">
        <v>1.2000000000000028</v>
      </c>
    </row>
    <row r="93" spans="1:3" x14ac:dyDescent="0.45">
      <c r="A93" s="2">
        <v>20210</v>
      </c>
      <c r="B93" s="4">
        <v>69.5</v>
      </c>
      <c r="C93" s="4">
        <v>0.79999999999999716</v>
      </c>
    </row>
    <row r="94" spans="1:3" x14ac:dyDescent="0.45">
      <c r="A94" s="2">
        <v>20241</v>
      </c>
      <c r="B94" s="4">
        <v>63.3</v>
      </c>
      <c r="C94" s="4">
        <v>-6.2000000000000028</v>
      </c>
    </row>
    <row r="95" spans="1:3" x14ac:dyDescent="0.45">
      <c r="A95" s="2">
        <v>20271</v>
      </c>
      <c r="B95" s="4">
        <v>66.2</v>
      </c>
      <c r="C95" s="4">
        <v>2.9000000000000057</v>
      </c>
    </row>
    <row r="96" spans="1:3" x14ac:dyDescent="0.45">
      <c r="A96" s="2">
        <v>20302</v>
      </c>
      <c r="B96" s="4">
        <v>64.8</v>
      </c>
      <c r="C96" s="4">
        <v>-1.4000000000000057</v>
      </c>
    </row>
    <row r="97" spans="1:3" x14ac:dyDescent="0.45">
      <c r="A97" s="2">
        <v>20333</v>
      </c>
      <c r="B97" s="4">
        <v>62.4</v>
      </c>
      <c r="C97" s="4">
        <v>-2.3999999999999986</v>
      </c>
    </row>
    <row r="98" spans="1:3" x14ac:dyDescent="0.45">
      <c r="A98" s="2">
        <v>20363</v>
      </c>
      <c r="B98" s="4">
        <v>63.7</v>
      </c>
      <c r="C98" s="4">
        <v>1.3000000000000043</v>
      </c>
    </row>
    <row r="99" spans="1:3" x14ac:dyDescent="0.45">
      <c r="A99" s="2">
        <v>20394</v>
      </c>
      <c r="B99" s="4">
        <v>62</v>
      </c>
      <c r="C99" s="4">
        <v>-1.7000000000000028</v>
      </c>
    </row>
    <row r="100" spans="1:3" x14ac:dyDescent="0.45">
      <c r="A100" s="2">
        <v>20424</v>
      </c>
      <c r="B100" s="4">
        <v>65.599999999999994</v>
      </c>
      <c r="C100" s="4">
        <v>3.5999999999999943</v>
      </c>
    </row>
    <row r="101" spans="1:3" x14ac:dyDescent="0.45">
      <c r="A101" s="2">
        <v>20455</v>
      </c>
      <c r="B101" s="4">
        <v>60.2</v>
      </c>
      <c r="C101" s="4">
        <v>-5.3999999999999915</v>
      </c>
    </row>
    <row r="102" spans="1:3" x14ac:dyDescent="0.45">
      <c r="A102" s="2">
        <v>20486</v>
      </c>
      <c r="B102" s="4">
        <v>58.2</v>
      </c>
      <c r="C102" s="4">
        <v>-2</v>
      </c>
    </row>
    <row r="103" spans="1:3" x14ac:dyDescent="0.45">
      <c r="A103" s="2">
        <v>20515</v>
      </c>
      <c r="B103" s="4">
        <v>57.2</v>
      </c>
      <c r="C103" s="4">
        <v>-1</v>
      </c>
    </row>
    <row r="104" spans="1:3" x14ac:dyDescent="0.45">
      <c r="A104" s="2">
        <v>20546</v>
      </c>
      <c r="B104" s="4">
        <v>55.9</v>
      </c>
      <c r="C104" s="4">
        <v>-1.3000000000000043</v>
      </c>
    </row>
    <row r="105" spans="1:3" x14ac:dyDescent="0.45">
      <c r="A105" s="2">
        <v>20576</v>
      </c>
      <c r="B105" s="4">
        <v>51.2</v>
      </c>
      <c r="C105" s="4">
        <v>-4.6999999999999957</v>
      </c>
    </row>
    <row r="106" spans="1:3" x14ac:dyDescent="0.45">
      <c r="A106" s="2">
        <v>20607</v>
      </c>
      <c r="B106" s="4">
        <v>47.7</v>
      </c>
      <c r="C106" s="4">
        <v>-3.5</v>
      </c>
    </row>
    <row r="107" spans="1:3" x14ac:dyDescent="0.45">
      <c r="A107" s="2">
        <v>20637</v>
      </c>
      <c r="B107" s="4">
        <v>44.2</v>
      </c>
      <c r="C107" s="4">
        <v>-3.5</v>
      </c>
    </row>
    <row r="108" spans="1:3" x14ac:dyDescent="0.45">
      <c r="A108" s="2">
        <v>20668</v>
      </c>
      <c r="B108" s="4">
        <v>51.5</v>
      </c>
      <c r="C108" s="4">
        <v>7.2999999999999972</v>
      </c>
    </row>
    <row r="109" spans="1:3" x14ac:dyDescent="0.45">
      <c r="A109" s="2">
        <v>20699</v>
      </c>
      <c r="B109" s="4">
        <v>55.5</v>
      </c>
      <c r="C109" s="4">
        <v>4</v>
      </c>
    </row>
    <row r="110" spans="1:3" x14ac:dyDescent="0.45">
      <c r="A110" s="2">
        <v>20729</v>
      </c>
      <c r="B110" s="4">
        <v>52.7</v>
      </c>
      <c r="C110" s="4">
        <v>-2.7999999999999972</v>
      </c>
    </row>
    <row r="111" spans="1:3" x14ac:dyDescent="0.45">
      <c r="A111" s="2">
        <v>20760</v>
      </c>
      <c r="B111" s="4">
        <v>55</v>
      </c>
      <c r="C111" s="4">
        <v>2.2999999999999972</v>
      </c>
    </row>
    <row r="112" spans="1:3" x14ac:dyDescent="0.45">
      <c r="A112" s="2">
        <v>20790</v>
      </c>
      <c r="B112" s="4">
        <v>52.7</v>
      </c>
      <c r="C112" s="4">
        <v>-2.2999999999999972</v>
      </c>
    </row>
    <row r="113" spans="1:3" x14ac:dyDescent="0.45">
      <c r="A113" s="2">
        <v>20821</v>
      </c>
      <c r="B113" s="4">
        <v>53.6</v>
      </c>
      <c r="C113" s="4">
        <v>0.89999999999999858</v>
      </c>
    </row>
    <row r="114" spans="1:3" x14ac:dyDescent="0.45">
      <c r="A114" s="2">
        <v>20852</v>
      </c>
      <c r="B114" s="4">
        <v>51</v>
      </c>
      <c r="C114" s="4">
        <v>-2.6000000000000014</v>
      </c>
    </row>
    <row r="115" spans="1:3" x14ac:dyDescent="0.45">
      <c r="A115" s="2">
        <v>20880</v>
      </c>
      <c r="B115" s="4">
        <v>47.5</v>
      </c>
      <c r="C115" s="4">
        <v>-3.5</v>
      </c>
    </row>
    <row r="116" spans="1:3" x14ac:dyDescent="0.45">
      <c r="A116" s="2">
        <v>20911</v>
      </c>
      <c r="B116" s="4">
        <v>43.1</v>
      </c>
      <c r="C116" s="4">
        <v>-4.3999999999999986</v>
      </c>
    </row>
    <row r="117" spans="1:3" x14ac:dyDescent="0.45">
      <c r="A117" s="2">
        <v>20941</v>
      </c>
      <c r="B117" s="4">
        <v>43.4</v>
      </c>
      <c r="C117" s="4">
        <v>0.29999999999999716</v>
      </c>
    </row>
    <row r="118" spans="1:3" x14ac:dyDescent="0.45">
      <c r="A118" s="2">
        <v>20972</v>
      </c>
      <c r="B118" s="4">
        <v>45.9</v>
      </c>
      <c r="C118" s="4">
        <v>2.5</v>
      </c>
    </row>
    <row r="119" spans="1:3" x14ac:dyDescent="0.45">
      <c r="A119" s="2">
        <v>21002</v>
      </c>
      <c r="B119" s="4">
        <v>45.7</v>
      </c>
      <c r="C119" s="4">
        <v>-0.19999999999999574</v>
      </c>
    </row>
    <row r="120" spans="1:3" x14ac:dyDescent="0.45">
      <c r="A120" s="2">
        <v>21033</v>
      </c>
      <c r="B120" s="4">
        <v>45.3</v>
      </c>
      <c r="C120" s="4">
        <v>-0.40000000000000568</v>
      </c>
    </row>
    <row r="121" spans="1:3" x14ac:dyDescent="0.45">
      <c r="A121" s="2">
        <v>21064</v>
      </c>
      <c r="B121" s="4">
        <v>45.8</v>
      </c>
      <c r="C121" s="4">
        <v>0.5</v>
      </c>
    </row>
    <row r="122" spans="1:3" x14ac:dyDescent="0.45">
      <c r="A122" s="2">
        <v>21094</v>
      </c>
      <c r="B122" s="4">
        <v>41.1</v>
      </c>
      <c r="C122" s="4">
        <v>-4.6999999999999957</v>
      </c>
    </row>
    <row r="123" spans="1:3" x14ac:dyDescent="0.45">
      <c r="A123" s="2">
        <v>21125</v>
      </c>
      <c r="B123" s="4">
        <v>40.4</v>
      </c>
      <c r="C123" s="4">
        <v>-0.70000000000000284</v>
      </c>
    </row>
    <row r="124" spans="1:3" x14ac:dyDescent="0.45">
      <c r="A124" s="2">
        <v>21155</v>
      </c>
      <c r="B124" s="4">
        <v>36.799999999999997</v>
      </c>
      <c r="C124" s="4">
        <v>-3.6000000000000014</v>
      </c>
    </row>
    <row r="125" spans="1:3" x14ac:dyDescent="0.45">
      <c r="A125" s="2">
        <v>21186</v>
      </c>
      <c r="B125" s="4">
        <v>33.4</v>
      </c>
      <c r="C125" s="4">
        <v>-3.3999999999999986</v>
      </c>
    </row>
    <row r="126" spans="1:3" x14ac:dyDescent="0.45">
      <c r="A126" s="2">
        <v>21217</v>
      </c>
      <c r="B126" s="4">
        <v>37.200000000000003</v>
      </c>
      <c r="C126" s="4">
        <v>3.8000000000000043</v>
      </c>
    </row>
    <row r="127" spans="1:3" x14ac:dyDescent="0.45">
      <c r="A127" s="2">
        <v>21245</v>
      </c>
      <c r="B127" s="4">
        <v>39.799999999999997</v>
      </c>
      <c r="C127" s="4">
        <v>2.5999999999999943</v>
      </c>
    </row>
    <row r="128" spans="1:3" x14ac:dyDescent="0.45">
      <c r="A128" s="2">
        <v>21276</v>
      </c>
      <c r="B128" s="4">
        <v>39.1</v>
      </c>
      <c r="C128" s="4">
        <v>-0.69999999999999574</v>
      </c>
    </row>
    <row r="129" spans="1:3" x14ac:dyDescent="0.45">
      <c r="A129" s="2">
        <v>21306</v>
      </c>
      <c r="B129" s="4">
        <v>46.6</v>
      </c>
      <c r="C129" s="4">
        <v>7.5</v>
      </c>
    </row>
    <row r="130" spans="1:3" x14ac:dyDescent="0.45">
      <c r="A130" s="2">
        <v>21337</v>
      </c>
      <c r="B130" s="4">
        <v>51.4</v>
      </c>
      <c r="C130" s="4">
        <v>4.7999999999999972</v>
      </c>
    </row>
    <row r="131" spans="1:3" x14ac:dyDescent="0.45">
      <c r="A131" s="2">
        <v>21367</v>
      </c>
      <c r="B131" s="4">
        <v>54.7</v>
      </c>
      <c r="C131" s="4">
        <v>3.3000000000000043</v>
      </c>
    </row>
    <row r="132" spans="1:3" x14ac:dyDescent="0.45">
      <c r="A132" s="2">
        <v>21398</v>
      </c>
      <c r="B132" s="4">
        <v>57.3</v>
      </c>
      <c r="C132" s="4">
        <v>2.5999999999999943</v>
      </c>
    </row>
    <row r="133" spans="1:3" x14ac:dyDescent="0.45">
      <c r="A133" s="2">
        <v>21429</v>
      </c>
      <c r="B133" s="4">
        <v>59.8</v>
      </c>
      <c r="C133" s="4">
        <v>2.5</v>
      </c>
    </row>
    <row r="134" spans="1:3" x14ac:dyDescent="0.45">
      <c r="A134" s="2">
        <v>21459</v>
      </c>
      <c r="B134" s="4">
        <v>62.3</v>
      </c>
      <c r="C134" s="4">
        <v>2.5</v>
      </c>
    </row>
    <row r="135" spans="1:3" x14ac:dyDescent="0.45">
      <c r="A135" s="2">
        <v>21490</v>
      </c>
      <c r="B135" s="4">
        <v>62.7</v>
      </c>
      <c r="C135" s="4">
        <v>0.40000000000000568</v>
      </c>
    </row>
    <row r="136" spans="1:3" x14ac:dyDescent="0.45">
      <c r="A136" s="2">
        <v>21520</v>
      </c>
      <c r="B136" s="4">
        <v>60.5</v>
      </c>
      <c r="C136" s="4">
        <v>-2.2000000000000028</v>
      </c>
    </row>
    <row r="137" spans="1:3" x14ac:dyDescent="0.45">
      <c r="A137" s="2">
        <v>21551</v>
      </c>
      <c r="B137" s="4">
        <v>64.400000000000006</v>
      </c>
      <c r="C137" s="4">
        <v>3.9000000000000057</v>
      </c>
    </row>
    <row r="138" spans="1:3" x14ac:dyDescent="0.45">
      <c r="A138" s="2">
        <v>21582</v>
      </c>
      <c r="B138" s="4">
        <v>66.900000000000006</v>
      </c>
      <c r="C138" s="4">
        <v>2.5</v>
      </c>
    </row>
    <row r="139" spans="1:3" x14ac:dyDescent="0.45">
      <c r="A139" s="2">
        <v>21610</v>
      </c>
      <c r="B139" s="4">
        <v>67.099999999999994</v>
      </c>
      <c r="C139" s="4">
        <v>0.19999999999998863</v>
      </c>
    </row>
    <row r="140" spans="1:3" x14ac:dyDescent="0.45">
      <c r="A140" s="2">
        <v>21641</v>
      </c>
      <c r="B140" s="4">
        <v>66.900000000000006</v>
      </c>
      <c r="C140" s="4">
        <v>-0.19999999999998863</v>
      </c>
    </row>
    <row r="141" spans="1:3" x14ac:dyDescent="0.45">
      <c r="A141" s="2">
        <v>21671</v>
      </c>
      <c r="B141" s="4">
        <v>68.2</v>
      </c>
      <c r="C141" s="4">
        <v>1.2999999999999972</v>
      </c>
    </row>
    <row r="142" spans="1:3" x14ac:dyDescent="0.45">
      <c r="A142" s="2">
        <v>21702</v>
      </c>
      <c r="B142" s="4">
        <v>64.400000000000006</v>
      </c>
      <c r="C142" s="4">
        <v>-3.7999999999999972</v>
      </c>
    </row>
    <row r="143" spans="1:3" x14ac:dyDescent="0.45">
      <c r="A143" s="2">
        <v>21732</v>
      </c>
      <c r="B143" s="4">
        <v>61.5</v>
      </c>
      <c r="C143" s="4">
        <v>-2.9000000000000057</v>
      </c>
    </row>
    <row r="144" spans="1:3" x14ac:dyDescent="0.45">
      <c r="A144" s="2">
        <v>21763</v>
      </c>
      <c r="B144" s="4">
        <v>55.1</v>
      </c>
      <c r="C144" s="4">
        <v>-6.3999999999999986</v>
      </c>
    </row>
    <row r="145" spans="1:3" x14ac:dyDescent="0.45">
      <c r="A145" s="2">
        <v>21794</v>
      </c>
      <c r="B145" s="4">
        <v>48.3</v>
      </c>
      <c r="C145" s="4">
        <v>-6.8000000000000043</v>
      </c>
    </row>
    <row r="146" spans="1:3" x14ac:dyDescent="0.45">
      <c r="A146" s="2">
        <v>21824</v>
      </c>
      <c r="B146" s="4">
        <v>49.7</v>
      </c>
      <c r="C146" s="4">
        <v>1.4000000000000057</v>
      </c>
    </row>
    <row r="147" spans="1:3" x14ac:dyDescent="0.45">
      <c r="A147" s="2">
        <v>21855</v>
      </c>
      <c r="B147" s="4">
        <v>50.6</v>
      </c>
      <c r="C147" s="4">
        <v>0.89999999999999858</v>
      </c>
    </row>
    <row r="148" spans="1:3" x14ac:dyDescent="0.45">
      <c r="A148" s="2">
        <v>21885</v>
      </c>
      <c r="B148" s="4">
        <v>58.2</v>
      </c>
      <c r="C148" s="4">
        <v>7.6000000000000014</v>
      </c>
    </row>
    <row r="149" spans="1:3" x14ac:dyDescent="0.45">
      <c r="A149" s="2">
        <v>21916</v>
      </c>
      <c r="B149" s="4">
        <v>61.5</v>
      </c>
      <c r="C149" s="4">
        <v>3.2999999999999972</v>
      </c>
    </row>
    <row r="150" spans="1:3" x14ac:dyDescent="0.45">
      <c r="A150" s="2">
        <v>21947</v>
      </c>
      <c r="B150" s="4">
        <v>52.3</v>
      </c>
      <c r="C150" s="4">
        <v>-9.2000000000000028</v>
      </c>
    </row>
    <row r="151" spans="1:3" x14ac:dyDescent="0.45">
      <c r="A151" s="2">
        <v>21976</v>
      </c>
      <c r="B151" s="4">
        <v>47.8</v>
      </c>
      <c r="C151" s="4">
        <v>-4.5</v>
      </c>
    </row>
    <row r="152" spans="1:3" x14ac:dyDescent="0.45">
      <c r="A152" s="2">
        <v>22007</v>
      </c>
      <c r="B152" s="4">
        <v>45.3</v>
      </c>
      <c r="C152" s="4">
        <v>-2.5</v>
      </c>
    </row>
    <row r="153" spans="1:3" x14ac:dyDescent="0.45">
      <c r="A153" s="2">
        <v>22037</v>
      </c>
      <c r="B153" s="4">
        <v>42.6</v>
      </c>
      <c r="C153" s="4">
        <v>-2.6999999999999957</v>
      </c>
    </row>
    <row r="154" spans="1:3" x14ac:dyDescent="0.45">
      <c r="A154" s="2">
        <v>22068</v>
      </c>
      <c r="B154" s="4">
        <v>44.4</v>
      </c>
      <c r="C154" s="4">
        <v>1.7999999999999972</v>
      </c>
    </row>
    <row r="155" spans="1:3" x14ac:dyDescent="0.45">
      <c r="A155" s="2">
        <v>22098</v>
      </c>
      <c r="B155" s="4">
        <v>43.7</v>
      </c>
      <c r="C155" s="4">
        <v>-0.69999999999999574</v>
      </c>
    </row>
    <row r="156" spans="1:3" x14ac:dyDescent="0.45">
      <c r="A156" s="2">
        <v>22129</v>
      </c>
      <c r="B156" s="4">
        <v>47.6</v>
      </c>
      <c r="C156" s="4">
        <v>3.8999999999999986</v>
      </c>
    </row>
    <row r="157" spans="1:3" x14ac:dyDescent="0.45">
      <c r="A157" s="2">
        <v>22160</v>
      </c>
      <c r="B157" s="4">
        <v>45.4</v>
      </c>
      <c r="C157" s="4">
        <v>-2.2000000000000028</v>
      </c>
    </row>
    <row r="158" spans="1:3" x14ac:dyDescent="0.45">
      <c r="A158" s="2">
        <v>22190</v>
      </c>
      <c r="B158" s="4">
        <v>46</v>
      </c>
      <c r="C158" s="4">
        <v>0.60000000000000142</v>
      </c>
    </row>
    <row r="159" spans="1:3" x14ac:dyDescent="0.45">
      <c r="A159" s="2">
        <v>22221</v>
      </c>
      <c r="B159" s="4">
        <v>44.3</v>
      </c>
      <c r="C159" s="4">
        <v>-1.7000000000000028</v>
      </c>
    </row>
    <row r="160" spans="1:3" x14ac:dyDescent="0.45">
      <c r="A160" s="2">
        <v>22251</v>
      </c>
      <c r="B160" s="4">
        <v>44.3</v>
      </c>
      <c r="C160" s="4">
        <v>0</v>
      </c>
    </row>
    <row r="161" spans="1:3" x14ac:dyDescent="0.45">
      <c r="A161" s="2">
        <v>22282</v>
      </c>
      <c r="B161" s="4">
        <v>43.9</v>
      </c>
      <c r="C161" s="4">
        <v>-0.39999999999999858</v>
      </c>
    </row>
    <row r="162" spans="1:3" x14ac:dyDescent="0.45">
      <c r="A162" s="2">
        <v>22313</v>
      </c>
      <c r="B162" s="4">
        <v>43.6</v>
      </c>
      <c r="C162" s="4">
        <v>-0.29999999999999716</v>
      </c>
    </row>
    <row r="163" spans="1:3" x14ac:dyDescent="0.45">
      <c r="A163" s="2">
        <v>22341</v>
      </c>
      <c r="B163" s="4">
        <v>49.1</v>
      </c>
      <c r="C163" s="4">
        <v>5.5</v>
      </c>
    </row>
    <row r="164" spans="1:3" x14ac:dyDescent="0.45">
      <c r="A164" s="2">
        <v>22372</v>
      </c>
      <c r="B164" s="4">
        <v>57.6</v>
      </c>
      <c r="C164" s="4">
        <v>8.5</v>
      </c>
    </row>
    <row r="165" spans="1:3" x14ac:dyDescent="0.45">
      <c r="A165" s="2">
        <v>22402</v>
      </c>
      <c r="B165" s="4">
        <v>58.9</v>
      </c>
      <c r="C165" s="4">
        <v>1.2999999999999972</v>
      </c>
    </row>
    <row r="166" spans="1:3" x14ac:dyDescent="0.45">
      <c r="A166" s="2">
        <v>22433</v>
      </c>
      <c r="B166" s="4">
        <v>58.1</v>
      </c>
      <c r="C166" s="4">
        <v>-0.79999999999999716</v>
      </c>
    </row>
    <row r="167" spans="1:3" x14ac:dyDescent="0.45">
      <c r="A167" s="2">
        <v>22463</v>
      </c>
      <c r="B167" s="4">
        <v>58.2</v>
      </c>
      <c r="C167" s="4">
        <v>0.10000000000000142</v>
      </c>
    </row>
    <row r="168" spans="1:3" x14ac:dyDescent="0.45">
      <c r="A168" s="2">
        <v>22494</v>
      </c>
      <c r="B168" s="4">
        <v>60.7</v>
      </c>
      <c r="C168" s="4">
        <v>2.5</v>
      </c>
    </row>
    <row r="169" spans="1:3" x14ac:dyDescent="0.45">
      <c r="A169" s="2">
        <v>22525</v>
      </c>
      <c r="B169" s="4">
        <v>63</v>
      </c>
      <c r="C169" s="4">
        <v>2.2999999999999972</v>
      </c>
    </row>
    <row r="170" spans="1:3" x14ac:dyDescent="0.45">
      <c r="A170" s="2">
        <v>22555</v>
      </c>
      <c r="B170" s="4">
        <v>62.2</v>
      </c>
      <c r="C170" s="4">
        <v>-0.79999999999999716</v>
      </c>
    </row>
    <row r="171" spans="1:3" x14ac:dyDescent="0.45">
      <c r="A171" s="2">
        <v>22586</v>
      </c>
      <c r="B171" s="4">
        <v>59</v>
      </c>
      <c r="C171" s="4">
        <v>-3.2000000000000028</v>
      </c>
    </row>
    <row r="172" spans="1:3" x14ac:dyDescent="0.45">
      <c r="A172" s="2">
        <v>22616</v>
      </c>
      <c r="B172" s="4">
        <v>64.2</v>
      </c>
      <c r="C172" s="4">
        <v>5.2000000000000028</v>
      </c>
    </row>
    <row r="173" spans="1:3" x14ac:dyDescent="0.45">
      <c r="A173" s="2">
        <v>22647</v>
      </c>
      <c r="B173" s="4">
        <v>60.9</v>
      </c>
      <c r="C173" s="4">
        <v>-3.3000000000000043</v>
      </c>
    </row>
    <row r="174" spans="1:3" x14ac:dyDescent="0.45">
      <c r="A174" s="2">
        <v>22678</v>
      </c>
      <c r="B174" s="4">
        <v>61.1</v>
      </c>
      <c r="C174" s="4">
        <v>0.20000000000000284</v>
      </c>
    </row>
    <row r="175" spans="1:3" x14ac:dyDescent="0.45">
      <c r="A175" s="2">
        <v>22706</v>
      </c>
      <c r="B175" s="4">
        <v>60.6</v>
      </c>
      <c r="C175" s="4">
        <v>-0.5</v>
      </c>
    </row>
    <row r="176" spans="1:3" x14ac:dyDescent="0.45">
      <c r="A176" s="2">
        <v>22737</v>
      </c>
      <c r="B176" s="4">
        <v>55.1</v>
      </c>
      <c r="C176" s="4">
        <v>-5.5</v>
      </c>
    </row>
    <row r="177" spans="1:3" x14ac:dyDescent="0.45">
      <c r="A177" s="2">
        <v>22767</v>
      </c>
      <c r="B177" s="4">
        <v>52.2</v>
      </c>
      <c r="C177" s="4">
        <v>-2.8999999999999986</v>
      </c>
    </row>
    <row r="178" spans="1:3" x14ac:dyDescent="0.45">
      <c r="A178" s="2">
        <v>22798</v>
      </c>
      <c r="B178" s="4">
        <v>50.8</v>
      </c>
      <c r="C178" s="4">
        <v>-1.4000000000000057</v>
      </c>
    </row>
    <row r="179" spans="1:3" x14ac:dyDescent="0.45">
      <c r="A179" s="2">
        <v>22828</v>
      </c>
      <c r="B179" s="4">
        <v>51</v>
      </c>
      <c r="C179" s="4">
        <v>0.20000000000000284</v>
      </c>
    </row>
    <row r="180" spans="1:3" x14ac:dyDescent="0.45">
      <c r="A180" s="2">
        <v>22859</v>
      </c>
      <c r="B180" s="4">
        <v>49.5</v>
      </c>
      <c r="C180" s="4">
        <v>-1.5</v>
      </c>
    </row>
    <row r="181" spans="1:3" x14ac:dyDescent="0.45">
      <c r="A181" s="2">
        <v>22890</v>
      </c>
      <c r="B181" s="4">
        <v>50</v>
      </c>
      <c r="C181" s="4">
        <v>0.5</v>
      </c>
    </row>
    <row r="182" spans="1:3" x14ac:dyDescent="0.45">
      <c r="A182" s="2">
        <v>22920</v>
      </c>
      <c r="B182" s="4">
        <v>51.2</v>
      </c>
      <c r="C182" s="4">
        <v>1.2000000000000028</v>
      </c>
    </row>
    <row r="183" spans="1:3" x14ac:dyDescent="0.45">
      <c r="A183" s="2">
        <v>22951</v>
      </c>
      <c r="B183" s="4">
        <v>53.8</v>
      </c>
      <c r="C183" s="4">
        <v>2.5999999999999943</v>
      </c>
    </row>
    <row r="184" spans="1:3" x14ac:dyDescent="0.45">
      <c r="A184" s="2">
        <v>22981</v>
      </c>
      <c r="B184" s="4">
        <v>57.2</v>
      </c>
      <c r="C184" s="4">
        <v>3.4000000000000057</v>
      </c>
    </row>
    <row r="185" spans="1:3" x14ac:dyDescent="0.45">
      <c r="A185" s="2">
        <v>23012</v>
      </c>
      <c r="B185" s="4">
        <v>55.2</v>
      </c>
      <c r="C185" s="4">
        <v>-2</v>
      </c>
    </row>
    <row r="186" spans="1:3" x14ac:dyDescent="0.45">
      <c r="A186" s="2">
        <v>23043</v>
      </c>
      <c r="B186" s="4">
        <v>55.1</v>
      </c>
      <c r="C186" s="4">
        <v>-0.10000000000000142</v>
      </c>
    </row>
    <row r="187" spans="1:3" x14ac:dyDescent="0.45">
      <c r="A187" s="2">
        <v>23071</v>
      </c>
      <c r="B187" s="4">
        <v>54.7</v>
      </c>
      <c r="C187" s="4">
        <v>-0.39999999999999858</v>
      </c>
    </row>
    <row r="188" spans="1:3" x14ac:dyDescent="0.45">
      <c r="A188" s="2">
        <v>23102</v>
      </c>
      <c r="B188" s="4">
        <v>57.6</v>
      </c>
      <c r="C188" s="4">
        <v>2.8999999999999986</v>
      </c>
    </row>
    <row r="189" spans="1:3" x14ac:dyDescent="0.45">
      <c r="A189" s="2">
        <v>23132</v>
      </c>
      <c r="B189" s="4">
        <v>59.8</v>
      </c>
      <c r="C189" s="4">
        <v>2.1999999999999957</v>
      </c>
    </row>
    <row r="190" spans="1:3" x14ac:dyDescent="0.45">
      <c r="A190" s="2">
        <v>23163</v>
      </c>
      <c r="B190" s="4">
        <v>58.2</v>
      </c>
      <c r="C190" s="4">
        <v>-1.5999999999999943</v>
      </c>
    </row>
    <row r="191" spans="1:3" x14ac:dyDescent="0.45">
      <c r="A191" s="2">
        <v>23193</v>
      </c>
      <c r="B191" s="4">
        <v>55.5</v>
      </c>
      <c r="C191" s="4">
        <v>-2.7000000000000028</v>
      </c>
    </row>
    <row r="192" spans="1:3" x14ac:dyDescent="0.45">
      <c r="A192" s="2">
        <v>23224</v>
      </c>
      <c r="B192" s="4">
        <v>55.1</v>
      </c>
      <c r="C192" s="4">
        <v>-0.39999999999999858</v>
      </c>
    </row>
    <row r="193" spans="1:3" x14ac:dyDescent="0.45">
      <c r="A193" s="2">
        <v>23255</v>
      </c>
      <c r="B193" s="4">
        <v>56.9</v>
      </c>
      <c r="C193" s="4">
        <v>1.7999999999999972</v>
      </c>
    </row>
    <row r="194" spans="1:3" x14ac:dyDescent="0.45">
      <c r="A194" s="2">
        <v>23285</v>
      </c>
      <c r="B194" s="4">
        <v>57.7</v>
      </c>
      <c r="C194" s="4">
        <v>0.80000000000000426</v>
      </c>
    </row>
    <row r="195" spans="1:3" x14ac:dyDescent="0.45">
      <c r="A195" s="2">
        <v>23316</v>
      </c>
      <c r="B195" s="4">
        <v>57.5</v>
      </c>
      <c r="C195" s="4">
        <v>-0.20000000000000284</v>
      </c>
    </row>
    <row r="196" spans="1:3" x14ac:dyDescent="0.45">
      <c r="A196" s="2">
        <v>23346</v>
      </c>
      <c r="B196" s="4">
        <v>54</v>
      </c>
      <c r="C196" s="4">
        <v>-3.5</v>
      </c>
    </row>
    <row r="197" spans="1:3" x14ac:dyDescent="0.45">
      <c r="A197" s="2">
        <v>23377</v>
      </c>
      <c r="B197" s="4">
        <v>57.1</v>
      </c>
      <c r="C197" s="4">
        <v>3.1000000000000014</v>
      </c>
    </row>
    <row r="198" spans="1:3" x14ac:dyDescent="0.45">
      <c r="A198" s="2">
        <v>23408</v>
      </c>
      <c r="B198" s="4">
        <v>57.9</v>
      </c>
      <c r="C198" s="4">
        <v>0.79999999999999716</v>
      </c>
    </row>
    <row r="199" spans="1:3" x14ac:dyDescent="0.45">
      <c r="A199" s="2">
        <v>23437</v>
      </c>
      <c r="B199" s="4">
        <v>60.2</v>
      </c>
      <c r="C199" s="4">
        <v>2.3000000000000043</v>
      </c>
    </row>
    <row r="200" spans="1:3" x14ac:dyDescent="0.45">
      <c r="A200" s="2">
        <v>23468</v>
      </c>
      <c r="B200" s="4">
        <v>59.2</v>
      </c>
      <c r="C200" s="4">
        <v>-1</v>
      </c>
    </row>
    <row r="201" spans="1:3" x14ac:dyDescent="0.45">
      <c r="A201" s="2">
        <v>23498</v>
      </c>
      <c r="B201" s="4">
        <v>58.7</v>
      </c>
      <c r="C201" s="4">
        <v>-0.5</v>
      </c>
    </row>
    <row r="202" spans="1:3" x14ac:dyDescent="0.45">
      <c r="A202" s="2">
        <v>23529</v>
      </c>
      <c r="B202" s="4">
        <v>60.1</v>
      </c>
      <c r="C202" s="4">
        <v>1.3999999999999986</v>
      </c>
    </row>
    <row r="203" spans="1:3" x14ac:dyDescent="0.45">
      <c r="A203" s="2">
        <v>23559</v>
      </c>
      <c r="B203" s="4">
        <v>62.9</v>
      </c>
      <c r="C203" s="4">
        <v>2.7999999999999972</v>
      </c>
    </row>
    <row r="204" spans="1:3" x14ac:dyDescent="0.45">
      <c r="A204" s="2">
        <v>23590</v>
      </c>
      <c r="B204" s="4">
        <v>63.3</v>
      </c>
      <c r="C204" s="4">
        <v>0.39999999999999858</v>
      </c>
    </row>
    <row r="205" spans="1:3" x14ac:dyDescent="0.45">
      <c r="A205" s="2">
        <v>23621</v>
      </c>
      <c r="B205" s="4">
        <v>63.3</v>
      </c>
      <c r="C205" s="4">
        <v>0</v>
      </c>
    </row>
    <row r="206" spans="1:3" x14ac:dyDescent="0.45">
      <c r="A206" s="2">
        <v>23651</v>
      </c>
      <c r="B206" s="4">
        <v>60.7</v>
      </c>
      <c r="C206" s="4">
        <v>-2.5999999999999943</v>
      </c>
    </row>
    <row r="207" spans="1:3" x14ac:dyDescent="0.45">
      <c r="A207" s="2">
        <v>23682</v>
      </c>
      <c r="B207" s="4">
        <v>61.8</v>
      </c>
      <c r="C207" s="4">
        <v>1.0999999999999943</v>
      </c>
    </row>
    <row r="208" spans="1:3" x14ac:dyDescent="0.45">
      <c r="A208" s="2">
        <v>23712</v>
      </c>
      <c r="B208" s="4">
        <v>62.4</v>
      </c>
      <c r="C208" s="4">
        <v>0.60000000000000142</v>
      </c>
    </row>
    <row r="209" spans="1:3" x14ac:dyDescent="0.45">
      <c r="A209" s="2">
        <v>23743</v>
      </c>
      <c r="B209" s="4">
        <v>61</v>
      </c>
      <c r="C209" s="4">
        <v>-1.3999999999999986</v>
      </c>
    </row>
    <row r="210" spans="1:3" x14ac:dyDescent="0.45">
      <c r="A210" s="2">
        <v>23774</v>
      </c>
      <c r="B210" s="4">
        <v>62.1</v>
      </c>
      <c r="C210" s="4">
        <v>1.1000000000000014</v>
      </c>
    </row>
    <row r="211" spans="1:3" x14ac:dyDescent="0.45">
      <c r="A211" s="2">
        <v>23802</v>
      </c>
      <c r="B211" s="4">
        <v>64.900000000000006</v>
      </c>
      <c r="C211" s="4">
        <v>2.8000000000000043</v>
      </c>
    </row>
    <row r="212" spans="1:3" x14ac:dyDescent="0.45">
      <c r="A212" s="2">
        <v>23833</v>
      </c>
      <c r="B212" s="4">
        <v>62</v>
      </c>
      <c r="C212" s="4">
        <v>-2.9000000000000057</v>
      </c>
    </row>
    <row r="213" spans="1:3" x14ac:dyDescent="0.45">
      <c r="A213" s="2">
        <v>23863</v>
      </c>
      <c r="B213" s="4">
        <v>61.3</v>
      </c>
      <c r="C213" s="4">
        <v>-0.70000000000000284</v>
      </c>
    </row>
    <row r="214" spans="1:3" x14ac:dyDescent="0.45">
      <c r="A214" s="2">
        <v>23894</v>
      </c>
      <c r="B214" s="4">
        <v>58.7</v>
      </c>
      <c r="C214" s="4">
        <v>-2.5999999999999943</v>
      </c>
    </row>
    <row r="215" spans="1:3" x14ac:dyDescent="0.45">
      <c r="A215" s="2">
        <v>23924</v>
      </c>
      <c r="B215" s="4">
        <v>58.1</v>
      </c>
      <c r="C215" s="4">
        <v>-0.60000000000000142</v>
      </c>
    </row>
    <row r="216" spans="1:3" x14ac:dyDescent="0.45">
      <c r="A216" s="2">
        <v>23955</v>
      </c>
      <c r="B216" s="4">
        <v>58.1</v>
      </c>
      <c r="C216" s="4">
        <v>0</v>
      </c>
    </row>
    <row r="217" spans="1:3" x14ac:dyDescent="0.45">
      <c r="A217" s="2">
        <v>23986</v>
      </c>
      <c r="B217" s="4">
        <v>61</v>
      </c>
      <c r="C217" s="4">
        <v>2.8999999999999986</v>
      </c>
    </row>
    <row r="218" spans="1:3" x14ac:dyDescent="0.45">
      <c r="A218" s="2">
        <v>24016</v>
      </c>
      <c r="B218" s="4">
        <v>58.6</v>
      </c>
      <c r="C218" s="4">
        <v>-2.3999999999999986</v>
      </c>
    </row>
    <row r="219" spans="1:3" x14ac:dyDescent="0.45">
      <c r="A219" s="2">
        <v>24047</v>
      </c>
      <c r="B219" s="4">
        <v>59.4</v>
      </c>
      <c r="C219" s="4">
        <v>0.79999999999999716</v>
      </c>
    </row>
    <row r="220" spans="1:3" x14ac:dyDescent="0.45">
      <c r="A220" s="2">
        <v>24077</v>
      </c>
      <c r="B220" s="4">
        <v>62.8</v>
      </c>
      <c r="C220" s="4">
        <v>3.3999999999999986</v>
      </c>
    </row>
    <row r="221" spans="1:3" x14ac:dyDescent="0.45">
      <c r="A221" s="2">
        <v>24108</v>
      </c>
      <c r="B221" s="4">
        <v>65.8</v>
      </c>
      <c r="C221" s="4">
        <v>3</v>
      </c>
    </row>
    <row r="222" spans="1:3" x14ac:dyDescent="0.45">
      <c r="A222" s="2">
        <v>24139</v>
      </c>
      <c r="B222" s="4">
        <v>65.5</v>
      </c>
      <c r="C222" s="4">
        <v>-0.29999999999999716</v>
      </c>
    </row>
    <row r="223" spans="1:3" x14ac:dyDescent="0.45">
      <c r="A223" s="2">
        <v>24167</v>
      </c>
      <c r="B223" s="4">
        <v>65.7</v>
      </c>
      <c r="C223" s="4">
        <v>0.20000000000000284</v>
      </c>
    </row>
    <row r="224" spans="1:3" x14ac:dyDescent="0.45">
      <c r="A224" s="2">
        <v>24198</v>
      </c>
      <c r="B224" s="4">
        <v>64.2</v>
      </c>
      <c r="C224" s="4">
        <v>-1.5</v>
      </c>
    </row>
    <row r="225" spans="1:3" x14ac:dyDescent="0.45">
      <c r="A225" s="2">
        <v>24228</v>
      </c>
      <c r="B225" s="4">
        <v>57.7</v>
      </c>
      <c r="C225" s="4">
        <v>-6.5</v>
      </c>
    </row>
    <row r="226" spans="1:3" x14ac:dyDescent="0.45">
      <c r="A226" s="2">
        <v>24259</v>
      </c>
      <c r="B226" s="4">
        <v>59</v>
      </c>
      <c r="C226" s="4">
        <v>1.2999999999999972</v>
      </c>
    </row>
    <row r="227" spans="1:3" x14ac:dyDescent="0.45">
      <c r="A227" s="2">
        <v>24289</v>
      </c>
      <c r="B227" s="4">
        <v>60.3</v>
      </c>
      <c r="C227" s="4">
        <v>1.2999999999999972</v>
      </c>
    </row>
    <row r="228" spans="1:3" x14ac:dyDescent="0.45">
      <c r="A228" s="2">
        <v>24320</v>
      </c>
      <c r="B228" s="4">
        <v>58.5</v>
      </c>
      <c r="C228" s="4">
        <v>-1.7999999999999972</v>
      </c>
    </row>
    <row r="229" spans="1:3" x14ac:dyDescent="0.45">
      <c r="A229" s="2">
        <v>24351</v>
      </c>
      <c r="B229" s="4">
        <v>58.7</v>
      </c>
      <c r="C229" s="4">
        <v>0.20000000000000284</v>
      </c>
    </row>
    <row r="230" spans="1:3" x14ac:dyDescent="0.45">
      <c r="A230" s="2">
        <v>24381</v>
      </c>
      <c r="B230" s="4">
        <v>57.2</v>
      </c>
      <c r="C230" s="4">
        <v>-1.5</v>
      </c>
    </row>
    <row r="231" spans="1:3" x14ac:dyDescent="0.45">
      <c r="A231" s="2">
        <v>24412</v>
      </c>
      <c r="B231" s="4">
        <v>53.7</v>
      </c>
      <c r="C231" s="4">
        <v>-3.5</v>
      </c>
    </row>
    <row r="232" spans="1:3" x14ac:dyDescent="0.45">
      <c r="A232" s="2">
        <v>24442</v>
      </c>
      <c r="B232" s="4">
        <v>52.4</v>
      </c>
      <c r="C232" s="4">
        <v>-1.3000000000000043</v>
      </c>
    </row>
    <row r="233" spans="1:3" x14ac:dyDescent="0.45">
      <c r="A233" s="2">
        <v>24473</v>
      </c>
      <c r="B233" s="4">
        <v>49.1</v>
      </c>
      <c r="C233" s="4">
        <v>-3.2999999999999972</v>
      </c>
    </row>
    <row r="234" spans="1:3" x14ac:dyDescent="0.45">
      <c r="A234" s="2">
        <v>24504</v>
      </c>
      <c r="B234" s="4">
        <v>47.6</v>
      </c>
      <c r="C234" s="4">
        <v>-1.5</v>
      </c>
    </row>
    <row r="235" spans="1:3" x14ac:dyDescent="0.45">
      <c r="A235" s="2">
        <v>24532</v>
      </c>
      <c r="B235" s="4">
        <v>45.3</v>
      </c>
      <c r="C235" s="4">
        <v>-2.3000000000000043</v>
      </c>
    </row>
    <row r="236" spans="1:3" x14ac:dyDescent="0.45">
      <c r="A236" s="2">
        <v>24563</v>
      </c>
      <c r="B236" s="4">
        <v>42.8</v>
      </c>
      <c r="C236" s="4">
        <v>-2.5</v>
      </c>
    </row>
    <row r="237" spans="1:3" x14ac:dyDescent="0.45">
      <c r="A237" s="2">
        <v>24593</v>
      </c>
      <c r="B237" s="4">
        <v>44.5</v>
      </c>
      <c r="C237" s="4">
        <v>1.7000000000000028</v>
      </c>
    </row>
    <row r="238" spans="1:3" x14ac:dyDescent="0.45">
      <c r="A238" s="2">
        <v>24624</v>
      </c>
      <c r="B238" s="4">
        <v>46.8</v>
      </c>
      <c r="C238" s="4">
        <v>2.2999999999999972</v>
      </c>
    </row>
    <row r="239" spans="1:3" x14ac:dyDescent="0.45">
      <c r="A239" s="2">
        <v>24654</v>
      </c>
      <c r="B239" s="4">
        <v>49.5</v>
      </c>
      <c r="C239" s="4">
        <v>2.7000000000000028</v>
      </c>
    </row>
    <row r="240" spans="1:3" x14ac:dyDescent="0.45">
      <c r="A240" s="2">
        <v>24685</v>
      </c>
      <c r="B240" s="4">
        <v>52.2</v>
      </c>
      <c r="C240" s="4">
        <v>2.7000000000000028</v>
      </c>
    </row>
    <row r="241" spans="1:3" x14ac:dyDescent="0.45">
      <c r="A241" s="2">
        <v>24716</v>
      </c>
      <c r="B241" s="4">
        <v>54.9</v>
      </c>
      <c r="C241" s="4">
        <v>2.6999999999999957</v>
      </c>
    </row>
    <row r="242" spans="1:3" x14ac:dyDescent="0.45">
      <c r="A242" s="2">
        <v>24746</v>
      </c>
      <c r="B242" s="4">
        <v>54.1</v>
      </c>
      <c r="C242" s="4">
        <v>-0.79999999999999716</v>
      </c>
    </row>
    <row r="243" spans="1:3" x14ac:dyDescent="0.45">
      <c r="A243" s="2">
        <v>24777</v>
      </c>
      <c r="B243" s="4">
        <v>54.2</v>
      </c>
      <c r="C243" s="4">
        <v>0.10000000000000142</v>
      </c>
    </row>
    <row r="244" spans="1:3" x14ac:dyDescent="0.45">
      <c r="A244" s="2">
        <v>24807</v>
      </c>
      <c r="B244" s="4">
        <v>55.6</v>
      </c>
      <c r="C244" s="4">
        <v>1.3999999999999986</v>
      </c>
    </row>
    <row r="245" spans="1:3" x14ac:dyDescent="0.45">
      <c r="A245" s="2">
        <v>24838</v>
      </c>
      <c r="B245" s="4">
        <v>56.6</v>
      </c>
      <c r="C245" s="4">
        <v>1</v>
      </c>
    </row>
    <row r="246" spans="1:3" x14ac:dyDescent="0.45">
      <c r="A246" s="2">
        <v>24869</v>
      </c>
      <c r="B246" s="4">
        <v>55</v>
      </c>
      <c r="C246" s="4">
        <v>-1.6000000000000014</v>
      </c>
    </row>
    <row r="247" spans="1:3" x14ac:dyDescent="0.45">
      <c r="A247" s="2">
        <v>24898</v>
      </c>
      <c r="B247" s="4">
        <v>53.8</v>
      </c>
      <c r="C247" s="4">
        <v>-1.2000000000000028</v>
      </c>
    </row>
    <row r="248" spans="1:3" x14ac:dyDescent="0.45">
      <c r="A248" s="2">
        <v>24929</v>
      </c>
      <c r="B248" s="4">
        <v>58</v>
      </c>
      <c r="C248" s="4">
        <v>4.2000000000000028</v>
      </c>
    </row>
    <row r="249" spans="1:3" x14ac:dyDescent="0.45">
      <c r="A249" s="2">
        <v>24959</v>
      </c>
      <c r="B249" s="4">
        <v>55.3</v>
      </c>
      <c r="C249" s="4">
        <v>-2.7000000000000028</v>
      </c>
    </row>
    <row r="250" spans="1:3" x14ac:dyDescent="0.45">
      <c r="A250" s="2">
        <v>24990</v>
      </c>
      <c r="B250" s="4">
        <v>53.5</v>
      </c>
      <c r="C250" s="4">
        <v>-1.7999999999999972</v>
      </c>
    </row>
    <row r="251" spans="1:3" x14ac:dyDescent="0.45">
      <c r="A251" s="2">
        <v>25020</v>
      </c>
      <c r="B251" s="4">
        <v>54.1</v>
      </c>
      <c r="C251" s="4">
        <v>0.60000000000000142</v>
      </c>
    </row>
    <row r="252" spans="1:3" x14ac:dyDescent="0.45">
      <c r="A252" s="2">
        <v>25051</v>
      </c>
      <c r="B252" s="4">
        <v>52.7</v>
      </c>
      <c r="C252" s="4">
        <v>-1.3999999999999986</v>
      </c>
    </row>
    <row r="253" spans="1:3" x14ac:dyDescent="0.45">
      <c r="A253" s="2">
        <v>25082</v>
      </c>
      <c r="B253" s="4">
        <v>51.8</v>
      </c>
      <c r="C253" s="4">
        <v>-0.90000000000000568</v>
      </c>
    </row>
    <row r="254" spans="1:3" x14ac:dyDescent="0.45">
      <c r="A254" s="2">
        <v>25112</v>
      </c>
      <c r="B254" s="4">
        <v>55.8</v>
      </c>
      <c r="C254" s="4">
        <v>4</v>
      </c>
    </row>
    <row r="255" spans="1:3" x14ac:dyDescent="0.45">
      <c r="A255" s="2">
        <v>25143</v>
      </c>
      <c r="B255" s="4">
        <v>58.1</v>
      </c>
      <c r="C255" s="4">
        <v>2.3000000000000043</v>
      </c>
    </row>
    <row r="256" spans="1:3" x14ac:dyDescent="0.45">
      <c r="A256" s="2">
        <v>25173</v>
      </c>
      <c r="B256" s="4">
        <v>56.1</v>
      </c>
      <c r="C256" s="4">
        <v>-2</v>
      </c>
    </row>
    <row r="257" spans="1:3" x14ac:dyDescent="0.45">
      <c r="A257" s="2">
        <v>25204</v>
      </c>
      <c r="B257" s="4">
        <v>54.9</v>
      </c>
      <c r="C257" s="4">
        <v>-1.2000000000000028</v>
      </c>
    </row>
    <row r="258" spans="1:3" x14ac:dyDescent="0.45">
      <c r="A258" s="2">
        <v>25235</v>
      </c>
      <c r="B258" s="4">
        <v>57</v>
      </c>
      <c r="C258" s="4">
        <v>2.1000000000000014</v>
      </c>
    </row>
    <row r="259" spans="1:3" x14ac:dyDescent="0.45">
      <c r="A259" s="2">
        <v>25263</v>
      </c>
      <c r="B259" s="4">
        <v>57.1</v>
      </c>
      <c r="C259" s="4">
        <v>0.10000000000000142</v>
      </c>
    </row>
    <row r="260" spans="1:3" x14ac:dyDescent="0.45">
      <c r="A260" s="2">
        <v>25294</v>
      </c>
      <c r="B260" s="4">
        <v>55.2</v>
      </c>
      <c r="C260" s="4">
        <v>-1.8999999999999986</v>
      </c>
    </row>
    <row r="261" spans="1:3" x14ac:dyDescent="0.45">
      <c r="A261" s="2">
        <v>25324</v>
      </c>
      <c r="B261" s="4">
        <v>56.7</v>
      </c>
      <c r="C261" s="4">
        <v>1.5</v>
      </c>
    </row>
    <row r="262" spans="1:3" x14ac:dyDescent="0.45">
      <c r="A262" s="2">
        <v>25355</v>
      </c>
      <c r="B262" s="4">
        <v>55.5</v>
      </c>
      <c r="C262" s="4">
        <v>-1.2000000000000028</v>
      </c>
    </row>
    <row r="263" spans="1:3" x14ac:dyDescent="0.45">
      <c r="A263" s="2">
        <v>25385</v>
      </c>
      <c r="B263" s="4">
        <v>53.1</v>
      </c>
      <c r="C263" s="4">
        <v>-2.3999999999999986</v>
      </c>
    </row>
    <row r="264" spans="1:3" x14ac:dyDescent="0.45">
      <c r="A264" s="2">
        <v>25416</v>
      </c>
      <c r="B264" s="4">
        <v>54.8</v>
      </c>
      <c r="C264" s="4">
        <v>1.6999999999999957</v>
      </c>
    </row>
    <row r="265" spans="1:3" x14ac:dyDescent="0.45">
      <c r="A265" s="2">
        <v>25447</v>
      </c>
      <c r="B265" s="4">
        <v>54.1</v>
      </c>
      <c r="C265" s="4">
        <v>-0.69999999999999574</v>
      </c>
    </row>
    <row r="266" spans="1:3" x14ac:dyDescent="0.45">
      <c r="A266" s="2">
        <v>25477</v>
      </c>
      <c r="B266" s="4">
        <v>54.6</v>
      </c>
      <c r="C266" s="4">
        <v>0.5</v>
      </c>
    </row>
    <row r="267" spans="1:3" x14ac:dyDescent="0.45">
      <c r="A267" s="2">
        <v>25508</v>
      </c>
      <c r="B267" s="4">
        <v>53.2</v>
      </c>
      <c r="C267" s="4">
        <v>-1.3999999999999986</v>
      </c>
    </row>
    <row r="268" spans="1:3" x14ac:dyDescent="0.45">
      <c r="A268" s="2">
        <v>25538</v>
      </c>
      <c r="B268" s="4">
        <v>52</v>
      </c>
      <c r="C268" s="4">
        <v>-1.2000000000000028</v>
      </c>
    </row>
    <row r="269" spans="1:3" x14ac:dyDescent="0.45">
      <c r="A269" s="2">
        <v>25569</v>
      </c>
      <c r="B269" s="4">
        <v>48.7</v>
      </c>
      <c r="C269" s="4">
        <v>-3.2999999999999972</v>
      </c>
    </row>
    <row r="270" spans="1:3" x14ac:dyDescent="0.45">
      <c r="A270" s="2">
        <v>25600</v>
      </c>
      <c r="B270" s="4">
        <v>47.4</v>
      </c>
      <c r="C270" s="4">
        <v>-1.3000000000000043</v>
      </c>
    </row>
    <row r="271" spans="1:3" x14ac:dyDescent="0.45">
      <c r="A271" s="2">
        <v>25628</v>
      </c>
      <c r="B271" s="4">
        <v>46.9</v>
      </c>
      <c r="C271" s="4">
        <v>-0.5</v>
      </c>
    </row>
    <row r="272" spans="1:3" x14ac:dyDescent="0.45">
      <c r="A272" s="2">
        <v>25659</v>
      </c>
      <c r="B272" s="4">
        <v>45</v>
      </c>
      <c r="C272" s="4">
        <v>-1.8999999999999986</v>
      </c>
    </row>
    <row r="273" spans="1:3" x14ac:dyDescent="0.45">
      <c r="A273" s="2">
        <v>25689</v>
      </c>
      <c r="B273" s="4">
        <v>47.2</v>
      </c>
      <c r="C273" s="4">
        <v>2.2000000000000028</v>
      </c>
    </row>
    <row r="274" spans="1:3" x14ac:dyDescent="0.45">
      <c r="A274" s="2">
        <v>25720</v>
      </c>
      <c r="B274" s="4">
        <v>51.1</v>
      </c>
      <c r="C274" s="4">
        <v>3.8999999999999986</v>
      </c>
    </row>
    <row r="275" spans="1:3" x14ac:dyDescent="0.45">
      <c r="A275" s="2">
        <v>25750</v>
      </c>
      <c r="B275" s="4">
        <v>49.5</v>
      </c>
      <c r="C275" s="4">
        <v>-1.6000000000000014</v>
      </c>
    </row>
    <row r="276" spans="1:3" x14ac:dyDescent="0.45">
      <c r="A276" s="2">
        <v>25781</v>
      </c>
      <c r="B276" s="4">
        <v>47.3</v>
      </c>
      <c r="C276" s="4">
        <v>-2.2000000000000028</v>
      </c>
    </row>
    <row r="277" spans="1:3" x14ac:dyDescent="0.45">
      <c r="A277" s="2">
        <v>25812</v>
      </c>
      <c r="B277" s="4">
        <v>44.1</v>
      </c>
      <c r="C277" s="4">
        <v>-3.1999999999999957</v>
      </c>
    </row>
    <row r="278" spans="1:3" x14ac:dyDescent="0.45">
      <c r="A278" s="2">
        <v>25842</v>
      </c>
      <c r="B278" s="4">
        <v>42.4</v>
      </c>
      <c r="C278" s="4">
        <v>-1.7000000000000028</v>
      </c>
    </row>
    <row r="279" spans="1:3" x14ac:dyDescent="0.45">
      <c r="A279" s="2">
        <v>25873</v>
      </c>
      <c r="B279" s="4">
        <v>39.700000000000003</v>
      </c>
      <c r="C279" s="4">
        <v>-2.6999999999999957</v>
      </c>
    </row>
    <row r="280" spans="1:3" x14ac:dyDescent="0.45">
      <c r="A280" s="2">
        <v>25903</v>
      </c>
      <c r="B280" s="4">
        <v>45.4</v>
      </c>
      <c r="C280" s="4">
        <v>5.6999999999999957</v>
      </c>
    </row>
    <row r="281" spans="1:3" x14ac:dyDescent="0.45">
      <c r="A281" s="2">
        <v>25934</v>
      </c>
      <c r="B281" s="4">
        <v>47.9</v>
      </c>
      <c r="C281" s="4">
        <v>2.5</v>
      </c>
    </row>
    <row r="282" spans="1:3" x14ac:dyDescent="0.45">
      <c r="A282" s="2">
        <v>25965</v>
      </c>
      <c r="B282" s="4">
        <v>54.8</v>
      </c>
      <c r="C282" s="4">
        <v>6.8999999999999986</v>
      </c>
    </row>
    <row r="283" spans="1:3" x14ac:dyDescent="0.45">
      <c r="A283" s="2">
        <v>25993</v>
      </c>
      <c r="B283" s="4">
        <v>51.2</v>
      </c>
      <c r="C283" s="4">
        <v>-3.5999999999999943</v>
      </c>
    </row>
    <row r="284" spans="1:3" x14ac:dyDescent="0.45">
      <c r="A284" s="2">
        <v>26024</v>
      </c>
      <c r="B284" s="4">
        <v>54.5</v>
      </c>
      <c r="C284" s="4">
        <v>3.2999999999999972</v>
      </c>
    </row>
    <row r="285" spans="1:3" x14ac:dyDescent="0.45">
      <c r="A285" s="2">
        <v>26054</v>
      </c>
      <c r="B285" s="4">
        <v>54.2</v>
      </c>
      <c r="C285" s="4">
        <v>-0.29999999999999716</v>
      </c>
    </row>
    <row r="286" spans="1:3" x14ac:dyDescent="0.45">
      <c r="A286" s="2">
        <v>26085</v>
      </c>
      <c r="B286" s="4">
        <v>53.8</v>
      </c>
      <c r="C286" s="4">
        <v>-0.40000000000000568</v>
      </c>
    </row>
    <row r="287" spans="1:3" x14ac:dyDescent="0.45">
      <c r="A287" s="2">
        <v>26115</v>
      </c>
      <c r="B287" s="4">
        <v>54.4</v>
      </c>
      <c r="C287" s="4">
        <v>0.60000000000000142</v>
      </c>
    </row>
    <row r="288" spans="1:3" x14ac:dyDescent="0.45">
      <c r="A288" s="2">
        <v>26146</v>
      </c>
      <c r="B288" s="4">
        <v>53.6</v>
      </c>
      <c r="C288" s="4">
        <v>-0.79999999999999716</v>
      </c>
    </row>
    <row r="289" spans="1:3" x14ac:dyDescent="0.45">
      <c r="A289" s="2">
        <v>26177</v>
      </c>
      <c r="B289" s="4">
        <v>55.1</v>
      </c>
      <c r="C289" s="4">
        <v>1.5</v>
      </c>
    </row>
    <row r="290" spans="1:3" x14ac:dyDescent="0.45">
      <c r="A290" s="2">
        <v>26207</v>
      </c>
      <c r="B290" s="4">
        <v>55</v>
      </c>
      <c r="C290" s="4">
        <v>-0.10000000000000142</v>
      </c>
    </row>
    <row r="291" spans="1:3" x14ac:dyDescent="0.45">
      <c r="A291" s="2">
        <v>26238</v>
      </c>
      <c r="B291" s="4">
        <v>52.3</v>
      </c>
      <c r="C291" s="4">
        <v>-2.7000000000000028</v>
      </c>
    </row>
    <row r="292" spans="1:3" x14ac:dyDescent="0.45">
      <c r="A292" s="2">
        <v>26268</v>
      </c>
      <c r="B292" s="4">
        <v>57.6</v>
      </c>
      <c r="C292" s="4">
        <v>5.3000000000000043</v>
      </c>
    </row>
    <row r="293" spans="1:3" x14ac:dyDescent="0.45">
      <c r="A293" s="2">
        <v>26299</v>
      </c>
      <c r="B293" s="4">
        <v>59.6</v>
      </c>
      <c r="C293" s="4">
        <v>2</v>
      </c>
    </row>
    <row r="294" spans="1:3" x14ac:dyDescent="0.45">
      <c r="A294" s="2">
        <v>26330</v>
      </c>
      <c r="B294" s="4">
        <v>60.6</v>
      </c>
      <c r="C294" s="4">
        <v>1</v>
      </c>
    </row>
    <row r="295" spans="1:3" x14ac:dyDescent="0.45">
      <c r="A295" s="2">
        <v>26359</v>
      </c>
      <c r="B295" s="4">
        <v>59.8</v>
      </c>
      <c r="C295" s="4">
        <v>-0.80000000000000426</v>
      </c>
    </row>
    <row r="296" spans="1:3" x14ac:dyDescent="0.45">
      <c r="A296" s="2">
        <v>26390</v>
      </c>
      <c r="B296" s="4">
        <v>59.3</v>
      </c>
      <c r="C296" s="4">
        <v>-0.5</v>
      </c>
    </row>
    <row r="297" spans="1:3" x14ac:dyDescent="0.45">
      <c r="A297" s="2">
        <v>26420</v>
      </c>
      <c r="B297" s="4">
        <v>61.4</v>
      </c>
      <c r="C297" s="4">
        <v>2.1000000000000014</v>
      </c>
    </row>
    <row r="298" spans="1:3" x14ac:dyDescent="0.45">
      <c r="A298" s="2">
        <v>26451</v>
      </c>
      <c r="B298" s="4">
        <v>58.6</v>
      </c>
      <c r="C298" s="4">
        <v>-2.7999999999999972</v>
      </c>
    </row>
    <row r="299" spans="1:3" x14ac:dyDescent="0.45">
      <c r="A299" s="2">
        <v>26481</v>
      </c>
      <c r="B299" s="4">
        <v>60.1</v>
      </c>
      <c r="C299" s="4">
        <v>1.5</v>
      </c>
    </row>
    <row r="300" spans="1:3" x14ac:dyDescent="0.45">
      <c r="A300" s="2">
        <v>26512</v>
      </c>
      <c r="B300" s="4">
        <v>61.7</v>
      </c>
      <c r="C300" s="4">
        <v>1.6000000000000014</v>
      </c>
    </row>
    <row r="301" spans="1:3" x14ac:dyDescent="0.45">
      <c r="A301" s="2">
        <v>26543</v>
      </c>
      <c r="B301" s="4">
        <v>65.099999999999994</v>
      </c>
      <c r="C301" s="4">
        <v>3.3999999999999915</v>
      </c>
    </row>
    <row r="302" spans="1:3" x14ac:dyDescent="0.45">
      <c r="A302" s="2">
        <v>26573</v>
      </c>
      <c r="B302" s="4">
        <v>67</v>
      </c>
      <c r="C302" s="4">
        <v>1.9000000000000057</v>
      </c>
    </row>
    <row r="303" spans="1:3" x14ac:dyDescent="0.45">
      <c r="A303" s="2">
        <v>26604</v>
      </c>
      <c r="B303" s="4">
        <v>69.900000000000006</v>
      </c>
      <c r="C303" s="4">
        <v>2.9000000000000057</v>
      </c>
    </row>
    <row r="304" spans="1:3" x14ac:dyDescent="0.45">
      <c r="A304" s="2">
        <v>26634</v>
      </c>
      <c r="B304" s="4">
        <v>70.5</v>
      </c>
      <c r="C304" s="4">
        <v>0.59999999999999432</v>
      </c>
    </row>
    <row r="305" spans="1:3" x14ac:dyDescent="0.45">
      <c r="A305" s="2">
        <v>26665</v>
      </c>
      <c r="B305" s="4">
        <v>72.099999999999994</v>
      </c>
      <c r="C305" s="4">
        <v>1.5999999999999943</v>
      </c>
    </row>
    <row r="306" spans="1:3" x14ac:dyDescent="0.45">
      <c r="A306" s="2">
        <v>26696</v>
      </c>
      <c r="B306" s="4">
        <v>69.599999999999994</v>
      </c>
      <c r="C306" s="4">
        <v>-2.5</v>
      </c>
    </row>
    <row r="307" spans="1:3" x14ac:dyDescent="0.45">
      <c r="A307" s="2">
        <v>26724</v>
      </c>
      <c r="B307" s="4">
        <v>69.599999999999994</v>
      </c>
      <c r="C307" s="4">
        <v>0</v>
      </c>
    </row>
    <row r="308" spans="1:3" x14ac:dyDescent="0.45">
      <c r="A308" s="2">
        <v>26755</v>
      </c>
      <c r="B308" s="4">
        <v>67.7</v>
      </c>
      <c r="C308" s="4">
        <v>-1.8999999999999915</v>
      </c>
    </row>
    <row r="309" spans="1:3" x14ac:dyDescent="0.45">
      <c r="A309" s="2">
        <v>26785</v>
      </c>
      <c r="B309" s="4">
        <v>64.8</v>
      </c>
      <c r="C309" s="4">
        <v>-2.9000000000000057</v>
      </c>
    </row>
    <row r="310" spans="1:3" x14ac:dyDescent="0.45">
      <c r="A310" s="2">
        <v>26816</v>
      </c>
      <c r="B310" s="4">
        <v>65</v>
      </c>
      <c r="C310" s="4">
        <v>0.20000000000000284</v>
      </c>
    </row>
    <row r="311" spans="1:3" x14ac:dyDescent="0.45">
      <c r="A311" s="2">
        <v>26846</v>
      </c>
      <c r="B311" s="4">
        <v>57.8</v>
      </c>
      <c r="C311" s="4">
        <v>-7.2000000000000028</v>
      </c>
    </row>
    <row r="312" spans="1:3" x14ac:dyDescent="0.45">
      <c r="A312" s="2">
        <v>26877</v>
      </c>
      <c r="B312" s="4">
        <v>62.7</v>
      </c>
      <c r="C312" s="4">
        <v>4.9000000000000057</v>
      </c>
    </row>
    <row r="313" spans="1:3" x14ac:dyDescent="0.45">
      <c r="A313" s="2">
        <v>26908</v>
      </c>
      <c r="B313" s="4">
        <v>63.5</v>
      </c>
      <c r="C313" s="4">
        <v>0.79999999999999716</v>
      </c>
    </row>
    <row r="314" spans="1:3" x14ac:dyDescent="0.45">
      <c r="A314" s="2">
        <v>26938</v>
      </c>
      <c r="B314" s="4">
        <v>66.2</v>
      </c>
      <c r="C314" s="4">
        <v>2.7000000000000028</v>
      </c>
    </row>
    <row r="315" spans="1:3" x14ac:dyDescent="0.45">
      <c r="A315" s="2">
        <v>26969</v>
      </c>
      <c r="B315" s="4">
        <v>68.099999999999994</v>
      </c>
      <c r="C315" s="4">
        <v>1.8999999999999915</v>
      </c>
    </row>
    <row r="316" spans="1:3" x14ac:dyDescent="0.45">
      <c r="A316" s="2">
        <v>26999</v>
      </c>
      <c r="B316" s="4">
        <v>63.6</v>
      </c>
      <c r="C316" s="4">
        <v>-4.4999999999999929</v>
      </c>
    </row>
    <row r="317" spans="1:3" x14ac:dyDescent="0.45">
      <c r="A317" s="2">
        <v>27030</v>
      </c>
      <c r="B317" s="4">
        <v>62.1</v>
      </c>
      <c r="C317" s="4">
        <v>-1.5</v>
      </c>
    </row>
    <row r="318" spans="1:3" x14ac:dyDescent="0.45">
      <c r="A318" s="2">
        <v>27061</v>
      </c>
      <c r="B318" s="4">
        <v>58.6</v>
      </c>
      <c r="C318" s="4">
        <v>-3.5</v>
      </c>
    </row>
    <row r="319" spans="1:3" x14ac:dyDescent="0.45">
      <c r="A319" s="2">
        <v>27089</v>
      </c>
      <c r="B319" s="4">
        <v>61.8</v>
      </c>
      <c r="C319" s="4">
        <v>3.1999999999999957</v>
      </c>
    </row>
    <row r="320" spans="1:3" x14ac:dyDescent="0.45">
      <c r="A320" s="2">
        <v>27120</v>
      </c>
      <c r="B320" s="4">
        <v>59.9</v>
      </c>
      <c r="C320" s="4">
        <v>-1.8999999999999986</v>
      </c>
    </row>
    <row r="321" spans="1:3" x14ac:dyDescent="0.45">
      <c r="A321" s="2">
        <v>27150</v>
      </c>
      <c r="B321" s="4">
        <v>55.7</v>
      </c>
      <c r="C321" s="4">
        <v>-4.1999999999999957</v>
      </c>
    </row>
    <row r="322" spans="1:3" x14ac:dyDescent="0.45">
      <c r="A322" s="2">
        <v>27181</v>
      </c>
      <c r="B322" s="4">
        <v>54.7</v>
      </c>
      <c r="C322" s="4">
        <v>-1</v>
      </c>
    </row>
    <row r="323" spans="1:3" x14ac:dyDescent="0.45">
      <c r="A323" s="2">
        <v>27211</v>
      </c>
      <c r="B323" s="4">
        <v>54.8</v>
      </c>
      <c r="C323" s="4">
        <v>9.9999999999994316E-2</v>
      </c>
    </row>
    <row r="324" spans="1:3" x14ac:dyDescent="0.45">
      <c r="A324" s="2">
        <v>27242</v>
      </c>
      <c r="B324" s="4">
        <v>52.9</v>
      </c>
      <c r="C324" s="4">
        <v>-1.8999999999999986</v>
      </c>
    </row>
    <row r="325" spans="1:3" x14ac:dyDescent="0.45">
      <c r="A325" s="2">
        <v>27273</v>
      </c>
      <c r="B325" s="4">
        <v>46.2</v>
      </c>
      <c r="C325" s="4">
        <v>-6.6999999999999957</v>
      </c>
    </row>
    <row r="326" spans="1:3" x14ac:dyDescent="0.45">
      <c r="A326" s="2">
        <v>27303</v>
      </c>
      <c r="B326" s="4">
        <v>42.7</v>
      </c>
      <c r="C326" s="4">
        <v>-3.5</v>
      </c>
    </row>
    <row r="327" spans="1:3" x14ac:dyDescent="0.45">
      <c r="A327" s="2">
        <v>27334</v>
      </c>
      <c r="B327" s="4">
        <v>37.9</v>
      </c>
      <c r="C327" s="4">
        <v>-4.8000000000000043</v>
      </c>
    </row>
    <row r="328" spans="1:3" x14ac:dyDescent="0.45">
      <c r="A328" s="2">
        <v>27364</v>
      </c>
      <c r="B328" s="4">
        <v>30.9</v>
      </c>
      <c r="C328" s="4">
        <v>-7</v>
      </c>
    </row>
    <row r="329" spans="1:3" x14ac:dyDescent="0.45">
      <c r="A329" s="2">
        <v>27395</v>
      </c>
      <c r="B329" s="4">
        <v>30.7</v>
      </c>
      <c r="C329" s="4">
        <v>-0.19999999999999929</v>
      </c>
    </row>
    <row r="330" spans="1:3" x14ac:dyDescent="0.45">
      <c r="A330" s="2">
        <v>27426</v>
      </c>
      <c r="B330" s="4">
        <v>34.4</v>
      </c>
      <c r="C330" s="4">
        <v>3.6999999999999993</v>
      </c>
    </row>
    <row r="331" spans="1:3" x14ac:dyDescent="0.45">
      <c r="A331" s="2">
        <v>27454</v>
      </c>
      <c r="B331" s="4">
        <v>31.6</v>
      </c>
      <c r="C331" s="4">
        <v>-2.7999999999999972</v>
      </c>
    </row>
    <row r="332" spans="1:3" x14ac:dyDescent="0.45">
      <c r="A332" s="2">
        <v>27485</v>
      </c>
      <c r="B332" s="4">
        <v>37.5</v>
      </c>
      <c r="C332" s="4">
        <v>5.8999999999999986</v>
      </c>
    </row>
    <row r="333" spans="1:3" x14ac:dyDescent="0.45">
      <c r="A333" s="2">
        <v>27515</v>
      </c>
      <c r="B333" s="4">
        <v>41.2</v>
      </c>
      <c r="C333" s="4">
        <v>3.7000000000000028</v>
      </c>
    </row>
    <row r="334" spans="1:3" x14ac:dyDescent="0.45">
      <c r="A334" s="2">
        <v>27546</v>
      </c>
      <c r="B334" s="4">
        <v>45.1</v>
      </c>
      <c r="C334" s="4">
        <v>3.8999999999999986</v>
      </c>
    </row>
    <row r="335" spans="1:3" x14ac:dyDescent="0.45">
      <c r="A335" s="2">
        <v>27576</v>
      </c>
      <c r="B335" s="4">
        <v>47.2</v>
      </c>
      <c r="C335" s="4">
        <v>2.1000000000000014</v>
      </c>
    </row>
    <row r="336" spans="1:3" x14ac:dyDescent="0.45">
      <c r="A336" s="2">
        <v>27607</v>
      </c>
      <c r="B336" s="4">
        <v>51.4</v>
      </c>
      <c r="C336" s="4">
        <v>4.1999999999999957</v>
      </c>
    </row>
    <row r="337" spans="1:3" x14ac:dyDescent="0.45">
      <c r="A337" s="2">
        <v>27638</v>
      </c>
      <c r="B337" s="4">
        <v>54.4</v>
      </c>
      <c r="C337" s="4">
        <v>3</v>
      </c>
    </row>
    <row r="338" spans="1:3" x14ac:dyDescent="0.45">
      <c r="A338" s="2">
        <v>27668</v>
      </c>
      <c r="B338" s="4">
        <v>55.5</v>
      </c>
      <c r="C338" s="4">
        <v>1.1000000000000014</v>
      </c>
    </row>
    <row r="339" spans="1:3" x14ac:dyDescent="0.45">
      <c r="A339" s="2">
        <v>27699</v>
      </c>
      <c r="B339" s="4">
        <v>54.5</v>
      </c>
      <c r="C339" s="4">
        <v>-1</v>
      </c>
    </row>
    <row r="340" spans="1:3" x14ac:dyDescent="0.45">
      <c r="A340" s="2">
        <v>27729</v>
      </c>
      <c r="B340" s="4">
        <v>54.9</v>
      </c>
      <c r="C340" s="4">
        <v>0.39999999999999858</v>
      </c>
    </row>
    <row r="341" spans="1:3" x14ac:dyDescent="0.45">
      <c r="A341" s="2">
        <v>27760</v>
      </c>
      <c r="B341" s="4">
        <v>58.8</v>
      </c>
      <c r="C341" s="4">
        <v>3.8999999999999986</v>
      </c>
    </row>
    <row r="342" spans="1:3" x14ac:dyDescent="0.45">
      <c r="A342" s="2">
        <v>27791</v>
      </c>
      <c r="B342" s="4">
        <v>61.5</v>
      </c>
      <c r="C342" s="4">
        <v>2.7000000000000028</v>
      </c>
    </row>
    <row r="343" spans="1:3" x14ac:dyDescent="0.45">
      <c r="A343" s="2">
        <v>27820</v>
      </c>
      <c r="B343" s="4">
        <v>58.4</v>
      </c>
      <c r="C343" s="4">
        <v>-3.1000000000000014</v>
      </c>
    </row>
    <row r="344" spans="1:3" x14ac:dyDescent="0.45">
      <c r="A344" s="2">
        <v>27851</v>
      </c>
      <c r="B344" s="4">
        <v>60.6</v>
      </c>
      <c r="C344" s="4">
        <v>2.2000000000000028</v>
      </c>
    </row>
    <row r="345" spans="1:3" x14ac:dyDescent="0.45">
      <c r="A345" s="2">
        <v>27881</v>
      </c>
      <c r="B345" s="4">
        <v>58.8</v>
      </c>
      <c r="C345" s="4">
        <v>-1.8000000000000043</v>
      </c>
    </row>
    <row r="346" spans="1:3" x14ac:dyDescent="0.45">
      <c r="A346" s="2">
        <v>27912</v>
      </c>
      <c r="B346" s="4">
        <v>58.2</v>
      </c>
      <c r="C346" s="4">
        <v>-0.59999999999999432</v>
      </c>
    </row>
    <row r="347" spans="1:3" x14ac:dyDescent="0.45">
      <c r="A347" s="2">
        <v>27942</v>
      </c>
      <c r="B347" s="4">
        <v>55.9</v>
      </c>
      <c r="C347" s="4">
        <v>-2.3000000000000043</v>
      </c>
    </row>
    <row r="348" spans="1:3" x14ac:dyDescent="0.45">
      <c r="A348" s="2">
        <v>27973</v>
      </c>
      <c r="B348" s="4">
        <v>54.5</v>
      </c>
      <c r="C348" s="4">
        <v>-1.3999999999999986</v>
      </c>
    </row>
    <row r="349" spans="1:3" x14ac:dyDescent="0.45">
      <c r="A349" s="2">
        <v>28004</v>
      </c>
      <c r="B349" s="4">
        <v>53.6</v>
      </c>
      <c r="C349" s="4">
        <v>-0.89999999999999858</v>
      </c>
    </row>
    <row r="350" spans="1:3" x14ac:dyDescent="0.45">
      <c r="A350" s="2">
        <v>28034</v>
      </c>
      <c r="B350" s="4">
        <v>53.5</v>
      </c>
      <c r="C350" s="4">
        <v>-0.10000000000000142</v>
      </c>
    </row>
    <row r="351" spans="1:3" x14ac:dyDescent="0.45">
      <c r="A351" s="2">
        <v>28065</v>
      </c>
      <c r="B351" s="4">
        <v>51.7</v>
      </c>
      <c r="C351" s="4">
        <v>-1.7999999999999972</v>
      </c>
    </row>
    <row r="352" spans="1:3" x14ac:dyDescent="0.45">
      <c r="A352" s="2">
        <v>28095</v>
      </c>
      <c r="B352" s="4">
        <v>56.6</v>
      </c>
      <c r="C352" s="4">
        <v>4.8999999999999986</v>
      </c>
    </row>
    <row r="353" spans="1:3" x14ac:dyDescent="0.45">
      <c r="A353" s="2">
        <v>28126</v>
      </c>
      <c r="B353" s="4">
        <v>54.8</v>
      </c>
      <c r="C353" s="4">
        <v>-1.8000000000000043</v>
      </c>
    </row>
    <row r="354" spans="1:3" x14ac:dyDescent="0.45">
      <c r="A354" s="2">
        <v>28157</v>
      </c>
      <c r="B354" s="4">
        <v>55</v>
      </c>
      <c r="C354" s="4">
        <v>0.20000000000000284</v>
      </c>
    </row>
    <row r="355" spans="1:3" x14ac:dyDescent="0.45">
      <c r="A355" s="2">
        <v>28185</v>
      </c>
      <c r="B355" s="4">
        <v>58.4</v>
      </c>
      <c r="C355" s="4">
        <v>3.3999999999999986</v>
      </c>
    </row>
    <row r="356" spans="1:3" x14ac:dyDescent="0.45">
      <c r="A356" s="2">
        <v>28216</v>
      </c>
      <c r="B356" s="4">
        <v>56.9</v>
      </c>
      <c r="C356" s="4">
        <v>-1.5</v>
      </c>
    </row>
    <row r="357" spans="1:3" x14ac:dyDescent="0.45">
      <c r="A357" s="2">
        <v>28246</v>
      </c>
      <c r="B357" s="4">
        <v>59.7</v>
      </c>
      <c r="C357" s="4">
        <v>2.8000000000000043</v>
      </c>
    </row>
    <row r="358" spans="1:3" x14ac:dyDescent="0.45">
      <c r="A358" s="2">
        <v>28277</v>
      </c>
      <c r="B358" s="4">
        <v>56.8</v>
      </c>
      <c r="C358" s="4">
        <v>-2.9000000000000057</v>
      </c>
    </row>
    <row r="359" spans="1:3" x14ac:dyDescent="0.45">
      <c r="A359" s="2">
        <v>28307</v>
      </c>
      <c r="B359" s="4">
        <v>57.7</v>
      </c>
      <c r="C359" s="4">
        <v>0.90000000000000568</v>
      </c>
    </row>
    <row r="360" spans="1:3" x14ac:dyDescent="0.45">
      <c r="A360" s="2">
        <v>28338</v>
      </c>
      <c r="B360" s="4">
        <v>54.9</v>
      </c>
      <c r="C360" s="4">
        <v>-2.8000000000000043</v>
      </c>
    </row>
    <row r="361" spans="1:3" x14ac:dyDescent="0.45">
      <c r="A361" s="2">
        <v>28369</v>
      </c>
      <c r="B361" s="4">
        <v>53.9</v>
      </c>
      <c r="C361" s="4">
        <v>-1</v>
      </c>
    </row>
    <row r="362" spans="1:3" x14ac:dyDescent="0.45">
      <c r="A362" s="2">
        <v>28399</v>
      </c>
      <c r="B362" s="4">
        <v>55.4</v>
      </c>
      <c r="C362" s="4">
        <v>1.5</v>
      </c>
    </row>
    <row r="363" spans="1:3" x14ac:dyDescent="0.45">
      <c r="A363" s="2">
        <v>28430</v>
      </c>
      <c r="B363" s="4">
        <v>56.1</v>
      </c>
      <c r="C363" s="4">
        <v>0.70000000000000284</v>
      </c>
    </row>
    <row r="364" spans="1:3" x14ac:dyDescent="0.45">
      <c r="A364" s="2">
        <v>28460</v>
      </c>
      <c r="B364" s="4">
        <v>59.8</v>
      </c>
      <c r="C364" s="4">
        <v>3.6999999999999957</v>
      </c>
    </row>
    <row r="365" spans="1:3" x14ac:dyDescent="0.45">
      <c r="A365" s="2">
        <v>28491</v>
      </c>
      <c r="B365" s="4">
        <v>57.4</v>
      </c>
      <c r="C365" s="4">
        <v>-2.3999999999999986</v>
      </c>
    </row>
    <row r="366" spans="1:3" x14ac:dyDescent="0.45">
      <c r="A366" s="2">
        <v>28522</v>
      </c>
      <c r="B366" s="4">
        <v>55.9</v>
      </c>
      <c r="C366" s="4">
        <v>-1.5</v>
      </c>
    </row>
    <row r="367" spans="1:3" x14ac:dyDescent="0.45">
      <c r="A367" s="2">
        <v>28550</v>
      </c>
      <c r="B367" s="4">
        <v>55</v>
      </c>
      <c r="C367" s="4">
        <v>-0.89999999999999858</v>
      </c>
    </row>
    <row r="368" spans="1:3" x14ac:dyDescent="0.45">
      <c r="A368" s="2">
        <v>28581</v>
      </c>
      <c r="B368" s="4">
        <v>57.7</v>
      </c>
      <c r="C368" s="4">
        <v>2.7000000000000028</v>
      </c>
    </row>
    <row r="369" spans="1:3" x14ac:dyDescent="0.45">
      <c r="A369" s="2">
        <v>28611</v>
      </c>
      <c r="B369" s="4">
        <v>60.2</v>
      </c>
      <c r="C369" s="4">
        <v>2.5</v>
      </c>
    </row>
    <row r="370" spans="1:3" x14ac:dyDescent="0.45">
      <c r="A370" s="2">
        <v>28642</v>
      </c>
      <c r="B370" s="4">
        <v>60.5</v>
      </c>
      <c r="C370" s="4">
        <v>0.29999999999999716</v>
      </c>
    </row>
    <row r="371" spans="1:3" x14ac:dyDescent="0.45">
      <c r="A371" s="2">
        <v>28672</v>
      </c>
      <c r="B371" s="4">
        <v>62.2</v>
      </c>
      <c r="C371" s="4">
        <v>1.7000000000000028</v>
      </c>
    </row>
    <row r="372" spans="1:3" x14ac:dyDescent="0.45">
      <c r="A372" s="2">
        <v>28703</v>
      </c>
      <c r="B372" s="4">
        <v>60.3</v>
      </c>
      <c r="C372" s="4">
        <v>-1.9000000000000057</v>
      </c>
    </row>
    <row r="373" spans="1:3" x14ac:dyDescent="0.45">
      <c r="A373" s="2">
        <v>28734</v>
      </c>
      <c r="B373" s="4">
        <v>60.5</v>
      </c>
      <c r="C373" s="4">
        <v>0.20000000000000284</v>
      </c>
    </row>
    <row r="374" spans="1:3" x14ac:dyDescent="0.45">
      <c r="A374" s="2">
        <v>28764</v>
      </c>
      <c r="B374" s="4">
        <v>60.1</v>
      </c>
      <c r="C374" s="4">
        <v>-0.39999999999999858</v>
      </c>
    </row>
    <row r="375" spans="1:3" x14ac:dyDescent="0.45">
      <c r="A375" s="2">
        <v>28795</v>
      </c>
      <c r="B375" s="4">
        <v>61.3</v>
      </c>
      <c r="C375" s="4">
        <v>1.1999999999999957</v>
      </c>
    </row>
    <row r="376" spans="1:3" x14ac:dyDescent="0.45">
      <c r="A376" s="2">
        <v>28825</v>
      </c>
      <c r="B376" s="4">
        <v>59.4</v>
      </c>
      <c r="C376" s="4">
        <v>-1.8999999999999986</v>
      </c>
    </row>
    <row r="377" spans="1:3" x14ac:dyDescent="0.45">
      <c r="A377" s="2">
        <v>28856</v>
      </c>
      <c r="B377" s="4">
        <v>58.5</v>
      </c>
      <c r="C377" s="4">
        <v>-0.89999999999999858</v>
      </c>
    </row>
    <row r="378" spans="1:3" x14ac:dyDescent="0.45">
      <c r="A378" s="2">
        <v>28887</v>
      </c>
      <c r="B378" s="4">
        <v>58.2</v>
      </c>
      <c r="C378" s="4">
        <v>-0.29999999999999716</v>
      </c>
    </row>
    <row r="379" spans="1:3" x14ac:dyDescent="0.45">
      <c r="A379" s="2">
        <v>28915</v>
      </c>
      <c r="B379" s="4">
        <v>57.7</v>
      </c>
      <c r="C379" s="4">
        <v>-0.5</v>
      </c>
    </row>
    <row r="380" spans="1:3" x14ac:dyDescent="0.45">
      <c r="A380" s="2">
        <v>28946</v>
      </c>
      <c r="B380" s="4">
        <v>56.2</v>
      </c>
      <c r="C380" s="4">
        <v>-1.5</v>
      </c>
    </row>
    <row r="381" spans="1:3" x14ac:dyDescent="0.45">
      <c r="A381" s="2">
        <v>28976</v>
      </c>
      <c r="B381" s="4">
        <v>54.4</v>
      </c>
      <c r="C381" s="4">
        <v>-1.8000000000000043</v>
      </c>
    </row>
    <row r="382" spans="1:3" x14ac:dyDescent="0.45">
      <c r="A382" s="2">
        <v>29007</v>
      </c>
      <c r="B382" s="4">
        <v>52.7</v>
      </c>
      <c r="C382" s="4">
        <v>-1.6999999999999957</v>
      </c>
    </row>
    <row r="383" spans="1:3" x14ac:dyDescent="0.45">
      <c r="A383" s="2">
        <v>29037</v>
      </c>
      <c r="B383" s="4">
        <v>51.3</v>
      </c>
      <c r="C383" s="4">
        <v>-1.4000000000000057</v>
      </c>
    </row>
    <row r="384" spans="1:3" x14ac:dyDescent="0.45">
      <c r="A384" s="2">
        <v>29068</v>
      </c>
      <c r="B384" s="4">
        <v>49.5</v>
      </c>
      <c r="C384" s="4">
        <v>-1.7999999999999972</v>
      </c>
    </row>
    <row r="385" spans="1:3" x14ac:dyDescent="0.45">
      <c r="A385" s="2">
        <v>29099</v>
      </c>
      <c r="B385" s="4">
        <v>49.6</v>
      </c>
      <c r="C385" s="4">
        <v>0.10000000000000142</v>
      </c>
    </row>
    <row r="386" spans="1:3" x14ac:dyDescent="0.45">
      <c r="A386" s="2">
        <v>29129</v>
      </c>
      <c r="B386" s="4">
        <v>49</v>
      </c>
      <c r="C386" s="4">
        <v>-0.60000000000000142</v>
      </c>
    </row>
    <row r="387" spans="1:3" x14ac:dyDescent="0.45">
      <c r="A387" s="2">
        <v>29160</v>
      </c>
      <c r="B387" s="4">
        <v>48</v>
      </c>
      <c r="C387" s="4">
        <v>-1</v>
      </c>
    </row>
    <row r="388" spans="1:3" x14ac:dyDescent="0.45">
      <c r="A388" s="2">
        <v>29190</v>
      </c>
      <c r="B388" s="4">
        <v>44.8</v>
      </c>
      <c r="C388" s="4">
        <v>-3.2000000000000028</v>
      </c>
    </row>
    <row r="389" spans="1:3" x14ac:dyDescent="0.45">
      <c r="A389" s="2">
        <v>29221</v>
      </c>
      <c r="B389" s="4">
        <v>46.2</v>
      </c>
      <c r="C389" s="4">
        <v>1.4000000000000057</v>
      </c>
    </row>
    <row r="390" spans="1:3" x14ac:dyDescent="0.45">
      <c r="A390" s="2">
        <v>29252</v>
      </c>
      <c r="B390" s="4">
        <v>50.2</v>
      </c>
      <c r="C390" s="4">
        <v>4</v>
      </c>
    </row>
    <row r="391" spans="1:3" x14ac:dyDescent="0.45">
      <c r="A391" s="2">
        <v>29281</v>
      </c>
      <c r="B391" s="4">
        <v>43.6</v>
      </c>
      <c r="C391" s="4">
        <v>-6.6000000000000014</v>
      </c>
    </row>
    <row r="392" spans="1:3" x14ac:dyDescent="0.45">
      <c r="A392" s="2">
        <v>29312</v>
      </c>
      <c r="B392" s="4">
        <v>37.4</v>
      </c>
      <c r="C392" s="4">
        <v>-6.2000000000000028</v>
      </c>
    </row>
    <row r="393" spans="1:3" x14ac:dyDescent="0.45">
      <c r="A393" s="2">
        <v>29342</v>
      </c>
      <c r="B393" s="4">
        <v>29.4</v>
      </c>
      <c r="C393" s="4">
        <v>-8</v>
      </c>
    </row>
    <row r="394" spans="1:3" x14ac:dyDescent="0.45">
      <c r="A394" s="2">
        <v>29373</v>
      </c>
      <c r="B394" s="4">
        <v>30.3</v>
      </c>
      <c r="C394" s="4">
        <v>0.90000000000000213</v>
      </c>
    </row>
    <row r="395" spans="1:3" x14ac:dyDescent="0.45">
      <c r="A395" s="2">
        <v>29403</v>
      </c>
      <c r="B395" s="4">
        <v>35</v>
      </c>
      <c r="C395" s="4">
        <v>4.6999999999999993</v>
      </c>
    </row>
    <row r="396" spans="1:3" x14ac:dyDescent="0.45">
      <c r="A396" s="2">
        <v>29434</v>
      </c>
      <c r="B396" s="4">
        <v>45.5</v>
      </c>
      <c r="C396" s="4">
        <v>10.5</v>
      </c>
    </row>
    <row r="397" spans="1:3" x14ac:dyDescent="0.45">
      <c r="A397" s="2">
        <v>29465</v>
      </c>
      <c r="B397" s="4">
        <v>50.1</v>
      </c>
      <c r="C397" s="4">
        <v>4.6000000000000014</v>
      </c>
    </row>
    <row r="398" spans="1:3" x14ac:dyDescent="0.45">
      <c r="A398" s="2">
        <v>29495</v>
      </c>
      <c r="B398" s="4">
        <v>55.5</v>
      </c>
      <c r="C398" s="4">
        <v>5.3999999999999986</v>
      </c>
    </row>
    <row r="399" spans="1:3" x14ac:dyDescent="0.45">
      <c r="A399" s="2">
        <v>29526</v>
      </c>
      <c r="B399" s="4">
        <v>58.2</v>
      </c>
      <c r="C399" s="4">
        <v>2.7000000000000028</v>
      </c>
    </row>
    <row r="400" spans="1:3" x14ac:dyDescent="0.45">
      <c r="A400" s="2">
        <v>29556</v>
      </c>
      <c r="B400" s="4">
        <v>53</v>
      </c>
      <c r="C400" s="4">
        <v>-5.2000000000000028</v>
      </c>
    </row>
    <row r="401" spans="1:3" x14ac:dyDescent="0.45">
      <c r="A401" s="2">
        <v>29587</v>
      </c>
      <c r="B401" s="4">
        <v>49.2</v>
      </c>
      <c r="C401" s="4">
        <v>-3.7999999999999972</v>
      </c>
    </row>
    <row r="402" spans="1:3" x14ac:dyDescent="0.45">
      <c r="A402" s="2">
        <v>29618</v>
      </c>
      <c r="B402" s="4">
        <v>48.8</v>
      </c>
      <c r="C402" s="4">
        <v>-0.40000000000000568</v>
      </c>
    </row>
    <row r="403" spans="1:3" x14ac:dyDescent="0.45">
      <c r="A403" s="2">
        <v>29646</v>
      </c>
      <c r="B403" s="4">
        <v>49.6</v>
      </c>
      <c r="C403" s="4">
        <v>0.80000000000000426</v>
      </c>
    </row>
    <row r="404" spans="1:3" x14ac:dyDescent="0.45">
      <c r="A404" s="2">
        <v>29677</v>
      </c>
      <c r="B404" s="4">
        <v>51.6</v>
      </c>
      <c r="C404" s="4">
        <v>2</v>
      </c>
    </row>
    <row r="405" spans="1:3" x14ac:dyDescent="0.45">
      <c r="A405" s="2">
        <v>29707</v>
      </c>
      <c r="B405" s="4">
        <v>53.5</v>
      </c>
      <c r="C405" s="4">
        <v>1.8999999999999986</v>
      </c>
    </row>
    <row r="406" spans="1:3" x14ac:dyDescent="0.45">
      <c r="A406" s="2">
        <v>29738</v>
      </c>
      <c r="B406" s="4">
        <v>50.7</v>
      </c>
      <c r="C406" s="4">
        <v>-2.7999999999999972</v>
      </c>
    </row>
    <row r="407" spans="1:3" x14ac:dyDescent="0.45">
      <c r="A407" s="2">
        <v>29768</v>
      </c>
      <c r="B407" s="4">
        <v>46.7</v>
      </c>
      <c r="C407" s="4">
        <v>-4</v>
      </c>
    </row>
    <row r="408" spans="1:3" x14ac:dyDescent="0.45">
      <c r="A408" s="2">
        <v>29799</v>
      </c>
      <c r="B408" s="4">
        <v>48.3</v>
      </c>
      <c r="C408" s="4">
        <v>1.5999999999999943</v>
      </c>
    </row>
    <row r="409" spans="1:3" x14ac:dyDescent="0.45">
      <c r="A409" s="2">
        <v>29830</v>
      </c>
      <c r="B409" s="4">
        <v>42.5</v>
      </c>
      <c r="C409" s="4">
        <v>-5.7999999999999972</v>
      </c>
    </row>
    <row r="410" spans="1:3" x14ac:dyDescent="0.45">
      <c r="A410" s="2">
        <v>29860</v>
      </c>
      <c r="B410" s="4">
        <v>40</v>
      </c>
      <c r="C410" s="4">
        <v>-2.5</v>
      </c>
    </row>
    <row r="411" spans="1:3" x14ac:dyDescent="0.45">
      <c r="A411" s="2">
        <v>29891</v>
      </c>
      <c r="B411" s="4">
        <v>36.1</v>
      </c>
      <c r="C411" s="4">
        <v>-3.8999999999999986</v>
      </c>
    </row>
    <row r="412" spans="1:3" x14ac:dyDescent="0.45">
      <c r="A412" s="2">
        <v>29921</v>
      </c>
      <c r="B412" s="4">
        <v>37.799999999999997</v>
      </c>
      <c r="C412" s="4">
        <v>1.6999999999999957</v>
      </c>
    </row>
    <row r="413" spans="1:3" x14ac:dyDescent="0.45">
      <c r="A413" s="2">
        <v>29952</v>
      </c>
      <c r="B413" s="4">
        <v>38.200000000000003</v>
      </c>
      <c r="C413" s="4">
        <v>0.40000000000000568</v>
      </c>
    </row>
    <row r="414" spans="1:3" x14ac:dyDescent="0.45">
      <c r="A414" s="2">
        <v>29983</v>
      </c>
      <c r="B414" s="4">
        <v>38.299999999999997</v>
      </c>
      <c r="C414" s="4">
        <v>9.9999999999994316E-2</v>
      </c>
    </row>
    <row r="415" spans="1:3" x14ac:dyDescent="0.45">
      <c r="A415" s="2">
        <v>30011</v>
      </c>
      <c r="B415" s="4">
        <v>36.799999999999997</v>
      </c>
      <c r="C415" s="4">
        <v>-1.5</v>
      </c>
    </row>
    <row r="416" spans="1:3" x14ac:dyDescent="0.45">
      <c r="A416" s="2">
        <v>30042</v>
      </c>
      <c r="B416" s="4">
        <v>37.799999999999997</v>
      </c>
      <c r="C416" s="4">
        <v>1</v>
      </c>
    </row>
    <row r="417" spans="1:3" x14ac:dyDescent="0.45">
      <c r="A417" s="2">
        <v>30072</v>
      </c>
      <c r="B417" s="4">
        <v>35.5</v>
      </c>
      <c r="C417" s="4">
        <v>-2.2999999999999972</v>
      </c>
    </row>
    <row r="418" spans="1:3" x14ac:dyDescent="0.45">
      <c r="A418" s="2">
        <v>30103</v>
      </c>
      <c r="B418" s="4">
        <v>38.299999999999997</v>
      </c>
      <c r="C418" s="4">
        <v>2.7999999999999972</v>
      </c>
    </row>
    <row r="419" spans="1:3" x14ac:dyDescent="0.45">
      <c r="A419" s="2">
        <v>30133</v>
      </c>
      <c r="B419" s="4">
        <v>38.4</v>
      </c>
      <c r="C419" s="4">
        <v>0.10000000000000142</v>
      </c>
    </row>
    <row r="420" spans="1:3" x14ac:dyDescent="0.45">
      <c r="A420" s="2">
        <v>30164</v>
      </c>
      <c r="B420" s="4">
        <v>38.299999999999997</v>
      </c>
      <c r="C420" s="4">
        <v>-0.10000000000000142</v>
      </c>
    </row>
    <row r="421" spans="1:3" x14ac:dyDescent="0.45">
      <c r="A421" s="2">
        <v>30195</v>
      </c>
      <c r="B421" s="4">
        <v>38.799999999999997</v>
      </c>
      <c r="C421" s="4">
        <v>0.5</v>
      </c>
    </row>
    <row r="422" spans="1:3" x14ac:dyDescent="0.45">
      <c r="A422" s="2">
        <v>30225</v>
      </c>
      <c r="B422" s="4">
        <v>39.4</v>
      </c>
      <c r="C422" s="4">
        <v>0.60000000000000142</v>
      </c>
    </row>
    <row r="423" spans="1:3" x14ac:dyDescent="0.45">
      <c r="A423" s="2">
        <v>30256</v>
      </c>
      <c r="B423" s="4">
        <v>39.200000000000003</v>
      </c>
      <c r="C423" s="4">
        <v>-0.19999999999999574</v>
      </c>
    </row>
    <row r="424" spans="1:3" x14ac:dyDescent="0.45">
      <c r="A424" s="2">
        <v>30286</v>
      </c>
      <c r="B424" s="4">
        <v>42.8</v>
      </c>
      <c r="C424" s="4">
        <v>3.5999999999999943</v>
      </c>
    </row>
    <row r="425" spans="1:3" x14ac:dyDescent="0.45">
      <c r="A425" s="2">
        <v>30317</v>
      </c>
      <c r="B425" s="4">
        <v>46</v>
      </c>
      <c r="C425" s="4">
        <v>3.2000000000000028</v>
      </c>
    </row>
    <row r="426" spans="1:3" x14ac:dyDescent="0.45">
      <c r="A426" s="2">
        <v>30348</v>
      </c>
      <c r="B426" s="4">
        <v>54.4</v>
      </c>
      <c r="C426" s="4">
        <v>8.3999999999999986</v>
      </c>
    </row>
    <row r="427" spans="1:3" x14ac:dyDescent="0.45">
      <c r="A427" s="2">
        <v>30376</v>
      </c>
      <c r="B427" s="4">
        <v>53.9</v>
      </c>
      <c r="C427" s="4">
        <v>-0.5</v>
      </c>
    </row>
    <row r="428" spans="1:3" x14ac:dyDescent="0.45">
      <c r="A428" s="2">
        <v>30407</v>
      </c>
      <c r="B428" s="4">
        <v>54.2</v>
      </c>
      <c r="C428" s="4">
        <v>0.30000000000000426</v>
      </c>
    </row>
    <row r="429" spans="1:3" x14ac:dyDescent="0.45">
      <c r="A429" s="2">
        <v>30437</v>
      </c>
      <c r="B429" s="4">
        <v>56.1</v>
      </c>
      <c r="C429" s="4">
        <v>1.8999999999999986</v>
      </c>
    </row>
    <row r="430" spans="1:3" x14ac:dyDescent="0.45">
      <c r="A430" s="2">
        <v>30468</v>
      </c>
      <c r="B430" s="4">
        <v>57.5</v>
      </c>
      <c r="C430" s="4">
        <v>1.3999999999999986</v>
      </c>
    </row>
    <row r="431" spans="1:3" x14ac:dyDescent="0.45">
      <c r="A431" s="2">
        <v>30498</v>
      </c>
      <c r="B431" s="4">
        <v>63.6</v>
      </c>
      <c r="C431" s="4">
        <v>6.1000000000000014</v>
      </c>
    </row>
    <row r="432" spans="1:3" x14ac:dyDescent="0.45">
      <c r="A432" s="2">
        <v>30529</v>
      </c>
      <c r="B432" s="4">
        <v>63.1</v>
      </c>
      <c r="C432" s="4">
        <v>-0.5</v>
      </c>
    </row>
    <row r="433" spans="1:3" x14ac:dyDescent="0.45">
      <c r="A433" s="2">
        <v>30560</v>
      </c>
      <c r="B433" s="4">
        <v>62.5</v>
      </c>
      <c r="C433" s="4">
        <v>-0.60000000000000142</v>
      </c>
    </row>
    <row r="434" spans="1:3" x14ac:dyDescent="0.45">
      <c r="A434" s="2">
        <v>30590</v>
      </c>
      <c r="B434" s="4">
        <v>64.400000000000006</v>
      </c>
      <c r="C434" s="4">
        <v>1.9000000000000057</v>
      </c>
    </row>
    <row r="435" spans="1:3" x14ac:dyDescent="0.45">
      <c r="A435" s="2">
        <v>30621</v>
      </c>
      <c r="B435" s="4">
        <v>66</v>
      </c>
      <c r="C435" s="4">
        <v>1.5999999999999943</v>
      </c>
    </row>
    <row r="436" spans="1:3" x14ac:dyDescent="0.45">
      <c r="A436" s="2">
        <v>30651</v>
      </c>
      <c r="B436" s="4">
        <v>69.900000000000006</v>
      </c>
      <c r="C436" s="4">
        <v>3.9000000000000057</v>
      </c>
    </row>
    <row r="437" spans="1:3" x14ac:dyDescent="0.45">
      <c r="A437" s="2">
        <v>30682</v>
      </c>
      <c r="B437" s="4">
        <v>60.5</v>
      </c>
      <c r="C437" s="4">
        <v>-9.4000000000000057</v>
      </c>
    </row>
    <row r="438" spans="1:3" x14ac:dyDescent="0.45">
      <c r="A438" s="2">
        <v>30713</v>
      </c>
      <c r="B438" s="4">
        <v>61.3</v>
      </c>
      <c r="C438" s="4">
        <v>0.79999999999999716</v>
      </c>
    </row>
    <row r="439" spans="1:3" x14ac:dyDescent="0.45">
      <c r="A439" s="2">
        <v>30742</v>
      </c>
      <c r="B439" s="4">
        <v>58.9</v>
      </c>
      <c r="C439" s="4">
        <v>-2.3999999999999986</v>
      </c>
    </row>
    <row r="440" spans="1:3" x14ac:dyDescent="0.45">
      <c r="A440" s="2">
        <v>30773</v>
      </c>
      <c r="B440" s="4">
        <v>61</v>
      </c>
      <c r="C440" s="4">
        <v>2.1000000000000014</v>
      </c>
    </row>
    <row r="441" spans="1:3" x14ac:dyDescent="0.45">
      <c r="A441" s="2">
        <v>30803</v>
      </c>
      <c r="B441" s="4">
        <v>58.6</v>
      </c>
      <c r="C441" s="4">
        <v>-2.3999999999999986</v>
      </c>
    </row>
    <row r="442" spans="1:3" x14ac:dyDescent="0.45">
      <c r="A442" s="2">
        <v>30834</v>
      </c>
      <c r="B442" s="4">
        <v>58.1</v>
      </c>
      <c r="C442" s="4">
        <v>-0.5</v>
      </c>
    </row>
    <row r="443" spans="1:3" x14ac:dyDescent="0.45">
      <c r="A443" s="2">
        <v>30864</v>
      </c>
      <c r="B443" s="4">
        <v>56.1</v>
      </c>
      <c r="C443" s="4">
        <v>-2</v>
      </c>
    </row>
    <row r="444" spans="1:3" x14ac:dyDescent="0.45">
      <c r="A444" s="2">
        <v>30895</v>
      </c>
      <c r="B444" s="4">
        <v>53</v>
      </c>
      <c r="C444" s="4">
        <v>-3.1000000000000014</v>
      </c>
    </row>
    <row r="445" spans="1:3" x14ac:dyDescent="0.45">
      <c r="A445" s="2">
        <v>30926</v>
      </c>
      <c r="B445" s="4">
        <v>50</v>
      </c>
      <c r="C445" s="4">
        <v>-3</v>
      </c>
    </row>
    <row r="446" spans="1:3" x14ac:dyDescent="0.45">
      <c r="A446" s="2">
        <v>30956</v>
      </c>
      <c r="B446" s="4">
        <v>50.8</v>
      </c>
      <c r="C446" s="4">
        <v>0.79999999999999716</v>
      </c>
    </row>
    <row r="447" spans="1:3" x14ac:dyDescent="0.45">
      <c r="A447" s="2">
        <v>30987</v>
      </c>
      <c r="B447" s="4">
        <v>50.3</v>
      </c>
      <c r="C447" s="4">
        <v>-0.5</v>
      </c>
    </row>
    <row r="448" spans="1:3" x14ac:dyDescent="0.45">
      <c r="A448" s="2">
        <v>31017</v>
      </c>
      <c r="B448" s="4">
        <v>50.6</v>
      </c>
      <c r="C448" s="4">
        <v>0.30000000000000426</v>
      </c>
    </row>
    <row r="449" spans="1:3" x14ac:dyDescent="0.45">
      <c r="A449" s="2">
        <v>31048</v>
      </c>
      <c r="B449" s="4">
        <v>50.3</v>
      </c>
      <c r="C449" s="4">
        <v>-0.30000000000000426</v>
      </c>
    </row>
    <row r="450" spans="1:3" x14ac:dyDescent="0.45">
      <c r="A450" s="2">
        <v>31079</v>
      </c>
      <c r="B450" s="4">
        <v>49.9</v>
      </c>
      <c r="C450" s="4">
        <v>-0.39999999999999858</v>
      </c>
    </row>
    <row r="451" spans="1:3" x14ac:dyDescent="0.45">
      <c r="A451" s="2">
        <v>31107</v>
      </c>
      <c r="B451" s="4">
        <v>47.8</v>
      </c>
      <c r="C451" s="4">
        <v>-2.1000000000000014</v>
      </c>
    </row>
    <row r="452" spans="1:3" x14ac:dyDescent="0.45">
      <c r="A452" s="2">
        <v>31138</v>
      </c>
      <c r="B452" s="4">
        <v>48.2</v>
      </c>
      <c r="C452" s="4">
        <v>0.40000000000000568</v>
      </c>
    </row>
    <row r="453" spans="1:3" x14ac:dyDescent="0.45">
      <c r="A453" s="2">
        <v>31168</v>
      </c>
      <c r="B453" s="4">
        <v>47.1</v>
      </c>
      <c r="C453" s="4">
        <v>-1.1000000000000014</v>
      </c>
    </row>
    <row r="454" spans="1:3" x14ac:dyDescent="0.45">
      <c r="A454" s="2">
        <v>31199</v>
      </c>
      <c r="B454" s="4">
        <v>47.8</v>
      </c>
      <c r="C454" s="4">
        <v>0.69999999999999574</v>
      </c>
    </row>
    <row r="455" spans="1:3" x14ac:dyDescent="0.45">
      <c r="A455" s="2">
        <v>31229</v>
      </c>
      <c r="B455" s="4">
        <v>47.9</v>
      </c>
      <c r="C455" s="4">
        <v>0.10000000000000142</v>
      </c>
    </row>
    <row r="456" spans="1:3" x14ac:dyDescent="0.45">
      <c r="A456" s="2">
        <v>31260</v>
      </c>
      <c r="B456" s="4">
        <v>47.7</v>
      </c>
      <c r="C456" s="4">
        <v>-0.19999999999999574</v>
      </c>
    </row>
    <row r="457" spans="1:3" x14ac:dyDescent="0.45">
      <c r="A457" s="2">
        <v>31291</v>
      </c>
      <c r="B457" s="4">
        <v>49.9</v>
      </c>
      <c r="C457" s="4">
        <v>2.1999999999999957</v>
      </c>
    </row>
    <row r="458" spans="1:3" x14ac:dyDescent="0.45">
      <c r="A458" s="2">
        <v>31321</v>
      </c>
      <c r="B458" s="4">
        <v>50.9</v>
      </c>
      <c r="C458" s="4">
        <v>1</v>
      </c>
    </row>
    <row r="459" spans="1:3" x14ac:dyDescent="0.45">
      <c r="A459" s="2">
        <v>31352</v>
      </c>
      <c r="B459" s="4">
        <v>52</v>
      </c>
      <c r="C459" s="4">
        <v>1.1000000000000014</v>
      </c>
    </row>
    <row r="460" spans="1:3" x14ac:dyDescent="0.45">
      <c r="A460" s="2">
        <v>31382</v>
      </c>
      <c r="B460" s="4">
        <v>50.7</v>
      </c>
      <c r="C460" s="4">
        <v>-1.2999999999999972</v>
      </c>
    </row>
    <row r="461" spans="1:3" x14ac:dyDescent="0.45">
      <c r="A461" s="2">
        <v>31413</v>
      </c>
      <c r="B461" s="4">
        <v>51.2</v>
      </c>
      <c r="C461" s="4">
        <v>0.5</v>
      </c>
    </row>
    <row r="462" spans="1:3" x14ac:dyDescent="0.45">
      <c r="A462" s="2">
        <v>31444</v>
      </c>
      <c r="B462" s="4">
        <v>51</v>
      </c>
      <c r="C462" s="4">
        <v>-0.20000000000000284</v>
      </c>
    </row>
    <row r="463" spans="1:3" x14ac:dyDescent="0.45">
      <c r="A463" s="2">
        <v>31472</v>
      </c>
      <c r="B463" s="4">
        <v>51</v>
      </c>
      <c r="C463" s="4">
        <v>0</v>
      </c>
    </row>
    <row r="464" spans="1:3" x14ac:dyDescent="0.45">
      <c r="A464" s="2">
        <v>31503</v>
      </c>
      <c r="B464" s="4">
        <v>49.7</v>
      </c>
      <c r="C464" s="4">
        <v>-1.2999999999999972</v>
      </c>
    </row>
    <row r="465" spans="1:3" x14ac:dyDescent="0.45">
      <c r="A465" s="2">
        <v>31533</v>
      </c>
      <c r="B465" s="4">
        <v>53.4</v>
      </c>
      <c r="C465" s="4">
        <v>3.6999999999999957</v>
      </c>
    </row>
    <row r="466" spans="1:3" x14ac:dyDescent="0.45">
      <c r="A466" s="2">
        <v>31564</v>
      </c>
      <c r="B466" s="4">
        <v>50.5</v>
      </c>
      <c r="C466" s="4">
        <v>-2.8999999999999986</v>
      </c>
    </row>
    <row r="467" spans="1:3" x14ac:dyDescent="0.45">
      <c r="A467" s="2">
        <v>31594</v>
      </c>
      <c r="B467" s="4">
        <v>48</v>
      </c>
      <c r="C467" s="4">
        <v>-2.5</v>
      </c>
    </row>
    <row r="468" spans="1:3" x14ac:dyDescent="0.45">
      <c r="A468" s="2">
        <v>31625</v>
      </c>
      <c r="B468" s="4">
        <v>52.6</v>
      </c>
      <c r="C468" s="4">
        <v>4.6000000000000014</v>
      </c>
    </row>
    <row r="469" spans="1:3" x14ac:dyDescent="0.45">
      <c r="A469" s="2">
        <v>31656</v>
      </c>
      <c r="B469" s="4">
        <v>52.4</v>
      </c>
      <c r="C469" s="4">
        <v>-0.20000000000000284</v>
      </c>
    </row>
    <row r="470" spans="1:3" x14ac:dyDescent="0.45">
      <c r="A470" s="2">
        <v>31686</v>
      </c>
      <c r="B470" s="4">
        <v>51.2</v>
      </c>
      <c r="C470" s="4">
        <v>-1.1999999999999957</v>
      </c>
    </row>
    <row r="471" spans="1:3" x14ac:dyDescent="0.45">
      <c r="A471" s="2">
        <v>31717</v>
      </c>
      <c r="B471" s="4">
        <v>51.2</v>
      </c>
      <c r="C471" s="4">
        <v>0</v>
      </c>
    </row>
    <row r="472" spans="1:3" x14ac:dyDescent="0.45">
      <c r="A472" s="2">
        <v>31747</v>
      </c>
      <c r="B472" s="4">
        <v>50.5</v>
      </c>
      <c r="C472" s="4">
        <v>-0.70000000000000284</v>
      </c>
    </row>
    <row r="473" spans="1:3" x14ac:dyDescent="0.45">
      <c r="A473" s="2">
        <v>31778</v>
      </c>
      <c r="B473" s="4">
        <v>54.9</v>
      </c>
      <c r="C473" s="4">
        <v>4.3999999999999986</v>
      </c>
    </row>
    <row r="474" spans="1:3" x14ac:dyDescent="0.45">
      <c r="A474" s="2">
        <v>31809</v>
      </c>
      <c r="B474" s="4">
        <v>52.6</v>
      </c>
      <c r="C474" s="4">
        <v>-2.2999999999999972</v>
      </c>
    </row>
    <row r="475" spans="1:3" x14ac:dyDescent="0.45">
      <c r="A475" s="2">
        <v>31837</v>
      </c>
      <c r="B475" s="4">
        <v>55</v>
      </c>
      <c r="C475" s="4">
        <v>2.3999999999999986</v>
      </c>
    </row>
    <row r="476" spans="1:3" x14ac:dyDescent="0.45">
      <c r="A476" s="2">
        <v>31868</v>
      </c>
      <c r="B476" s="4">
        <v>55.5</v>
      </c>
      <c r="C476" s="4">
        <v>0.5</v>
      </c>
    </row>
    <row r="477" spans="1:3" x14ac:dyDescent="0.45">
      <c r="A477" s="2">
        <v>31898</v>
      </c>
      <c r="B477" s="4">
        <v>57.2</v>
      </c>
      <c r="C477" s="4">
        <v>1.7000000000000028</v>
      </c>
    </row>
    <row r="478" spans="1:3" x14ac:dyDescent="0.45">
      <c r="A478" s="2">
        <v>31929</v>
      </c>
      <c r="B478" s="4">
        <v>57.4</v>
      </c>
      <c r="C478" s="4">
        <v>0.19999999999999574</v>
      </c>
    </row>
    <row r="479" spans="1:3" x14ac:dyDescent="0.45">
      <c r="A479" s="2">
        <v>31959</v>
      </c>
      <c r="B479" s="4">
        <v>57.5</v>
      </c>
      <c r="C479" s="4">
        <v>0.10000000000000142</v>
      </c>
    </row>
    <row r="480" spans="1:3" x14ac:dyDescent="0.45">
      <c r="A480" s="2">
        <v>31990</v>
      </c>
      <c r="B480" s="4">
        <v>59.3</v>
      </c>
      <c r="C480" s="4">
        <v>1.7999999999999972</v>
      </c>
    </row>
    <row r="481" spans="1:3" x14ac:dyDescent="0.45">
      <c r="A481" s="2">
        <v>32021</v>
      </c>
      <c r="B481" s="4">
        <v>60</v>
      </c>
      <c r="C481" s="4">
        <v>0.70000000000000284</v>
      </c>
    </row>
    <row r="482" spans="1:3" x14ac:dyDescent="0.45">
      <c r="A482" s="2">
        <v>32051</v>
      </c>
      <c r="B482" s="4">
        <v>60.7</v>
      </c>
      <c r="C482" s="4">
        <v>0.70000000000000284</v>
      </c>
    </row>
    <row r="483" spans="1:3" x14ac:dyDescent="0.45">
      <c r="A483" s="2">
        <v>32082</v>
      </c>
      <c r="B483" s="4">
        <v>58.8</v>
      </c>
      <c r="C483" s="4">
        <v>-1.9000000000000057</v>
      </c>
    </row>
    <row r="484" spans="1:3" x14ac:dyDescent="0.45">
      <c r="A484" s="2">
        <v>32112</v>
      </c>
      <c r="B484" s="4">
        <v>61</v>
      </c>
      <c r="C484" s="4">
        <v>2.2000000000000028</v>
      </c>
    </row>
    <row r="485" spans="1:3" x14ac:dyDescent="0.45">
      <c r="A485" s="2">
        <v>32143</v>
      </c>
      <c r="B485" s="4">
        <v>57.5</v>
      </c>
      <c r="C485" s="4">
        <v>-3.5</v>
      </c>
    </row>
    <row r="486" spans="1:3" x14ac:dyDescent="0.45">
      <c r="A486" s="2">
        <v>32174</v>
      </c>
      <c r="B486" s="4">
        <v>56.2</v>
      </c>
      <c r="C486" s="4">
        <v>-1.2999999999999972</v>
      </c>
    </row>
    <row r="487" spans="1:3" x14ac:dyDescent="0.45">
      <c r="A487" s="2">
        <v>32203</v>
      </c>
      <c r="B487" s="4">
        <v>54.6</v>
      </c>
      <c r="C487" s="4">
        <v>-1.6000000000000014</v>
      </c>
    </row>
    <row r="488" spans="1:3" x14ac:dyDescent="0.45">
      <c r="A488" s="2">
        <v>32234</v>
      </c>
      <c r="B488" s="4">
        <v>55.8</v>
      </c>
      <c r="C488" s="4">
        <v>1.1999999999999957</v>
      </c>
    </row>
    <row r="489" spans="1:3" x14ac:dyDescent="0.45">
      <c r="A489" s="2">
        <v>32264</v>
      </c>
      <c r="B489" s="4">
        <v>55.5</v>
      </c>
      <c r="C489" s="4">
        <v>-0.29999999999999716</v>
      </c>
    </row>
    <row r="490" spans="1:3" x14ac:dyDescent="0.45">
      <c r="A490" s="2">
        <v>32295</v>
      </c>
      <c r="B490" s="4">
        <v>59.3</v>
      </c>
      <c r="C490" s="4">
        <v>3.7999999999999972</v>
      </c>
    </row>
    <row r="491" spans="1:3" x14ac:dyDescent="0.45">
      <c r="A491" s="2">
        <v>32325</v>
      </c>
      <c r="B491" s="4">
        <v>58.2</v>
      </c>
      <c r="C491" s="4">
        <v>-1.0999999999999943</v>
      </c>
    </row>
    <row r="492" spans="1:3" x14ac:dyDescent="0.45">
      <c r="A492" s="2">
        <v>32356</v>
      </c>
      <c r="B492" s="4">
        <v>56</v>
      </c>
      <c r="C492" s="4">
        <v>-2.2000000000000028</v>
      </c>
    </row>
    <row r="493" spans="1:3" x14ac:dyDescent="0.45">
      <c r="A493" s="2">
        <v>32387</v>
      </c>
      <c r="B493" s="4">
        <v>54.5</v>
      </c>
      <c r="C493" s="4">
        <v>-1.5</v>
      </c>
    </row>
    <row r="494" spans="1:3" x14ac:dyDescent="0.45">
      <c r="A494" s="2">
        <v>32417</v>
      </c>
      <c r="B494" s="4">
        <v>55.4</v>
      </c>
      <c r="C494" s="4">
        <v>0.89999999999999858</v>
      </c>
    </row>
    <row r="495" spans="1:3" x14ac:dyDescent="0.45">
      <c r="A495" s="2">
        <v>32448</v>
      </c>
      <c r="B495" s="4">
        <v>55.6</v>
      </c>
      <c r="C495" s="4">
        <v>0.20000000000000284</v>
      </c>
    </row>
    <row r="496" spans="1:3" x14ac:dyDescent="0.45">
      <c r="A496" s="2">
        <v>32478</v>
      </c>
      <c r="B496" s="4">
        <v>56</v>
      </c>
      <c r="C496" s="4">
        <v>0.39999999999999858</v>
      </c>
    </row>
    <row r="497" spans="1:3" x14ac:dyDescent="0.45">
      <c r="A497" s="2">
        <v>32509</v>
      </c>
      <c r="B497" s="4">
        <v>54.7</v>
      </c>
      <c r="C497" s="4">
        <v>-1.2999999999999972</v>
      </c>
    </row>
    <row r="498" spans="1:3" x14ac:dyDescent="0.45">
      <c r="A498" s="2">
        <v>32540</v>
      </c>
      <c r="B498" s="4">
        <v>54.1</v>
      </c>
      <c r="C498" s="4">
        <v>-0.60000000000000142</v>
      </c>
    </row>
    <row r="499" spans="1:3" x14ac:dyDescent="0.45">
      <c r="A499" s="2">
        <v>32568</v>
      </c>
      <c r="B499" s="4">
        <v>51.5</v>
      </c>
      <c r="C499" s="4">
        <v>-2.6000000000000014</v>
      </c>
    </row>
    <row r="500" spans="1:3" x14ac:dyDescent="0.45">
      <c r="A500" s="2">
        <v>32599</v>
      </c>
      <c r="B500" s="4">
        <v>52.2</v>
      </c>
      <c r="C500" s="4">
        <v>0.70000000000000284</v>
      </c>
    </row>
    <row r="501" spans="1:3" x14ac:dyDescent="0.45">
      <c r="A501" s="2">
        <v>32629</v>
      </c>
      <c r="B501" s="4">
        <v>49.3</v>
      </c>
      <c r="C501" s="4">
        <v>-2.9000000000000057</v>
      </c>
    </row>
    <row r="502" spans="1:3" x14ac:dyDescent="0.45">
      <c r="A502" s="2">
        <v>32660</v>
      </c>
      <c r="B502" s="4">
        <v>47.3</v>
      </c>
      <c r="C502" s="4">
        <v>-2</v>
      </c>
    </row>
    <row r="503" spans="1:3" x14ac:dyDescent="0.45">
      <c r="A503" s="2">
        <v>32690</v>
      </c>
      <c r="B503" s="4">
        <v>45.9</v>
      </c>
      <c r="C503" s="4">
        <v>-1.3999999999999986</v>
      </c>
    </row>
    <row r="504" spans="1:3" x14ac:dyDescent="0.45">
      <c r="A504" s="2">
        <v>32721</v>
      </c>
      <c r="B504" s="4">
        <v>45.1</v>
      </c>
      <c r="C504" s="4">
        <v>-0.79999999999999716</v>
      </c>
    </row>
    <row r="505" spans="1:3" x14ac:dyDescent="0.45">
      <c r="A505" s="2">
        <v>32752</v>
      </c>
      <c r="B505" s="4">
        <v>46</v>
      </c>
      <c r="C505" s="4">
        <v>0.89999999999999858</v>
      </c>
    </row>
    <row r="506" spans="1:3" x14ac:dyDescent="0.45">
      <c r="A506" s="2">
        <v>32782</v>
      </c>
      <c r="B506" s="4">
        <v>46.8</v>
      </c>
      <c r="C506" s="4">
        <v>0.79999999999999716</v>
      </c>
    </row>
    <row r="507" spans="1:3" x14ac:dyDescent="0.45">
      <c r="A507" s="2">
        <v>32813</v>
      </c>
      <c r="B507" s="4">
        <v>46.8</v>
      </c>
      <c r="C507" s="4">
        <v>0</v>
      </c>
    </row>
    <row r="508" spans="1:3" x14ac:dyDescent="0.45">
      <c r="A508" s="2">
        <v>32843</v>
      </c>
      <c r="B508" s="4">
        <v>47.4</v>
      </c>
      <c r="C508" s="4">
        <v>0.60000000000000142</v>
      </c>
    </row>
    <row r="509" spans="1:3" x14ac:dyDescent="0.45">
      <c r="A509" s="2">
        <v>32874</v>
      </c>
      <c r="B509" s="4">
        <v>47.2</v>
      </c>
      <c r="C509" s="4">
        <v>-0.19999999999999574</v>
      </c>
    </row>
    <row r="510" spans="1:3" x14ac:dyDescent="0.45">
      <c r="A510" s="2">
        <v>32905</v>
      </c>
      <c r="B510" s="4">
        <v>49.1</v>
      </c>
      <c r="C510" s="4">
        <v>1.8999999999999986</v>
      </c>
    </row>
    <row r="511" spans="1:3" x14ac:dyDescent="0.45">
      <c r="A511" s="2">
        <v>32933</v>
      </c>
      <c r="B511" s="4">
        <v>49.9</v>
      </c>
      <c r="C511" s="4">
        <v>0.79999999999999716</v>
      </c>
    </row>
    <row r="512" spans="1:3" x14ac:dyDescent="0.45">
      <c r="A512" s="2">
        <v>32964</v>
      </c>
      <c r="B512" s="4">
        <v>50</v>
      </c>
      <c r="C512" s="4">
        <v>0.10000000000000142</v>
      </c>
    </row>
    <row r="513" spans="1:3" x14ac:dyDescent="0.45">
      <c r="A513" s="2">
        <v>32994</v>
      </c>
      <c r="B513" s="4">
        <v>49.5</v>
      </c>
      <c r="C513" s="4">
        <v>-0.5</v>
      </c>
    </row>
    <row r="514" spans="1:3" x14ac:dyDescent="0.45">
      <c r="A514" s="2">
        <v>33025</v>
      </c>
      <c r="B514" s="4">
        <v>49.2</v>
      </c>
      <c r="C514" s="4">
        <v>-0.29999999999999716</v>
      </c>
    </row>
    <row r="515" spans="1:3" x14ac:dyDescent="0.45">
      <c r="A515" s="2">
        <v>33055</v>
      </c>
      <c r="B515" s="4">
        <v>46.6</v>
      </c>
      <c r="C515" s="4">
        <v>-2.6000000000000014</v>
      </c>
    </row>
    <row r="516" spans="1:3" x14ac:dyDescent="0.45">
      <c r="A516" s="2">
        <v>33086</v>
      </c>
      <c r="B516" s="4">
        <v>46.1</v>
      </c>
      <c r="C516" s="4">
        <v>-0.5</v>
      </c>
    </row>
    <row r="517" spans="1:3" x14ac:dyDescent="0.45">
      <c r="A517" s="2">
        <v>33117</v>
      </c>
      <c r="B517" s="4">
        <v>44.5</v>
      </c>
      <c r="C517" s="4">
        <v>-1.6000000000000014</v>
      </c>
    </row>
    <row r="518" spans="1:3" x14ac:dyDescent="0.45">
      <c r="A518" s="2">
        <v>33147</v>
      </c>
      <c r="B518" s="4">
        <v>43.2</v>
      </c>
      <c r="C518" s="4">
        <v>-1.2999999999999972</v>
      </c>
    </row>
    <row r="519" spans="1:3" x14ac:dyDescent="0.45">
      <c r="A519" s="2">
        <v>33178</v>
      </c>
      <c r="B519" s="4">
        <v>41.3</v>
      </c>
      <c r="C519" s="4">
        <v>-1.9000000000000057</v>
      </c>
    </row>
    <row r="520" spans="1:3" x14ac:dyDescent="0.45">
      <c r="A520" s="2">
        <v>33208</v>
      </c>
      <c r="B520" s="4">
        <v>40.799999999999997</v>
      </c>
      <c r="C520" s="4">
        <v>-0.5</v>
      </c>
    </row>
    <row r="521" spans="1:3" x14ac:dyDescent="0.45">
      <c r="A521" s="2">
        <v>33239</v>
      </c>
      <c r="B521" s="4">
        <v>39.200000000000003</v>
      </c>
      <c r="C521" s="4">
        <v>-1.5999999999999943</v>
      </c>
    </row>
    <row r="522" spans="1:3" x14ac:dyDescent="0.45">
      <c r="A522" s="2">
        <v>33270</v>
      </c>
      <c r="B522" s="4">
        <v>39.4</v>
      </c>
      <c r="C522" s="4">
        <v>0.19999999999999574</v>
      </c>
    </row>
    <row r="523" spans="1:3" x14ac:dyDescent="0.45">
      <c r="A523" s="2">
        <v>33298</v>
      </c>
      <c r="B523" s="4">
        <v>40.700000000000003</v>
      </c>
      <c r="C523" s="4">
        <v>1.3000000000000043</v>
      </c>
    </row>
    <row r="524" spans="1:3" x14ac:dyDescent="0.45">
      <c r="A524" s="2">
        <v>33329</v>
      </c>
      <c r="B524" s="4">
        <v>42.8</v>
      </c>
      <c r="C524" s="4">
        <v>2.0999999999999943</v>
      </c>
    </row>
    <row r="525" spans="1:3" x14ac:dyDescent="0.45">
      <c r="A525" s="2">
        <v>33359</v>
      </c>
      <c r="B525" s="4">
        <v>44.5</v>
      </c>
      <c r="C525" s="4">
        <v>1.7000000000000028</v>
      </c>
    </row>
    <row r="526" spans="1:3" x14ac:dyDescent="0.45">
      <c r="A526" s="2">
        <v>33390</v>
      </c>
      <c r="B526" s="4">
        <v>50.3</v>
      </c>
      <c r="C526" s="4">
        <v>5.7999999999999972</v>
      </c>
    </row>
    <row r="527" spans="1:3" x14ac:dyDescent="0.45">
      <c r="A527" s="2">
        <v>33420</v>
      </c>
      <c r="B527" s="4">
        <v>50.6</v>
      </c>
      <c r="C527" s="4">
        <v>0.30000000000000426</v>
      </c>
    </row>
    <row r="528" spans="1:3" x14ac:dyDescent="0.45">
      <c r="A528" s="2">
        <v>33451</v>
      </c>
      <c r="B528" s="4">
        <v>52.9</v>
      </c>
      <c r="C528" s="4">
        <v>2.2999999999999972</v>
      </c>
    </row>
    <row r="529" spans="1:3" x14ac:dyDescent="0.45">
      <c r="A529" s="2">
        <v>33482</v>
      </c>
      <c r="B529" s="4">
        <v>54.9</v>
      </c>
      <c r="C529" s="4">
        <v>2</v>
      </c>
    </row>
    <row r="530" spans="1:3" x14ac:dyDescent="0.45">
      <c r="A530" s="2">
        <v>33512</v>
      </c>
      <c r="B530" s="4">
        <v>53.1</v>
      </c>
      <c r="C530" s="4">
        <v>-1.7999999999999972</v>
      </c>
    </row>
    <row r="531" spans="1:3" x14ac:dyDescent="0.45">
      <c r="A531" s="2">
        <v>33543</v>
      </c>
      <c r="B531" s="4">
        <v>49.5</v>
      </c>
      <c r="C531" s="4">
        <v>-3.6000000000000014</v>
      </c>
    </row>
    <row r="532" spans="1:3" x14ac:dyDescent="0.45">
      <c r="A532" s="2">
        <v>33573</v>
      </c>
      <c r="B532" s="4">
        <v>46.8</v>
      </c>
      <c r="C532" s="4">
        <v>-2.7000000000000028</v>
      </c>
    </row>
    <row r="533" spans="1:3" x14ac:dyDescent="0.45">
      <c r="A533" s="2">
        <v>33604</v>
      </c>
      <c r="B533" s="4">
        <v>47.3</v>
      </c>
      <c r="C533" s="4">
        <v>0.5</v>
      </c>
    </row>
    <row r="534" spans="1:3" x14ac:dyDescent="0.45">
      <c r="A534" s="2">
        <v>33635</v>
      </c>
      <c r="B534" s="4">
        <v>52.7</v>
      </c>
      <c r="C534" s="4">
        <v>5.4000000000000057</v>
      </c>
    </row>
    <row r="535" spans="1:3" x14ac:dyDescent="0.45">
      <c r="A535" s="2">
        <v>33664</v>
      </c>
      <c r="B535" s="4">
        <v>54.6</v>
      </c>
      <c r="C535" s="4">
        <v>1.8999999999999986</v>
      </c>
    </row>
    <row r="536" spans="1:3" x14ac:dyDescent="0.45">
      <c r="A536" s="2">
        <v>33695</v>
      </c>
      <c r="B536" s="4">
        <v>52.6</v>
      </c>
      <c r="C536" s="4">
        <v>-2</v>
      </c>
    </row>
    <row r="537" spans="1:3" x14ac:dyDescent="0.45">
      <c r="A537" s="2">
        <v>33725</v>
      </c>
      <c r="B537" s="4">
        <v>55.7</v>
      </c>
      <c r="C537" s="4">
        <v>3.1000000000000014</v>
      </c>
    </row>
    <row r="538" spans="1:3" x14ac:dyDescent="0.45">
      <c r="A538" s="2">
        <v>33756</v>
      </c>
      <c r="B538" s="4">
        <v>53.6</v>
      </c>
      <c r="C538" s="4">
        <v>-2.1000000000000014</v>
      </c>
    </row>
    <row r="539" spans="1:3" x14ac:dyDescent="0.45">
      <c r="A539" s="2">
        <v>33786</v>
      </c>
      <c r="B539" s="4">
        <v>53.9</v>
      </c>
      <c r="C539" s="4">
        <v>0.29999999999999716</v>
      </c>
    </row>
    <row r="540" spans="1:3" x14ac:dyDescent="0.45">
      <c r="A540" s="2">
        <v>33817</v>
      </c>
      <c r="B540" s="4">
        <v>53.4</v>
      </c>
      <c r="C540" s="4">
        <v>-0.5</v>
      </c>
    </row>
    <row r="541" spans="1:3" x14ac:dyDescent="0.45">
      <c r="A541" s="2">
        <v>33848</v>
      </c>
      <c r="B541" s="4">
        <v>49.7</v>
      </c>
      <c r="C541" s="4">
        <v>-3.6999999999999957</v>
      </c>
    </row>
    <row r="542" spans="1:3" x14ac:dyDescent="0.45">
      <c r="A542" s="2">
        <v>33878</v>
      </c>
      <c r="B542" s="4">
        <v>50.3</v>
      </c>
      <c r="C542" s="4">
        <v>0.59999999999999432</v>
      </c>
    </row>
    <row r="543" spans="1:3" x14ac:dyDescent="0.45">
      <c r="A543" s="2">
        <v>33909</v>
      </c>
      <c r="B543" s="4">
        <v>53.6</v>
      </c>
      <c r="C543" s="4">
        <v>3.3000000000000043</v>
      </c>
    </row>
    <row r="544" spans="1:3" x14ac:dyDescent="0.45">
      <c r="A544" s="2">
        <v>33939</v>
      </c>
      <c r="B544" s="4">
        <v>54.2</v>
      </c>
      <c r="C544" s="4">
        <v>0.60000000000000142</v>
      </c>
    </row>
    <row r="545" spans="1:3" x14ac:dyDescent="0.45">
      <c r="A545" s="2">
        <v>33970</v>
      </c>
      <c r="B545" s="4">
        <v>55.8</v>
      </c>
      <c r="C545" s="4">
        <v>1.5999999999999943</v>
      </c>
    </row>
    <row r="546" spans="1:3" x14ac:dyDescent="0.45">
      <c r="A546" s="2">
        <v>34001</v>
      </c>
      <c r="B546" s="4">
        <v>55.2</v>
      </c>
      <c r="C546" s="4">
        <v>-0.59999999999999432</v>
      </c>
    </row>
    <row r="547" spans="1:3" x14ac:dyDescent="0.45">
      <c r="A547" s="2">
        <v>34029</v>
      </c>
      <c r="B547" s="4">
        <v>53.5</v>
      </c>
      <c r="C547" s="4">
        <v>-1.7000000000000028</v>
      </c>
    </row>
    <row r="548" spans="1:3" x14ac:dyDescent="0.45">
      <c r="A548" s="2">
        <v>34060</v>
      </c>
      <c r="B548" s="4">
        <v>50.2</v>
      </c>
      <c r="C548" s="4">
        <v>-3.2999999999999972</v>
      </c>
    </row>
    <row r="549" spans="1:3" x14ac:dyDescent="0.45">
      <c r="A549" s="2">
        <v>34090</v>
      </c>
      <c r="B549" s="4">
        <v>51.2</v>
      </c>
      <c r="C549" s="4">
        <v>1</v>
      </c>
    </row>
    <row r="550" spans="1:3" x14ac:dyDescent="0.45">
      <c r="A550" s="2">
        <v>34121</v>
      </c>
      <c r="B550" s="4">
        <v>49.6</v>
      </c>
      <c r="C550" s="4">
        <v>-1.6000000000000014</v>
      </c>
    </row>
    <row r="551" spans="1:3" x14ac:dyDescent="0.45">
      <c r="A551" s="2">
        <v>34151</v>
      </c>
      <c r="B551" s="4">
        <v>50.2</v>
      </c>
      <c r="C551" s="4">
        <v>0.60000000000000142</v>
      </c>
    </row>
    <row r="552" spans="1:3" x14ac:dyDescent="0.45">
      <c r="A552" s="2">
        <v>34182</v>
      </c>
      <c r="B552" s="4">
        <v>50.7</v>
      </c>
      <c r="C552" s="4">
        <v>0.5</v>
      </c>
    </row>
    <row r="553" spans="1:3" x14ac:dyDescent="0.45">
      <c r="A553" s="2">
        <v>34213</v>
      </c>
      <c r="B553" s="4">
        <v>50.8</v>
      </c>
      <c r="C553" s="4">
        <v>9.9999999999994316E-2</v>
      </c>
    </row>
    <row r="554" spans="1:3" x14ac:dyDescent="0.45">
      <c r="A554" s="2">
        <v>34243</v>
      </c>
      <c r="B554" s="4">
        <v>53.4</v>
      </c>
      <c r="C554" s="4">
        <v>2.6000000000000014</v>
      </c>
    </row>
    <row r="555" spans="1:3" x14ac:dyDescent="0.45">
      <c r="A555" s="2">
        <v>34274</v>
      </c>
      <c r="B555" s="4">
        <v>53.8</v>
      </c>
      <c r="C555" s="4">
        <v>0.39999999999999858</v>
      </c>
    </row>
    <row r="556" spans="1:3" x14ac:dyDescent="0.45">
      <c r="A556" s="2">
        <v>34304</v>
      </c>
      <c r="B556" s="4">
        <v>55.6</v>
      </c>
      <c r="C556" s="4">
        <v>1.8000000000000043</v>
      </c>
    </row>
    <row r="557" spans="1:3" x14ac:dyDescent="0.45">
      <c r="A557" s="2">
        <v>34335</v>
      </c>
      <c r="B557" s="4">
        <v>56</v>
      </c>
      <c r="C557" s="4">
        <v>0.39999999999999858</v>
      </c>
    </row>
    <row r="558" spans="1:3" x14ac:dyDescent="0.45">
      <c r="A558" s="2">
        <v>34366</v>
      </c>
      <c r="B558" s="4">
        <v>56.5</v>
      </c>
      <c r="C558" s="4">
        <v>0.5</v>
      </c>
    </row>
    <row r="559" spans="1:3" x14ac:dyDescent="0.45">
      <c r="A559" s="2">
        <v>34394</v>
      </c>
      <c r="B559" s="4">
        <v>56.9</v>
      </c>
      <c r="C559" s="4">
        <v>0.39999999999999858</v>
      </c>
    </row>
    <row r="560" spans="1:3" x14ac:dyDescent="0.45">
      <c r="A560" s="2">
        <v>34425</v>
      </c>
      <c r="B560" s="4">
        <v>57.4</v>
      </c>
      <c r="C560" s="4">
        <v>0.5</v>
      </c>
    </row>
    <row r="561" spans="1:3" x14ac:dyDescent="0.45">
      <c r="A561" s="2">
        <v>34455</v>
      </c>
      <c r="B561" s="4">
        <v>58.2</v>
      </c>
      <c r="C561" s="4">
        <v>0.80000000000000426</v>
      </c>
    </row>
    <row r="562" spans="1:3" x14ac:dyDescent="0.45">
      <c r="A562" s="2">
        <v>34486</v>
      </c>
      <c r="B562" s="4">
        <v>58.8</v>
      </c>
      <c r="C562" s="4">
        <v>0.59999999999999432</v>
      </c>
    </row>
    <row r="563" spans="1:3" x14ac:dyDescent="0.45">
      <c r="A563" s="2">
        <v>34516</v>
      </c>
      <c r="B563" s="4">
        <v>58.5</v>
      </c>
      <c r="C563" s="4">
        <v>-0.29999999999999716</v>
      </c>
    </row>
    <row r="564" spans="1:3" x14ac:dyDescent="0.45">
      <c r="A564" s="2">
        <v>34547</v>
      </c>
      <c r="B564" s="4">
        <v>58</v>
      </c>
      <c r="C564" s="4">
        <v>-0.5</v>
      </c>
    </row>
    <row r="565" spans="1:3" x14ac:dyDescent="0.45">
      <c r="A565" s="2">
        <v>34578</v>
      </c>
      <c r="B565" s="4">
        <v>59</v>
      </c>
      <c r="C565" s="4">
        <v>1</v>
      </c>
    </row>
    <row r="566" spans="1:3" x14ac:dyDescent="0.45">
      <c r="A566" s="2">
        <v>34608</v>
      </c>
      <c r="B566" s="4">
        <v>59.4</v>
      </c>
      <c r="C566" s="4">
        <v>0.39999999999999858</v>
      </c>
    </row>
    <row r="567" spans="1:3" x14ac:dyDescent="0.45">
      <c r="A567" s="2">
        <v>34639</v>
      </c>
      <c r="B567" s="4">
        <v>59.2</v>
      </c>
      <c r="C567" s="4">
        <v>-0.19999999999999574</v>
      </c>
    </row>
    <row r="568" spans="1:3" x14ac:dyDescent="0.45">
      <c r="A568" s="2">
        <v>34669</v>
      </c>
      <c r="B568" s="4">
        <v>56.1</v>
      </c>
      <c r="C568" s="4">
        <v>-3.1000000000000014</v>
      </c>
    </row>
    <row r="569" spans="1:3" x14ac:dyDescent="0.45">
      <c r="A569" s="2">
        <v>34700</v>
      </c>
      <c r="B569" s="4">
        <v>57.4</v>
      </c>
      <c r="C569" s="4">
        <v>1.2999999999999972</v>
      </c>
    </row>
    <row r="570" spans="1:3" x14ac:dyDescent="0.45">
      <c r="A570" s="2">
        <v>34731</v>
      </c>
      <c r="B570" s="4">
        <v>55.1</v>
      </c>
      <c r="C570" s="4">
        <v>-2.2999999999999972</v>
      </c>
    </row>
    <row r="571" spans="1:3" x14ac:dyDescent="0.45">
      <c r="A571" s="2">
        <v>34759</v>
      </c>
      <c r="B571" s="4">
        <v>52.1</v>
      </c>
      <c r="C571" s="4">
        <v>-3</v>
      </c>
    </row>
    <row r="572" spans="1:3" x14ac:dyDescent="0.45">
      <c r="A572" s="2">
        <v>34790</v>
      </c>
      <c r="B572" s="4">
        <v>51.5</v>
      </c>
      <c r="C572" s="4">
        <v>-0.60000000000000142</v>
      </c>
    </row>
    <row r="573" spans="1:3" x14ac:dyDescent="0.45">
      <c r="A573" s="2">
        <v>34820</v>
      </c>
      <c r="B573" s="4">
        <v>46.7</v>
      </c>
      <c r="C573" s="4">
        <v>-4.7999999999999972</v>
      </c>
    </row>
    <row r="574" spans="1:3" x14ac:dyDescent="0.45">
      <c r="A574" s="2">
        <v>34851</v>
      </c>
      <c r="B574" s="4">
        <v>45.9</v>
      </c>
      <c r="C574" s="4">
        <v>-0.80000000000000426</v>
      </c>
    </row>
    <row r="575" spans="1:3" x14ac:dyDescent="0.45">
      <c r="A575" s="2">
        <v>34881</v>
      </c>
      <c r="B575" s="4">
        <v>50.7</v>
      </c>
      <c r="C575" s="4">
        <v>4.8000000000000043</v>
      </c>
    </row>
    <row r="576" spans="1:3" x14ac:dyDescent="0.45">
      <c r="A576" s="2">
        <v>34912</v>
      </c>
      <c r="B576" s="4">
        <v>47.1</v>
      </c>
      <c r="C576" s="4">
        <v>-3.6000000000000014</v>
      </c>
    </row>
    <row r="577" spans="1:3" x14ac:dyDescent="0.45">
      <c r="A577" s="2">
        <v>34943</v>
      </c>
      <c r="B577" s="4">
        <v>48.1</v>
      </c>
      <c r="C577" s="4">
        <v>1</v>
      </c>
    </row>
    <row r="578" spans="1:3" x14ac:dyDescent="0.45">
      <c r="A578" s="2">
        <v>34973</v>
      </c>
      <c r="B578" s="4">
        <v>46.7</v>
      </c>
      <c r="C578" s="4">
        <v>-1.3999999999999986</v>
      </c>
    </row>
    <row r="579" spans="1:3" x14ac:dyDescent="0.45">
      <c r="A579" s="2">
        <v>35004</v>
      </c>
      <c r="B579" s="4">
        <v>45.9</v>
      </c>
      <c r="C579" s="4">
        <v>-0.80000000000000426</v>
      </c>
    </row>
    <row r="580" spans="1:3" x14ac:dyDescent="0.45">
      <c r="A580" s="2">
        <v>35034</v>
      </c>
      <c r="B580" s="4">
        <v>46.2</v>
      </c>
      <c r="C580" s="4">
        <v>0.30000000000000426</v>
      </c>
    </row>
    <row r="581" spans="1:3" x14ac:dyDescent="0.45">
      <c r="A581" s="2">
        <v>35065</v>
      </c>
      <c r="B581" s="4">
        <v>45.5</v>
      </c>
      <c r="C581" s="4">
        <v>-0.70000000000000284</v>
      </c>
    </row>
    <row r="582" spans="1:3" x14ac:dyDescent="0.45">
      <c r="A582" s="2">
        <v>35096</v>
      </c>
      <c r="B582" s="4">
        <v>45.9</v>
      </c>
      <c r="C582" s="4">
        <v>0.39999999999999858</v>
      </c>
    </row>
    <row r="583" spans="1:3" x14ac:dyDescent="0.45">
      <c r="A583" s="2">
        <v>35125</v>
      </c>
      <c r="B583" s="4">
        <v>46.9</v>
      </c>
      <c r="C583" s="4">
        <v>1</v>
      </c>
    </row>
    <row r="584" spans="1:3" x14ac:dyDescent="0.45">
      <c r="A584" s="2">
        <v>35156</v>
      </c>
      <c r="B584" s="4">
        <v>49.3</v>
      </c>
      <c r="C584" s="4">
        <v>2.3999999999999986</v>
      </c>
    </row>
    <row r="585" spans="1:3" x14ac:dyDescent="0.45">
      <c r="A585" s="2">
        <v>35186</v>
      </c>
      <c r="B585" s="4">
        <v>49.1</v>
      </c>
      <c r="C585" s="4">
        <v>-0.19999999999999574</v>
      </c>
    </row>
    <row r="586" spans="1:3" x14ac:dyDescent="0.45">
      <c r="A586" s="2">
        <v>35217</v>
      </c>
      <c r="B586" s="4">
        <v>53.6</v>
      </c>
      <c r="C586" s="4">
        <v>4.5</v>
      </c>
    </row>
    <row r="587" spans="1:3" x14ac:dyDescent="0.45">
      <c r="A587" s="2">
        <v>35247</v>
      </c>
      <c r="B587" s="4">
        <v>49.7</v>
      </c>
      <c r="C587" s="4">
        <v>-3.8999999999999986</v>
      </c>
    </row>
    <row r="588" spans="1:3" x14ac:dyDescent="0.45">
      <c r="A588" s="2">
        <v>35278</v>
      </c>
      <c r="B588" s="4">
        <v>51.6</v>
      </c>
      <c r="C588" s="4">
        <v>1.8999999999999986</v>
      </c>
    </row>
    <row r="589" spans="1:3" x14ac:dyDescent="0.45">
      <c r="A589" s="2">
        <v>35309</v>
      </c>
      <c r="B589" s="4">
        <v>51.1</v>
      </c>
      <c r="C589" s="4">
        <v>-0.5</v>
      </c>
    </row>
    <row r="590" spans="1:3" x14ac:dyDescent="0.45">
      <c r="A590" s="2">
        <v>35339</v>
      </c>
      <c r="B590" s="4">
        <v>50.5</v>
      </c>
      <c r="C590" s="4">
        <v>-0.60000000000000142</v>
      </c>
    </row>
    <row r="591" spans="1:3" x14ac:dyDescent="0.45">
      <c r="A591" s="2">
        <v>35370</v>
      </c>
      <c r="B591" s="4">
        <v>53</v>
      </c>
      <c r="C591" s="4">
        <v>2.5</v>
      </c>
    </row>
    <row r="592" spans="1:3" x14ac:dyDescent="0.45">
      <c r="A592" s="2">
        <v>35400</v>
      </c>
      <c r="B592" s="4">
        <v>55.2</v>
      </c>
      <c r="C592" s="4">
        <v>2.2000000000000028</v>
      </c>
    </row>
    <row r="593" spans="1:3" x14ac:dyDescent="0.45">
      <c r="A593" s="2">
        <v>35431</v>
      </c>
      <c r="B593" s="4">
        <v>53.8</v>
      </c>
      <c r="C593" s="4">
        <v>-1.4000000000000057</v>
      </c>
    </row>
    <row r="594" spans="1:3" x14ac:dyDescent="0.45">
      <c r="A594" s="2">
        <v>35462</v>
      </c>
      <c r="B594" s="4">
        <v>53.1</v>
      </c>
      <c r="C594" s="4">
        <v>-0.69999999999999574</v>
      </c>
    </row>
    <row r="595" spans="1:3" x14ac:dyDescent="0.45">
      <c r="A595" s="2">
        <v>35490</v>
      </c>
      <c r="B595" s="4">
        <v>53.8</v>
      </c>
      <c r="C595" s="4">
        <v>0.69999999999999574</v>
      </c>
    </row>
    <row r="596" spans="1:3" x14ac:dyDescent="0.45">
      <c r="A596" s="2">
        <v>35521</v>
      </c>
      <c r="B596" s="4">
        <v>53.7</v>
      </c>
      <c r="C596" s="4">
        <v>-9.9999999999994316E-2</v>
      </c>
    </row>
    <row r="597" spans="1:3" x14ac:dyDescent="0.45">
      <c r="A597" s="2">
        <v>35551</v>
      </c>
      <c r="B597" s="4">
        <v>56.1</v>
      </c>
      <c r="C597" s="4">
        <v>2.3999999999999986</v>
      </c>
    </row>
    <row r="598" spans="1:3" x14ac:dyDescent="0.45">
      <c r="A598" s="2">
        <v>35582</v>
      </c>
      <c r="B598" s="4">
        <v>54.9</v>
      </c>
      <c r="C598" s="4">
        <v>-1.2000000000000028</v>
      </c>
    </row>
    <row r="599" spans="1:3" x14ac:dyDescent="0.45">
      <c r="A599" s="2">
        <v>35612</v>
      </c>
      <c r="B599" s="4">
        <v>57.7</v>
      </c>
      <c r="C599" s="4">
        <v>2.8000000000000043</v>
      </c>
    </row>
    <row r="600" spans="1:3" x14ac:dyDescent="0.45">
      <c r="A600" s="2">
        <v>35643</v>
      </c>
      <c r="B600" s="4">
        <v>56.3</v>
      </c>
      <c r="C600" s="4">
        <v>-1.4000000000000057</v>
      </c>
    </row>
    <row r="601" spans="1:3" x14ac:dyDescent="0.45">
      <c r="A601" s="2">
        <v>35674</v>
      </c>
      <c r="B601" s="4">
        <v>53.9</v>
      </c>
      <c r="C601" s="4">
        <v>-2.3999999999999986</v>
      </c>
    </row>
    <row r="602" spans="1:3" x14ac:dyDescent="0.45">
      <c r="A602" s="2">
        <v>35704</v>
      </c>
      <c r="B602" s="4">
        <v>56.4</v>
      </c>
      <c r="C602" s="4">
        <v>2.5</v>
      </c>
    </row>
    <row r="603" spans="1:3" x14ac:dyDescent="0.45">
      <c r="A603" s="2">
        <v>35735</v>
      </c>
      <c r="B603" s="4">
        <v>55.7</v>
      </c>
      <c r="C603" s="4">
        <v>-0.69999999999999574</v>
      </c>
    </row>
    <row r="604" spans="1:3" x14ac:dyDescent="0.45">
      <c r="A604" s="2">
        <v>35765</v>
      </c>
      <c r="B604" s="4">
        <v>54.5</v>
      </c>
      <c r="C604" s="4">
        <v>-1.2000000000000028</v>
      </c>
    </row>
    <row r="605" spans="1:3" x14ac:dyDescent="0.45">
      <c r="A605" s="2">
        <v>35796</v>
      </c>
      <c r="B605" s="4">
        <v>53.8</v>
      </c>
      <c r="C605" s="4">
        <v>-0.70000000000000284</v>
      </c>
    </row>
    <row r="606" spans="1:3" x14ac:dyDescent="0.45">
      <c r="A606" s="2">
        <v>35827</v>
      </c>
      <c r="B606" s="4">
        <v>52.9</v>
      </c>
      <c r="C606" s="4">
        <v>-0.89999999999999858</v>
      </c>
    </row>
    <row r="607" spans="1:3" x14ac:dyDescent="0.45">
      <c r="A607" s="2">
        <v>35855</v>
      </c>
      <c r="B607" s="4">
        <v>52.9</v>
      </c>
      <c r="C607" s="4">
        <v>0</v>
      </c>
    </row>
    <row r="608" spans="1:3" x14ac:dyDescent="0.45">
      <c r="A608" s="2">
        <v>35886</v>
      </c>
      <c r="B608" s="4">
        <v>52.2</v>
      </c>
      <c r="C608" s="4">
        <v>-0.69999999999999574</v>
      </c>
    </row>
    <row r="609" spans="1:3" x14ac:dyDescent="0.45">
      <c r="A609" s="2">
        <v>35916</v>
      </c>
      <c r="B609" s="4">
        <v>50.9</v>
      </c>
      <c r="C609" s="4">
        <v>-1.3000000000000043</v>
      </c>
    </row>
    <row r="610" spans="1:3" x14ac:dyDescent="0.45">
      <c r="A610" s="2">
        <v>35947</v>
      </c>
      <c r="B610" s="4">
        <v>48.9</v>
      </c>
      <c r="C610" s="4">
        <v>-2</v>
      </c>
    </row>
    <row r="611" spans="1:3" x14ac:dyDescent="0.45">
      <c r="A611" s="2">
        <v>35977</v>
      </c>
      <c r="B611" s="4">
        <v>49.2</v>
      </c>
      <c r="C611" s="4">
        <v>0.30000000000000426</v>
      </c>
    </row>
    <row r="612" spans="1:3" x14ac:dyDescent="0.45">
      <c r="A612" s="2">
        <v>36008</v>
      </c>
      <c r="B612" s="4">
        <v>49.3</v>
      </c>
      <c r="C612" s="4">
        <v>9.9999999999994316E-2</v>
      </c>
    </row>
    <row r="613" spans="1:3" x14ac:dyDescent="0.45">
      <c r="A613" s="2">
        <v>36039</v>
      </c>
      <c r="B613" s="4">
        <v>48.7</v>
      </c>
      <c r="C613" s="4">
        <v>-0.59999999999999432</v>
      </c>
    </row>
    <row r="614" spans="1:3" x14ac:dyDescent="0.45">
      <c r="A614" s="2">
        <v>36069</v>
      </c>
      <c r="B614" s="4">
        <v>48.7</v>
      </c>
      <c r="C614" s="4">
        <v>0</v>
      </c>
    </row>
    <row r="615" spans="1:3" x14ac:dyDescent="0.45">
      <c r="A615" s="2">
        <v>36100</v>
      </c>
      <c r="B615" s="4">
        <v>48.2</v>
      </c>
      <c r="C615" s="4">
        <v>-0.5</v>
      </c>
    </row>
    <row r="616" spans="1:3" x14ac:dyDescent="0.45">
      <c r="A616" s="2">
        <v>36130</v>
      </c>
      <c r="B616" s="4">
        <v>46.8</v>
      </c>
      <c r="C616" s="4">
        <v>-1.4000000000000057</v>
      </c>
    </row>
    <row r="617" spans="1:3" x14ac:dyDescent="0.45">
      <c r="A617" s="2">
        <v>36161</v>
      </c>
      <c r="B617" s="4">
        <v>50.6</v>
      </c>
      <c r="C617" s="4">
        <v>3.8000000000000043</v>
      </c>
    </row>
    <row r="618" spans="1:3" x14ac:dyDescent="0.45">
      <c r="A618" s="2">
        <v>36192</v>
      </c>
      <c r="B618" s="4">
        <v>51.7</v>
      </c>
      <c r="C618" s="4">
        <v>1.1000000000000014</v>
      </c>
    </row>
    <row r="619" spans="1:3" x14ac:dyDescent="0.45">
      <c r="A619" s="2">
        <v>36220</v>
      </c>
      <c r="B619" s="4">
        <v>52.4</v>
      </c>
      <c r="C619" s="4">
        <v>0.69999999999999574</v>
      </c>
    </row>
    <row r="620" spans="1:3" x14ac:dyDescent="0.45">
      <c r="A620" s="2">
        <v>36251</v>
      </c>
      <c r="B620" s="4">
        <v>52.3</v>
      </c>
      <c r="C620" s="4">
        <v>-0.10000000000000142</v>
      </c>
    </row>
    <row r="621" spans="1:3" x14ac:dyDescent="0.45">
      <c r="A621" s="2">
        <v>36281</v>
      </c>
      <c r="B621" s="4">
        <v>54.3</v>
      </c>
      <c r="C621" s="4">
        <v>2</v>
      </c>
    </row>
    <row r="622" spans="1:3" x14ac:dyDescent="0.45">
      <c r="A622" s="2">
        <v>36312</v>
      </c>
      <c r="B622" s="4">
        <v>55.8</v>
      </c>
      <c r="C622" s="4">
        <v>1.5</v>
      </c>
    </row>
    <row r="623" spans="1:3" x14ac:dyDescent="0.45">
      <c r="A623" s="2">
        <v>36342</v>
      </c>
      <c r="B623" s="4">
        <v>53.6</v>
      </c>
      <c r="C623" s="4">
        <v>-2.1999999999999957</v>
      </c>
    </row>
    <row r="624" spans="1:3" x14ac:dyDescent="0.45">
      <c r="A624" s="2">
        <v>36373</v>
      </c>
      <c r="B624" s="4">
        <v>54.8</v>
      </c>
      <c r="C624" s="4">
        <v>1.1999999999999957</v>
      </c>
    </row>
    <row r="625" spans="1:3" x14ac:dyDescent="0.45">
      <c r="A625" s="2">
        <v>36404</v>
      </c>
      <c r="B625" s="4">
        <v>57</v>
      </c>
      <c r="C625" s="4">
        <v>2.2000000000000028</v>
      </c>
    </row>
    <row r="626" spans="1:3" x14ac:dyDescent="0.45">
      <c r="A626" s="2">
        <v>36434</v>
      </c>
      <c r="B626" s="4">
        <v>57.2</v>
      </c>
      <c r="C626" s="4">
        <v>0.20000000000000284</v>
      </c>
    </row>
    <row r="627" spans="1:3" x14ac:dyDescent="0.45">
      <c r="A627" s="2">
        <v>36465</v>
      </c>
      <c r="B627" s="4">
        <v>58.1</v>
      </c>
      <c r="C627" s="4">
        <v>0.89999999999999858</v>
      </c>
    </row>
    <row r="628" spans="1:3" x14ac:dyDescent="0.45">
      <c r="A628" s="2">
        <v>36495</v>
      </c>
      <c r="B628" s="4">
        <v>57.8</v>
      </c>
      <c r="C628" s="4">
        <v>-0.30000000000000426</v>
      </c>
    </row>
    <row r="629" spans="1:3" x14ac:dyDescent="0.45">
      <c r="A629" s="2">
        <v>36526</v>
      </c>
      <c r="B629" s="4">
        <v>56.7</v>
      </c>
      <c r="C629" s="4">
        <v>-1.0999999999999943</v>
      </c>
    </row>
    <row r="630" spans="1:3" x14ac:dyDescent="0.45">
      <c r="A630" s="2">
        <v>36557</v>
      </c>
      <c r="B630" s="4">
        <v>55.8</v>
      </c>
      <c r="C630" s="4">
        <v>-0.90000000000000568</v>
      </c>
    </row>
    <row r="631" spans="1:3" x14ac:dyDescent="0.45">
      <c r="A631" s="2">
        <v>36586</v>
      </c>
      <c r="B631" s="4">
        <v>54.9</v>
      </c>
      <c r="C631" s="4">
        <v>-0.89999999999999858</v>
      </c>
    </row>
    <row r="632" spans="1:3" x14ac:dyDescent="0.45">
      <c r="A632" s="2">
        <v>36617</v>
      </c>
      <c r="B632" s="4">
        <v>54.7</v>
      </c>
      <c r="C632" s="4">
        <v>-0.19999999999999574</v>
      </c>
    </row>
    <row r="633" spans="1:3" x14ac:dyDescent="0.45">
      <c r="A633" s="2">
        <v>36647</v>
      </c>
      <c r="B633" s="4">
        <v>53.2</v>
      </c>
      <c r="C633" s="4">
        <v>-1.5</v>
      </c>
    </row>
    <row r="634" spans="1:3" x14ac:dyDescent="0.45">
      <c r="A634" s="2">
        <v>36678</v>
      </c>
      <c r="B634" s="4">
        <v>51.4</v>
      </c>
      <c r="C634" s="4">
        <v>-1.8000000000000043</v>
      </c>
    </row>
    <row r="635" spans="1:3" x14ac:dyDescent="0.45">
      <c r="A635" s="2">
        <v>36708</v>
      </c>
      <c r="B635" s="4">
        <v>52.5</v>
      </c>
      <c r="C635" s="4">
        <v>1.1000000000000014</v>
      </c>
    </row>
    <row r="636" spans="1:3" x14ac:dyDescent="0.45">
      <c r="A636" s="2">
        <v>36739</v>
      </c>
      <c r="B636" s="4">
        <v>49.9</v>
      </c>
      <c r="C636" s="4">
        <v>-2.6000000000000014</v>
      </c>
    </row>
    <row r="637" spans="1:3" x14ac:dyDescent="0.45">
      <c r="A637" s="2">
        <v>36770</v>
      </c>
      <c r="B637" s="4">
        <v>49.7</v>
      </c>
      <c r="C637" s="4">
        <v>-0.19999999999999574</v>
      </c>
    </row>
    <row r="638" spans="1:3" x14ac:dyDescent="0.45">
      <c r="A638" s="2">
        <v>36800</v>
      </c>
      <c r="B638" s="4">
        <v>48.7</v>
      </c>
      <c r="C638" s="4">
        <v>-1</v>
      </c>
    </row>
    <row r="639" spans="1:3" x14ac:dyDescent="0.45">
      <c r="A639" s="2">
        <v>36831</v>
      </c>
      <c r="B639" s="4">
        <v>48.5</v>
      </c>
      <c r="C639" s="4">
        <v>-0.20000000000000284</v>
      </c>
    </row>
    <row r="640" spans="1:3" x14ac:dyDescent="0.45">
      <c r="A640" s="2">
        <v>36861</v>
      </c>
      <c r="B640" s="4">
        <v>43.9</v>
      </c>
      <c r="C640" s="4">
        <v>-4.6000000000000014</v>
      </c>
    </row>
    <row r="641" spans="1:3" x14ac:dyDescent="0.45">
      <c r="A641" s="2">
        <v>36892</v>
      </c>
      <c r="B641" s="4">
        <v>42.3</v>
      </c>
      <c r="C641" s="4">
        <v>-1.6000000000000014</v>
      </c>
    </row>
    <row r="642" spans="1:3" x14ac:dyDescent="0.45">
      <c r="A642" s="2">
        <v>36923</v>
      </c>
      <c r="B642" s="4">
        <v>42.1</v>
      </c>
      <c r="C642" s="4">
        <v>-0.19999999999999574</v>
      </c>
    </row>
    <row r="643" spans="1:3" x14ac:dyDescent="0.45">
      <c r="A643" s="2">
        <v>36951</v>
      </c>
      <c r="B643" s="4">
        <v>43.1</v>
      </c>
      <c r="C643" s="4">
        <v>1</v>
      </c>
    </row>
    <row r="644" spans="1:3" x14ac:dyDescent="0.45">
      <c r="A644" s="2">
        <v>36982</v>
      </c>
      <c r="B644" s="4">
        <v>42.7</v>
      </c>
      <c r="C644" s="4">
        <v>-0.39999999999999858</v>
      </c>
    </row>
    <row r="645" spans="1:3" x14ac:dyDescent="0.45">
      <c r="A645" s="2">
        <v>37012</v>
      </c>
      <c r="B645" s="4">
        <v>41.3</v>
      </c>
      <c r="C645" s="4">
        <v>-1.4000000000000057</v>
      </c>
    </row>
    <row r="646" spans="1:3" x14ac:dyDescent="0.45">
      <c r="A646" s="2">
        <v>37043</v>
      </c>
      <c r="B646" s="4">
        <v>43.2</v>
      </c>
      <c r="C646" s="4">
        <v>1.9000000000000057</v>
      </c>
    </row>
    <row r="647" spans="1:3" x14ac:dyDescent="0.45">
      <c r="A647" s="2">
        <v>37073</v>
      </c>
      <c r="B647" s="4">
        <v>43.5</v>
      </c>
      <c r="C647" s="4">
        <v>0.29999999999999716</v>
      </c>
    </row>
    <row r="648" spans="1:3" x14ac:dyDescent="0.45">
      <c r="A648" s="2">
        <v>37104</v>
      </c>
      <c r="B648" s="4">
        <v>46.3</v>
      </c>
      <c r="C648" s="4">
        <v>2.7999999999999972</v>
      </c>
    </row>
    <row r="649" spans="1:3" x14ac:dyDescent="0.45">
      <c r="A649" s="2">
        <v>37135</v>
      </c>
      <c r="B649" s="4">
        <v>46.2</v>
      </c>
      <c r="C649" s="4">
        <v>-9.9999999999994316E-2</v>
      </c>
    </row>
    <row r="650" spans="1:3" x14ac:dyDescent="0.45">
      <c r="A650" s="2">
        <v>37165</v>
      </c>
      <c r="B650" s="4">
        <v>40.799999999999997</v>
      </c>
      <c r="C650" s="4">
        <v>-5.4000000000000057</v>
      </c>
    </row>
    <row r="651" spans="1:3" x14ac:dyDescent="0.45">
      <c r="A651" s="2">
        <v>37196</v>
      </c>
      <c r="B651" s="4">
        <v>44.1</v>
      </c>
      <c r="C651" s="4">
        <v>3.3000000000000043</v>
      </c>
    </row>
    <row r="652" spans="1:3" x14ac:dyDescent="0.45">
      <c r="A652" s="2">
        <v>37226</v>
      </c>
      <c r="B652" s="4">
        <v>45.3</v>
      </c>
      <c r="C652" s="4">
        <v>1.1999999999999957</v>
      </c>
    </row>
    <row r="653" spans="1:3" x14ac:dyDescent="0.45">
      <c r="A653" s="2">
        <v>37257</v>
      </c>
      <c r="B653" s="4">
        <v>47.5</v>
      </c>
      <c r="C653" s="4">
        <v>2.2000000000000028</v>
      </c>
    </row>
    <row r="654" spans="1:3" x14ac:dyDescent="0.45">
      <c r="A654" s="2">
        <v>37288</v>
      </c>
      <c r="B654" s="4">
        <v>50.7</v>
      </c>
      <c r="C654" s="4">
        <v>3.2000000000000028</v>
      </c>
    </row>
    <row r="655" spans="1:3" x14ac:dyDescent="0.45">
      <c r="A655" s="2">
        <v>37316</v>
      </c>
      <c r="B655" s="4">
        <v>52.4</v>
      </c>
      <c r="C655" s="4">
        <v>1.6999999999999957</v>
      </c>
    </row>
    <row r="656" spans="1:3" x14ac:dyDescent="0.45">
      <c r="A656" s="2">
        <v>37347</v>
      </c>
      <c r="B656" s="4">
        <v>52.4</v>
      </c>
      <c r="C656" s="4">
        <v>0</v>
      </c>
    </row>
    <row r="657" spans="1:3" x14ac:dyDescent="0.45">
      <c r="A657" s="2">
        <v>37377</v>
      </c>
      <c r="B657" s="4">
        <v>53.1</v>
      </c>
      <c r="C657" s="4">
        <v>0.70000000000000284</v>
      </c>
    </row>
    <row r="658" spans="1:3" x14ac:dyDescent="0.45">
      <c r="A658" s="2">
        <v>37408</v>
      </c>
      <c r="B658" s="4">
        <v>53.6</v>
      </c>
      <c r="C658" s="4">
        <v>0.5</v>
      </c>
    </row>
    <row r="659" spans="1:3" x14ac:dyDescent="0.45">
      <c r="A659" s="2">
        <v>37438</v>
      </c>
      <c r="B659" s="4">
        <v>50.2</v>
      </c>
      <c r="C659" s="4">
        <v>-3.3999999999999986</v>
      </c>
    </row>
    <row r="660" spans="1:3" x14ac:dyDescent="0.45">
      <c r="A660" s="2">
        <v>37469</v>
      </c>
      <c r="B660" s="4">
        <v>50.3</v>
      </c>
      <c r="C660" s="4">
        <v>9.9999999999994316E-2</v>
      </c>
    </row>
    <row r="661" spans="1:3" x14ac:dyDescent="0.45">
      <c r="A661" s="2">
        <v>37500</v>
      </c>
      <c r="B661" s="4">
        <v>50.5</v>
      </c>
      <c r="C661" s="4">
        <v>0.20000000000000284</v>
      </c>
    </row>
    <row r="662" spans="1:3" x14ac:dyDescent="0.45">
      <c r="A662" s="2">
        <v>37530</v>
      </c>
      <c r="B662" s="4">
        <v>49</v>
      </c>
      <c r="C662" s="4">
        <v>-1.5</v>
      </c>
    </row>
    <row r="663" spans="1:3" x14ac:dyDescent="0.45">
      <c r="A663" s="2">
        <v>37561</v>
      </c>
      <c r="B663" s="4">
        <v>48.5</v>
      </c>
      <c r="C663" s="4">
        <v>-0.5</v>
      </c>
    </row>
    <row r="664" spans="1:3" x14ac:dyDescent="0.45">
      <c r="A664" s="2">
        <v>37591</v>
      </c>
      <c r="B664" s="4">
        <v>51.6</v>
      </c>
      <c r="C664" s="4">
        <v>3.1000000000000014</v>
      </c>
    </row>
    <row r="665" spans="1:3" x14ac:dyDescent="0.45">
      <c r="A665" s="2">
        <v>37622</v>
      </c>
      <c r="B665" s="4">
        <v>51.3</v>
      </c>
      <c r="C665" s="4">
        <v>-0.30000000000000426</v>
      </c>
    </row>
    <row r="666" spans="1:3" x14ac:dyDescent="0.45">
      <c r="A666" s="2">
        <v>37653</v>
      </c>
      <c r="B666" s="4">
        <v>48.8</v>
      </c>
      <c r="C666" s="4">
        <v>-2.5</v>
      </c>
    </row>
    <row r="667" spans="1:3" x14ac:dyDescent="0.45">
      <c r="A667" s="2">
        <v>37681</v>
      </c>
      <c r="B667" s="4">
        <v>46.3</v>
      </c>
      <c r="C667" s="4">
        <v>-2.5</v>
      </c>
    </row>
    <row r="668" spans="1:3" x14ac:dyDescent="0.45">
      <c r="A668" s="2">
        <v>37712</v>
      </c>
      <c r="B668" s="4">
        <v>46.1</v>
      </c>
      <c r="C668" s="4">
        <v>-0.19999999999999574</v>
      </c>
    </row>
    <row r="669" spans="1:3" x14ac:dyDescent="0.45">
      <c r="A669" s="2">
        <v>37742</v>
      </c>
      <c r="B669" s="4">
        <v>49</v>
      </c>
      <c r="C669" s="4">
        <v>2.8999999999999986</v>
      </c>
    </row>
    <row r="670" spans="1:3" x14ac:dyDescent="0.45">
      <c r="A670" s="2">
        <v>37773</v>
      </c>
      <c r="B670" s="4">
        <v>49</v>
      </c>
      <c r="C670" s="4">
        <v>0</v>
      </c>
    </row>
    <row r="671" spans="1:3" x14ac:dyDescent="0.45">
      <c r="A671" s="2">
        <v>37803</v>
      </c>
      <c r="B671" s="4">
        <v>51</v>
      </c>
      <c r="C671" s="4">
        <v>2</v>
      </c>
    </row>
    <row r="672" spans="1:3" x14ac:dyDescent="0.45">
      <c r="A672" s="2">
        <v>37834</v>
      </c>
      <c r="B672" s="4">
        <v>53.2</v>
      </c>
      <c r="C672" s="4">
        <v>2.2000000000000028</v>
      </c>
    </row>
    <row r="673" spans="1:3" x14ac:dyDescent="0.45">
      <c r="A673" s="2">
        <v>37865</v>
      </c>
      <c r="B673" s="4">
        <v>52.4</v>
      </c>
      <c r="C673" s="4">
        <v>-0.80000000000000426</v>
      </c>
    </row>
    <row r="674" spans="1:3" x14ac:dyDescent="0.45">
      <c r="A674" s="2">
        <v>37895</v>
      </c>
      <c r="B674" s="4">
        <v>55.2</v>
      </c>
      <c r="C674" s="4">
        <v>2.8000000000000043</v>
      </c>
    </row>
    <row r="675" spans="1:3" x14ac:dyDescent="0.45">
      <c r="A675" s="2">
        <v>37926</v>
      </c>
      <c r="B675" s="4">
        <v>58.4</v>
      </c>
      <c r="C675" s="4">
        <v>3.1999999999999957</v>
      </c>
    </row>
    <row r="676" spans="1:3" x14ac:dyDescent="0.45">
      <c r="A676" s="2">
        <v>37956</v>
      </c>
      <c r="B676" s="4">
        <v>60.1</v>
      </c>
      <c r="C676" s="4">
        <v>1.7000000000000028</v>
      </c>
    </row>
    <row r="677" spans="1:3" x14ac:dyDescent="0.45">
      <c r="A677" s="2">
        <v>37987</v>
      </c>
      <c r="B677" s="4">
        <v>60.8</v>
      </c>
      <c r="C677" s="4">
        <v>0.69999999999999574</v>
      </c>
    </row>
    <row r="678" spans="1:3" x14ac:dyDescent="0.45">
      <c r="A678" s="2">
        <v>38018</v>
      </c>
      <c r="B678" s="4">
        <v>59.9</v>
      </c>
      <c r="C678" s="4">
        <v>-0.89999999999999858</v>
      </c>
    </row>
    <row r="679" spans="1:3" x14ac:dyDescent="0.45">
      <c r="A679" s="2">
        <v>38047</v>
      </c>
      <c r="B679" s="4">
        <v>60.6</v>
      </c>
      <c r="C679" s="4">
        <v>0.70000000000000284</v>
      </c>
    </row>
    <row r="680" spans="1:3" x14ac:dyDescent="0.45">
      <c r="A680" s="2">
        <v>38078</v>
      </c>
      <c r="B680" s="4">
        <v>60.6</v>
      </c>
      <c r="C680" s="4">
        <v>0</v>
      </c>
    </row>
    <row r="681" spans="1:3" x14ac:dyDescent="0.45">
      <c r="A681" s="2">
        <v>38108</v>
      </c>
      <c r="B681" s="4">
        <v>61.4</v>
      </c>
      <c r="C681" s="4">
        <v>0.79999999999999716</v>
      </c>
    </row>
    <row r="682" spans="1:3" x14ac:dyDescent="0.45">
      <c r="A682" s="2">
        <v>38139</v>
      </c>
      <c r="B682" s="4">
        <v>60.5</v>
      </c>
      <c r="C682" s="4">
        <v>-0.89999999999999858</v>
      </c>
    </row>
    <row r="683" spans="1:3" x14ac:dyDescent="0.45">
      <c r="A683" s="2">
        <v>38169</v>
      </c>
      <c r="B683" s="4">
        <v>59.9</v>
      </c>
      <c r="C683" s="4">
        <v>-0.60000000000000142</v>
      </c>
    </row>
    <row r="684" spans="1:3" x14ac:dyDescent="0.45">
      <c r="A684" s="2">
        <v>38200</v>
      </c>
      <c r="B684" s="4">
        <v>58.5</v>
      </c>
      <c r="C684" s="4">
        <v>-1.3999999999999986</v>
      </c>
    </row>
    <row r="685" spans="1:3" x14ac:dyDescent="0.45">
      <c r="A685" s="2">
        <v>38231</v>
      </c>
      <c r="B685" s="4">
        <v>57.4</v>
      </c>
      <c r="C685" s="4">
        <v>-1.1000000000000014</v>
      </c>
    </row>
    <row r="686" spans="1:3" x14ac:dyDescent="0.45">
      <c r="A686" s="2">
        <v>38261</v>
      </c>
      <c r="B686" s="4">
        <v>56.3</v>
      </c>
      <c r="C686" s="4">
        <v>-1.1000000000000014</v>
      </c>
    </row>
    <row r="687" spans="1:3" x14ac:dyDescent="0.45">
      <c r="A687" s="2">
        <v>38292</v>
      </c>
      <c r="B687" s="4">
        <v>56.2</v>
      </c>
      <c r="C687" s="4">
        <v>-9.9999999999994316E-2</v>
      </c>
    </row>
    <row r="688" spans="1:3" x14ac:dyDescent="0.45">
      <c r="A688" s="2">
        <v>38322</v>
      </c>
      <c r="B688" s="4">
        <v>57.2</v>
      </c>
      <c r="C688" s="4">
        <v>1</v>
      </c>
    </row>
    <row r="689" spans="1:3" x14ac:dyDescent="0.45">
      <c r="A689" s="2">
        <v>38353</v>
      </c>
      <c r="B689" s="4">
        <v>56.6</v>
      </c>
      <c r="C689" s="4">
        <v>-0.60000000000000142</v>
      </c>
    </row>
    <row r="690" spans="1:3" x14ac:dyDescent="0.45">
      <c r="A690" s="2">
        <v>38384</v>
      </c>
      <c r="B690" s="4">
        <v>54.8</v>
      </c>
      <c r="C690" s="4">
        <v>-1.8000000000000043</v>
      </c>
    </row>
    <row r="691" spans="1:3" x14ac:dyDescent="0.45">
      <c r="A691" s="2">
        <v>38412</v>
      </c>
      <c r="B691" s="4">
        <v>54.9</v>
      </c>
      <c r="C691" s="4">
        <v>0.10000000000000142</v>
      </c>
    </row>
    <row r="692" spans="1:3" x14ac:dyDescent="0.45">
      <c r="A692" s="2">
        <v>38443</v>
      </c>
      <c r="B692" s="4">
        <v>52.5</v>
      </c>
      <c r="C692" s="4">
        <v>-2.3999999999999986</v>
      </c>
    </row>
    <row r="693" spans="1:3" x14ac:dyDescent="0.45">
      <c r="A693" s="2">
        <v>38473</v>
      </c>
      <c r="B693" s="4">
        <v>51</v>
      </c>
      <c r="C693" s="4">
        <v>-1.5</v>
      </c>
    </row>
    <row r="694" spans="1:3" x14ac:dyDescent="0.45">
      <c r="A694" s="2">
        <v>38504</v>
      </c>
      <c r="B694" s="4">
        <v>52.6</v>
      </c>
      <c r="C694" s="4">
        <v>1.6000000000000014</v>
      </c>
    </row>
    <row r="695" spans="1:3" x14ac:dyDescent="0.45">
      <c r="A695" s="2">
        <v>38534</v>
      </c>
      <c r="B695" s="4">
        <v>54</v>
      </c>
      <c r="C695" s="4">
        <v>1.3999999999999986</v>
      </c>
    </row>
    <row r="696" spans="1:3" x14ac:dyDescent="0.45">
      <c r="A696" s="2">
        <v>38565</v>
      </c>
      <c r="B696" s="4">
        <v>51.6</v>
      </c>
      <c r="C696" s="4">
        <v>-2.3999999999999986</v>
      </c>
    </row>
    <row r="697" spans="1:3" x14ac:dyDescent="0.45">
      <c r="A697" s="2">
        <v>38596</v>
      </c>
      <c r="B697" s="4">
        <v>56.5</v>
      </c>
      <c r="C697" s="4">
        <v>4.8999999999999986</v>
      </c>
    </row>
    <row r="698" spans="1:3" x14ac:dyDescent="0.45">
      <c r="A698" s="2">
        <v>38626</v>
      </c>
      <c r="B698" s="4">
        <v>57.2</v>
      </c>
      <c r="C698" s="4">
        <v>0.70000000000000284</v>
      </c>
    </row>
    <row r="699" spans="1:3" x14ac:dyDescent="0.45">
      <c r="A699" s="2">
        <v>38657</v>
      </c>
      <c r="B699" s="4">
        <v>56.5</v>
      </c>
      <c r="C699" s="4">
        <v>-0.70000000000000284</v>
      </c>
    </row>
    <row r="700" spans="1:3" x14ac:dyDescent="0.45">
      <c r="A700" s="2">
        <v>38687</v>
      </c>
      <c r="B700" s="4">
        <v>54.9</v>
      </c>
      <c r="C700" s="4">
        <v>-1.6000000000000014</v>
      </c>
    </row>
    <row r="701" spans="1:3" x14ac:dyDescent="0.45">
      <c r="A701" s="2">
        <v>38718</v>
      </c>
      <c r="B701" s="4">
        <v>55</v>
      </c>
      <c r="C701" s="4">
        <v>0.10000000000000142</v>
      </c>
    </row>
    <row r="702" spans="1:3" x14ac:dyDescent="0.45">
      <c r="A702" s="2">
        <v>38749</v>
      </c>
      <c r="B702" s="4">
        <v>55.5</v>
      </c>
      <c r="C702" s="4">
        <v>0.5</v>
      </c>
    </row>
    <row r="703" spans="1:3" x14ac:dyDescent="0.45">
      <c r="A703" s="2">
        <v>38777</v>
      </c>
      <c r="B703" s="4">
        <v>54.7</v>
      </c>
      <c r="C703" s="4">
        <v>-0.79999999999999716</v>
      </c>
    </row>
    <row r="704" spans="1:3" x14ac:dyDescent="0.45">
      <c r="A704" s="2">
        <v>38808</v>
      </c>
      <c r="B704" s="4">
        <v>55.8</v>
      </c>
      <c r="C704" s="4">
        <v>1.0999999999999943</v>
      </c>
    </row>
    <row r="705" spans="1:3" x14ac:dyDescent="0.45">
      <c r="A705" s="2">
        <v>38838</v>
      </c>
      <c r="B705" s="4">
        <v>53.5</v>
      </c>
      <c r="C705" s="4">
        <v>-2.2999999999999972</v>
      </c>
    </row>
    <row r="706" spans="1:3" x14ac:dyDescent="0.45">
      <c r="A706" s="2">
        <v>38869</v>
      </c>
      <c r="B706" s="4">
        <v>52.4</v>
      </c>
      <c r="C706" s="4">
        <v>-1.1000000000000014</v>
      </c>
    </row>
    <row r="707" spans="1:3" x14ac:dyDescent="0.45">
      <c r="A707" s="2">
        <v>38899</v>
      </c>
      <c r="B707" s="4">
        <v>53.2</v>
      </c>
      <c r="C707" s="4">
        <v>0.80000000000000426</v>
      </c>
    </row>
    <row r="708" spans="1:3" x14ac:dyDescent="0.45">
      <c r="A708" s="2">
        <v>38930</v>
      </c>
      <c r="B708" s="4">
        <v>52.8</v>
      </c>
      <c r="C708" s="4">
        <v>-0.40000000000000568</v>
      </c>
    </row>
    <row r="709" spans="1:3" x14ac:dyDescent="0.45">
      <c r="A709" s="2">
        <v>38961</v>
      </c>
      <c r="B709" s="4">
        <v>51.8</v>
      </c>
      <c r="C709" s="4">
        <v>-1</v>
      </c>
    </row>
    <row r="710" spans="1:3" x14ac:dyDescent="0.45">
      <c r="A710" s="2">
        <v>38991</v>
      </c>
      <c r="B710" s="4">
        <v>50.5</v>
      </c>
      <c r="C710" s="4">
        <v>-1.2999999999999972</v>
      </c>
    </row>
    <row r="711" spans="1:3" x14ac:dyDescent="0.45">
      <c r="A711" s="2">
        <v>39022</v>
      </c>
      <c r="B711" s="4">
        <v>50.4</v>
      </c>
      <c r="C711" s="4">
        <v>-0.10000000000000142</v>
      </c>
    </row>
    <row r="712" spans="1:3" x14ac:dyDescent="0.45">
      <c r="A712" s="2">
        <v>39052</v>
      </c>
      <c r="B712" s="4">
        <v>52</v>
      </c>
      <c r="C712" s="4">
        <v>1.6000000000000014</v>
      </c>
    </row>
    <row r="713" spans="1:3" x14ac:dyDescent="0.45">
      <c r="A713" s="2">
        <v>39083</v>
      </c>
      <c r="B713" s="4">
        <v>49.9</v>
      </c>
      <c r="C713" s="4">
        <v>-2.1000000000000014</v>
      </c>
    </row>
    <row r="714" spans="1:3" x14ac:dyDescent="0.45">
      <c r="A714" s="2">
        <v>39114</v>
      </c>
      <c r="B714" s="4">
        <v>52</v>
      </c>
      <c r="C714" s="4">
        <v>2.1000000000000014</v>
      </c>
    </row>
    <row r="715" spans="1:3" x14ac:dyDescent="0.45">
      <c r="A715" s="2">
        <v>39142</v>
      </c>
      <c r="B715" s="4">
        <v>51.3</v>
      </c>
      <c r="C715" s="4">
        <v>-0.70000000000000284</v>
      </c>
    </row>
    <row r="716" spans="1:3" x14ac:dyDescent="0.45">
      <c r="A716" s="2">
        <v>39173</v>
      </c>
      <c r="B716" s="4">
        <v>52.6</v>
      </c>
      <c r="C716" s="4">
        <v>1.3000000000000043</v>
      </c>
    </row>
    <row r="717" spans="1:3" x14ac:dyDescent="0.45">
      <c r="A717" s="2">
        <v>39203</v>
      </c>
      <c r="B717" s="4">
        <v>52.3</v>
      </c>
      <c r="C717" s="4">
        <v>-0.30000000000000426</v>
      </c>
    </row>
    <row r="718" spans="1:3" x14ac:dyDescent="0.45">
      <c r="A718" s="2">
        <v>39234</v>
      </c>
      <c r="B718" s="4">
        <v>52.4</v>
      </c>
      <c r="C718" s="4">
        <v>0.10000000000000142</v>
      </c>
    </row>
    <row r="719" spans="1:3" x14ac:dyDescent="0.45">
      <c r="A719" s="2">
        <v>39264</v>
      </c>
      <c r="B719" s="4">
        <v>51.7</v>
      </c>
      <c r="C719" s="4">
        <v>-0.69999999999999574</v>
      </c>
    </row>
    <row r="720" spans="1:3" x14ac:dyDescent="0.45">
      <c r="A720" s="2">
        <v>39295</v>
      </c>
      <c r="B720" s="4">
        <v>50.2</v>
      </c>
      <c r="C720" s="4">
        <v>-1.5</v>
      </c>
    </row>
    <row r="721" spans="1:3" x14ac:dyDescent="0.45">
      <c r="A721" s="2">
        <v>39326</v>
      </c>
      <c r="B721" s="4">
        <v>50</v>
      </c>
      <c r="C721" s="4">
        <v>-0.20000000000000284</v>
      </c>
    </row>
    <row r="722" spans="1:3" x14ac:dyDescent="0.45">
      <c r="A722" s="2">
        <v>39356</v>
      </c>
      <c r="B722" s="4">
        <v>50.9</v>
      </c>
      <c r="C722" s="4">
        <v>0.89999999999999858</v>
      </c>
    </row>
    <row r="723" spans="1:3" x14ac:dyDescent="0.45">
      <c r="A723" s="2">
        <v>39387</v>
      </c>
      <c r="B723" s="4">
        <v>51.5</v>
      </c>
      <c r="C723" s="4">
        <v>0.60000000000000142</v>
      </c>
    </row>
    <row r="724" spans="1:3" x14ac:dyDescent="0.45">
      <c r="A724" s="2">
        <v>39417</v>
      </c>
      <c r="B724" s="4">
        <v>49</v>
      </c>
      <c r="C724" s="4">
        <v>-2.5</v>
      </c>
    </row>
    <row r="725" spans="1:3" x14ac:dyDescent="0.45">
      <c r="A725" s="2">
        <v>39448</v>
      </c>
      <c r="B725" s="4">
        <v>51.1</v>
      </c>
      <c r="C725" s="4">
        <v>2.1000000000000014</v>
      </c>
    </row>
    <row r="726" spans="1:3" x14ac:dyDescent="0.45">
      <c r="A726" s="2">
        <v>39479</v>
      </c>
      <c r="B726" s="4">
        <v>48.9</v>
      </c>
      <c r="C726" s="4">
        <v>-2.2000000000000028</v>
      </c>
    </row>
    <row r="727" spans="1:3" x14ac:dyDescent="0.45">
      <c r="A727" s="2">
        <v>39508</v>
      </c>
      <c r="B727" s="4">
        <v>49</v>
      </c>
      <c r="C727" s="4">
        <v>0.10000000000000142</v>
      </c>
    </row>
    <row r="728" spans="1:3" x14ac:dyDescent="0.45">
      <c r="A728" s="2">
        <v>39539</v>
      </c>
      <c r="B728" s="4">
        <v>48.8</v>
      </c>
      <c r="C728" s="4">
        <v>-0.20000000000000284</v>
      </c>
    </row>
    <row r="729" spans="1:3" x14ac:dyDescent="0.45">
      <c r="A729" s="2">
        <v>39569</v>
      </c>
      <c r="B729" s="4">
        <v>48.8</v>
      </c>
      <c r="C729" s="4">
        <v>0</v>
      </c>
    </row>
    <row r="730" spans="1:3" x14ac:dyDescent="0.45">
      <c r="A730" s="2">
        <v>39600</v>
      </c>
      <c r="B730" s="4">
        <v>49</v>
      </c>
      <c r="C730" s="4">
        <v>0.20000000000000284</v>
      </c>
    </row>
    <row r="731" spans="1:3" x14ac:dyDescent="0.45">
      <c r="A731" s="2">
        <v>39630</v>
      </c>
      <c r="B731" s="4">
        <v>49.6</v>
      </c>
      <c r="C731" s="4">
        <v>0.60000000000000142</v>
      </c>
    </row>
    <row r="732" spans="1:3" x14ac:dyDescent="0.45">
      <c r="A732" s="2">
        <v>39661</v>
      </c>
      <c r="B732" s="4">
        <v>48</v>
      </c>
      <c r="C732" s="4">
        <v>-1.6000000000000014</v>
      </c>
    </row>
    <row r="733" spans="1:3" x14ac:dyDescent="0.45">
      <c r="A733" s="2">
        <v>39692</v>
      </c>
      <c r="B733" s="4">
        <v>43.8</v>
      </c>
      <c r="C733" s="4">
        <v>-4.2000000000000028</v>
      </c>
    </row>
    <row r="734" spans="1:3" x14ac:dyDescent="0.45">
      <c r="A734" s="2">
        <v>39722</v>
      </c>
      <c r="B734" s="4">
        <v>39</v>
      </c>
      <c r="C734" s="4">
        <v>-4.7999999999999972</v>
      </c>
    </row>
    <row r="735" spans="1:3" x14ac:dyDescent="0.45">
      <c r="A735" s="2">
        <v>39753</v>
      </c>
      <c r="B735" s="4">
        <v>36.9</v>
      </c>
      <c r="C735" s="4">
        <v>-2.1000000000000014</v>
      </c>
    </row>
    <row r="736" spans="1:3" x14ac:dyDescent="0.45">
      <c r="A736" s="2">
        <v>39783</v>
      </c>
      <c r="B736" s="4">
        <v>33.299999999999997</v>
      </c>
      <c r="C736" s="4">
        <v>-3.6000000000000014</v>
      </c>
    </row>
    <row r="737" spans="1:3" x14ac:dyDescent="0.45">
      <c r="A737" s="2">
        <v>39814</v>
      </c>
      <c r="B737" s="4">
        <v>35.700000000000003</v>
      </c>
      <c r="C737" s="4">
        <v>2.4000000000000057</v>
      </c>
    </row>
    <row r="738" spans="1:3" x14ac:dyDescent="0.45">
      <c r="A738" s="2">
        <v>39845</v>
      </c>
      <c r="B738" s="4">
        <v>36</v>
      </c>
      <c r="C738" s="4">
        <v>0.29999999999999716</v>
      </c>
    </row>
    <row r="739" spans="1:3" x14ac:dyDescent="0.45">
      <c r="A739" s="2">
        <v>39873</v>
      </c>
      <c r="B739" s="4">
        <v>36.6</v>
      </c>
      <c r="C739" s="4">
        <v>0.60000000000000142</v>
      </c>
    </row>
    <row r="740" spans="1:3" x14ac:dyDescent="0.45">
      <c r="A740" s="2">
        <v>39904</v>
      </c>
      <c r="B740" s="4">
        <v>39.9</v>
      </c>
      <c r="C740" s="4">
        <v>3.2999999999999972</v>
      </c>
    </row>
    <row r="741" spans="1:3" x14ac:dyDescent="0.45">
      <c r="A741" s="2">
        <v>39934</v>
      </c>
      <c r="B741" s="4">
        <v>41.9</v>
      </c>
      <c r="C741" s="4">
        <v>2</v>
      </c>
    </row>
    <row r="742" spans="1:3" x14ac:dyDescent="0.45">
      <c r="A742" s="2">
        <v>39973</v>
      </c>
      <c r="B742" s="4">
        <v>44.7</v>
      </c>
      <c r="C742" s="4">
        <v>2.8000000000000043</v>
      </c>
    </row>
    <row r="743" spans="1:3" x14ac:dyDescent="0.45">
      <c r="A743" s="2">
        <v>40003</v>
      </c>
      <c r="B743" s="4">
        <v>49</v>
      </c>
      <c r="C743" s="4">
        <v>4.2999999999999972</v>
      </c>
    </row>
    <row r="744" spans="1:3" x14ac:dyDescent="0.45">
      <c r="A744" s="2">
        <v>40034</v>
      </c>
      <c r="B744" s="4">
        <v>51.4</v>
      </c>
      <c r="C744" s="4">
        <v>2.3999999999999986</v>
      </c>
    </row>
    <row r="745" spans="1:3" x14ac:dyDescent="0.45">
      <c r="A745" s="2">
        <v>40065</v>
      </c>
      <c r="B745" s="4">
        <v>53.2</v>
      </c>
      <c r="C745" s="4">
        <v>1.8000000000000043</v>
      </c>
    </row>
    <row r="746" spans="1:3" x14ac:dyDescent="0.45">
      <c r="A746" s="2">
        <v>40095</v>
      </c>
      <c r="B746" s="4">
        <v>55.8</v>
      </c>
      <c r="C746" s="4">
        <v>2.5999999999999943</v>
      </c>
    </row>
    <row r="747" spans="1:3" x14ac:dyDescent="0.45">
      <c r="A747" s="2">
        <v>40126</v>
      </c>
      <c r="B747" s="4">
        <v>54.7</v>
      </c>
      <c r="C747" s="4">
        <v>-1.0999999999999943</v>
      </c>
    </row>
    <row r="748" spans="1:3" x14ac:dyDescent="0.45">
      <c r="A748" s="2">
        <v>40156</v>
      </c>
      <c r="B748" s="4">
        <v>56.4</v>
      </c>
      <c r="C748" s="4">
        <v>1.6999999999999957</v>
      </c>
    </row>
    <row r="749" spans="1:3" x14ac:dyDescent="0.45">
      <c r="A749" s="2">
        <v>40188</v>
      </c>
      <c r="B749" s="4">
        <v>58.3</v>
      </c>
      <c r="C749" s="4">
        <v>1.8999999999999986</v>
      </c>
    </row>
    <row r="750" spans="1:3" x14ac:dyDescent="0.45">
      <c r="A750" s="2">
        <v>40219</v>
      </c>
      <c r="B750" s="4">
        <v>57.1</v>
      </c>
      <c r="C750" s="4">
        <v>-1.1999999999999957</v>
      </c>
    </row>
    <row r="751" spans="1:3" x14ac:dyDescent="0.45">
      <c r="A751" s="2">
        <v>40247</v>
      </c>
      <c r="B751" s="4">
        <v>60.4</v>
      </c>
      <c r="C751" s="4">
        <v>3.2999999999999972</v>
      </c>
    </row>
    <row r="752" spans="1:3" x14ac:dyDescent="0.45">
      <c r="A752" s="2">
        <v>40278</v>
      </c>
      <c r="B752" s="4">
        <v>59.6</v>
      </c>
      <c r="C752" s="4">
        <v>-0.79999999999999716</v>
      </c>
    </row>
    <row r="753" spans="1:3" x14ac:dyDescent="0.45">
      <c r="A753" s="2">
        <v>40308</v>
      </c>
      <c r="B753" s="4">
        <v>57.8</v>
      </c>
      <c r="C753" s="4">
        <v>-1.8000000000000043</v>
      </c>
    </row>
    <row r="754" spans="1:3" x14ac:dyDescent="0.45">
      <c r="A754" s="2">
        <v>40339</v>
      </c>
      <c r="B754" s="4">
        <v>55.3</v>
      </c>
      <c r="C754" s="4">
        <v>-2.5</v>
      </c>
    </row>
    <row r="755" spans="1:3" x14ac:dyDescent="0.45">
      <c r="A755" s="2">
        <v>40369</v>
      </c>
      <c r="B755" s="4">
        <v>55.1</v>
      </c>
      <c r="C755" s="4">
        <v>-0.19999999999999574</v>
      </c>
    </row>
    <row r="756" spans="1:3" x14ac:dyDescent="0.45">
      <c r="A756" s="2">
        <v>40400</v>
      </c>
      <c r="B756" s="4">
        <v>55.2</v>
      </c>
      <c r="C756" s="4">
        <v>0.10000000000000142</v>
      </c>
    </row>
    <row r="757" spans="1:3" x14ac:dyDescent="0.45">
      <c r="A757" s="2">
        <v>40431</v>
      </c>
      <c r="B757" s="4">
        <v>55.3</v>
      </c>
      <c r="C757" s="4">
        <v>9.9999999999994316E-2</v>
      </c>
    </row>
    <row r="758" spans="1:3" x14ac:dyDescent="0.45">
      <c r="A758" s="2">
        <v>40461</v>
      </c>
      <c r="B758" s="4">
        <v>56.9</v>
      </c>
      <c r="C758" s="4">
        <v>1.6000000000000014</v>
      </c>
    </row>
    <row r="759" spans="1:3" x14ac:dyDescent="0.45">
      <c r="A759" s="2">
        <v>40492</v>
      </c>
      <c r="B759" s="4">
        <v>58.2</v>
      </c>
      <c r="C759" s="4">
        <v>1.3000000000000043</v>
      </c>
    </row>
    <row r="760" spans="1:3" x14ac:dyDescent="0.45">
      <c r="A760" s="2">
        <v>40522</v>
      </c>
      <c r="B760" s="4">
        <v>58.5</v>
      </c>
      <c r="C760" s="4">
        <v>0.29999999999999716</v>
      </c>
    </row>
    <row r="761" spans="1:3" x14ac:dyDescent="0.45">
      <c r="A761" s="2">
        <v>40554</v>
      </c>
      <c r="B761" s="4">
        <v>60.8</v>
      </c>
      <c r="C761" s="4">
        <v>2.2999999999999972</v>
      </c>
    </row>
    <row r="762" spans="1:3" x14ac:dyDescent="0.45">
      <c r="A762" s="2">
        <v>40585</v>
      </c>
      <c r="B762" s="4">
        <v>61.4</v>
      </c>
      <c r="C762" s="4">
        <v>0.60000000000000142</v>
      </c>
    </row>
    <row r="763" spans="1:3" x14ac:dyDescent="0.45">
      <c r="A763" s="2">
        <v>40613</v>
      </c>
      <c r="B763" s="4">
        <v>61.2</v>
      </c>
      <c r="C763" s="4">
        <v>-0.19999999999999574</v>
      </c>
    </row>
    <row r="764" spans="1:3" x14ac:dyDescent="0.45">
      <c r="A764" s="2">
        <v>40644</v>
      </c>
      <c r="B764" s="4">
        <v>60.4</v>
      </c>
      <c r="C764" s="4">
        <v>-0.80000000000000426</v>
      </c>
    </row>
    <row r="765" spans="1:3" x14ac:dyDescent="0.45">
      <c r="A765" s="2">
        <v>40674</v>
      </c>
      <c r="B765" s="4">
        <v>53.5</v>
      </c>
      <c r="C765" s="4">
        <v>-6.8999999999999986</v>
      </c>
    </row>
    <row r="766" spans="1:3" x14ac:dyDescent="0.45">
      <c r="A766" s="2">
        <v>40705</v>
      </c>
      <c r="B766" s="4">
        <v>55.3</v>
      </c>
      <c r="C766" s="4">
        <v>1.7999999999999972</v>
      </c>
    </row>
    <row r="767" spans="1:3" x14ac:dyDescent="0.45">
      <c r="A767" s="2">
        <v>40735</v>
      </c>
      <c r="B767" s="4">
        <v>50.9</v>
      </c>
      <c r="C767" s="4">
        <v>-4.3999999999999986</v>
      </c>
    </row>
    <row r="768" spans="1:3" x14ac:dyDescent="0.45">
      <c r="A768" s="2">
        <v>40766</v>
      </c>
      <c r="B768" s="4">
        <v>50.6</v>
      </c>
      <c r="C768" s="4">
        <v>-0.29999999999999716</v>
      </c>
    </row>
    <row r="769" spans="1:3" x14ac:dyDescent="0.45">
      <c r="A769" s="2">
        <v>40797</v>
      </c>
      <c r="B769" s="4">
        <v>51.6</v>
      </c>
      <c r="C769" s="4">
        <v>1</v>
      </c>
    </row>
    <row r="770" spans="1:3" x14ac:dyDescent="0.45">
      <c r="A770" s="2">
        <v>40827</v>
      </c>
      <c r="B770" s="4">
        <v>50.8</v>
      </c>
      <c r="C770" s="4">
        <v>-0.80000000000000426</v>
      </c>
    </row>
    <row r="771" spans="1:3" x14ac:dyDescent="0.45">
      <c r="A771" s="2">
        <v>40858</v>
      </c>
      <c r="B771" s="4">
        <v>52.7</v>
      </c>
      <c r="C771" s="4">
        <v>1.9000000000000057</v>
      </c>
    </row>
    <row r="772" spans="1:3" x14ac:dyDescent="0.45">
      <c r="A772" s="2">
        <v>40888</v>
      </c>
      <c r="B772" s="4">
        <v>53.9</v>
      </c>
      <c r="C772" s="4">
        <v>1.1999999999999957</v>
      </c>
    </row>
    <row r="773" spans="1:3" x14ac:dyDescent="0.45">
      <c r="A773" s="2">
        <v>40919</v>
      </c>
      <c r="B773" s="4">
        <v>54.1</v>
      </c>
      <c r="C773" s="4">
        <v>0.20000000000000284</v>
      </c>
    </row>
    <row r="774" spans="1:3" x14ac:dyDescent="0.45">
      <c r="A774" s="2">
        <v>40950</v>
      </c>
      <c r="B774" s="4">
        <v>52.4</v>
      </c>
      <c r="C774" s="4">
        <v>-1.7000000000000028</v>
      </c>
    </row>
    <row r="775" spans="1:3" x14ac:dyDescent="0.45">
      <c r="A775" s="2">
        <v>40979</v>
      </c>
      <c r="B775" s="4">
        <v>53.4</v>
      </c>
      <c r="C775" s="4">
        <v>1</v>
      </c>
    </row>
    <row r="776" spans="1:3" x14ac:dyDescent="0.45">
      <c r="A776" s="2">
        <v>41010</v>
      </c>
      <c r="B776" s="4">
        <v>54.8</v>
      </c>
      <c r="C776" s="4">
        <v>1.3999999999999986</v>
      </c>
    </row>
    <row r="777" spans="1:3" x14ac:dyDescent="0.45">
      <c r="A777" s="2">
        <v>41040</v>
      </c>
      <c r="B777" s="4">
        <v>53.5</v>
      </c>
      <c r="C777" s="4">
        <v>-1.2999999999999972</v>
      </c>
    </row>
    <row r="778" spans="1:3" x14ac:dyDescent="0.45">
      <c r="A778" s="2">
        <v>41071</v>
      </c>
      <c r="B778" s="4">
        <v>49.7</v>
      </c>
      <c r="C778" s="4">
        <v>-3.7999999999999972</v>
      </c>
    </row>
    <row r="779" spans="1:3" x14ac:dyDescent="0.45">
      <c r="A779" s="2">
        <v>41101</v>
      </c>
      <c r="B779" s="4">
        <v>49.8</v>
      </c>
      <c r="C779" s="4">
        <v>9.9999999999994316E-2</v>
      </c>
    </row>
    <row r="780" spans="1:3" x14ac:dyDescent="0.45">
      <c r="A780" s="2">
        <v>41132</v>
      </c>
      <c r="B780" s="4">
        <v>49.6</v>
      </c>
      <c r="C780" s="4">
        <v>-0.19999999999999574</v>
      </c>
    </row>
    <row r="781" spans="1:3" x14ac:dyDescent="0.45">
      <c r="A781" s="2">
        <v>41163</v>
      </c>
      <c r="B781" s="4">
        <v>51.5</v>
      </c>
      <c r="C781" s="4">
        <v>1.8999999999999986</v>
      </c>
    </row>
    <row r="782" spans="1:3" x14ac:dyDescent="0.45">
      <c r="A782" s="2">
        <v>41193</v>
      </c>
      <c r="B782" s="4">
        <v>51.7</v>
      </c>
      <c r="C782" s="4">
        <v>0.20000000000000284</v>
      </c>
    </row>
    <row r="783" spans="1:3" x14ac:dyDescent="0.45">
      <c r="A783" s="2">
        <v>41224</v>
      </c>
      <c r="B783" s="4">
        <v>49.5</v>
      </c>
      <c r="C783" s="4">
        <v>-2.2000000000000028</v>
      </c>
    </row>
    <row r="784" spans="1:3" x14ac:dyDescent="0.45">
      <c r="A784" s="2">
        <v>41254</v>
      </c>
      <c r="B784" s="4">
        <v>50.7</v>
      </c>
      <c r="C784" s="4">
        <v>1.2000000000000028</v>
      </c>
    </row>
    <row r="785" spans="1:3" x14ac:dyDescent="0.45">
      <c r="A785" s="2">
        <v>41285</v>
      </c>
      <c r="B785" s="4">
        <v>53.1</v>
      </c>
      <c r="C785" s="4">
        <v>2.3999999999999986</v>
      </c>
    </row>
    <row r="786" spans="1:3" x14ac:dyDescent="0.45">
      <c r="A786" s="2">
        <v>41316</v>
      </c>
      <c r="B786" s="4">
        <v>54.2</v>
      </c>
      <c r="C786" s="4">
        <v>1.1000000000000014</v>
      </c>
    </row>
    <row r="787" spans="1:3" x14ac:dyDescent="0.45">
      <c r="A787" s="2">
        <v>41344</v>
      </c>
      <c r="B787" s="4">
        <v>51.3</v>
      </c>
      <c r="C787" s="4">
        <v>-2.9000000000000057</v>
      </c>
    </row>
    <row r="788" spans="1:3" x14ac:dyDescent="0.45">
      <c r="A788" s="2">
        <v>41375</v>
      </c>
      <c r="B788" s="4">
        <v>50.7</v>
      </c>
      <c r="C788" s="4">
        <v>-0.59999999999999432</v>
      </c>
    </row>
    <row r="789" spans="1:3" x14ac:dyDescent="0.45">
      <c r="A789" s="2">
        <v>41405</v>
      </c>
      <c r="B789" s="4">
        <v>49</v>
      </c>
      <c r="C789" s="4">
        <v>-1.7000000000000028</v>
      </c>
    </row>
    <row r="790" spans="1:3" x14ac:dyDescent="0.45">
      <c r="A790" s="2">
        <v>41436</v>
      </c>
      <c r="B790" s="4">
        <v>50.9</v>
      </c>
      <c r="C790" s="4">
        <v>1.8999999999999986</v>
      </c>
    </row>
    <row r="791" spans="1:3" x14ac:dyDescent="0.45">
      <c r="A791" s="2">
        <v>41466</v>
      </c>
      <c r="B791" s="4">
        <v>55.4</v>
      </c>
      <c r="C791" s="4">
        <v>4.5</v>
      </c>
    </row>
    <row r="792" spans="1:3" x14ac:dyDescent="0.45">
      <c r="A792" s="2">
        <v>41497</v>
      </c>
      <c r="B792" s="4">
        <v>55.7</v>
      </c>
      <c r="C792" s="4">
        <v>0.30000000000000426</v>
      </c>
    </row>
    <row r="793" spans="1:3" x14ac:dyDescent="0.45">
      <c r="A793" s="2">
        <v>41528</v>
      </c>
      <c r="B793" s="4">
        <v>56.2</v>
      </c>
      <c r="C793" s="4">
        <v>0.5</v>
      </c>
    </row>
    <row r="794" spans="1:3" x14ac:dyDescent="0.45">
      <c r="A794" s="2">
        <v>41558</v>
      </c>
      <c r="B794" s="4">
        <v>56.4</v>
      </c>
      <c r="C794" s="4">
        <v>0.19999999999999574</v>
      </c>
    </row>
    <row r="795" spans="1:3" x14ac:dyDescent="0.45">
      <c r="A795" s="2">
        <v>41589</v>
      </c>
      <c r="B795" s="4">
        <v>57.3</v>
      </c>
      <c r="C795" s="4">
        <v>0.89999999999999858</v>
      </c>
    </row>
    <row r="796" spans="1:3" x14ac:dyDescent="0.45">
      <c r="A796" s="2">
        <v>41619</v>
      </c>
      <c r="B796" s="4">
        <v>57</v>
      </c>
      <c r="C796" s="4">
        <v>-0.29999999999999716</v>
      </c>
    </row>
    <row r="797" spans="1:3" x14ac:dyDescent="0.45">
      <c r="A797" s="2">
        <v>41650</v>
      </c>
      <c r="B797" s="4">
        <v>51.3</v>
      </c>
      <c r="C797" s="4">
        <v>-5.7000000000000028</v>
      </c>
    </row>
    <row r="798" spans="1:3" x14ac:dyDescent="0.45">
      <c r="A798" s="2">
        <v>41681</v>
      </c>
      <c r="B798" s="4">
        <v>53.2</v>
      </c>
      <c r="C798" s="4">
        <v>1.9000000000000057</v>
      </c>
    </row>
    <row r="799" spans="1:3" x14ac:dyDescent="0.45">
      <c r="A799" s="2">
        <v>41709</v>
      </c>
      <c r="B799" s="4">
        <v>53.7</v>
      </c>
      <c r="C799" s="4">
        <v>0.5</v>
      </c>
    </row>
    <row r="800" spans="1:3" x14ac:dyDescent="0.45">
      <c r="A800" s="2">
        <v>41740</v>
      </c>
      <c r="B800" s="4">
        <v>54.9</v>
      </c>
      <c r="C800" s="4">
        <v>1.1999999999999957</v>
      </c>
    </row>
    <row r="801" spans="1:3" x14ac:dyDescent="0.45">
      <c r="A801" s="2">
        <v>41770</v>
      </c>
      <c r="B801" s="4">
        <v>55.4</v>
      </c>
      <c r="C801" s="4">
        <v>0.5</v>
      </c>
    </row>
    <row r="802" spans="1:3" x14ac:dyDescent="0.45">
      <c r="A802" s="2">
        <v>41801</v>
      </c>
      <c r="B802" s="4">
        <v>55.3</v>
      </c>
      <c r="C802" s="4">
        <v>-0.10000000000000142</v>
      </c>
    </row>
    <row r="803" spans="1:3" x14ac:dyDescent="0.45">
      <c r="A803" s="2">
        <v>41831</v>
      </c>
      <c r="B803" s="4">
        <v>57.1</v>
      </c>
      <c r="C803" s="4">
        <v>1.8000000000000043</v>
      </c>
    </row>
    <row r="804" spans="1:3" x14ac:dyDescent="0.45">
      <c r="A804" s="2">
        <v>41862</v>
      </c>
      <c r="B804" s="4">
        <v>59</v>
      </c>
      <c r="C804" s="4">
        <v>1.8999999999999986</v>
      </c>
    </row>
    <row r="805" spans="1:3" x14ac:dyDescent="0.45">
      <c r="A805" s="2">
        <v>41893</v>
      </c>
      <c r="B805" s="4">
        <v>56.6</v>
      </c>
      <c r="C805" s="4">
        <v>-2.3999999999999986</v>
      </c>
    </row>
    <row r="806" spans="1:3" x14ac:dyDescent="0.45">
      <c r="A806" s="2">
        <v>41923</v>
      </c>
      <c r="B806" s="4">
        <v>59</v>
      </c>
      <c r="C806" s="4">
        <v>2.3999999999999986</v>
      </c>
    </row>
    <row r="807" spans="1:3" x14ac:dyDescent="0.45">
      <c r="A807" s="2">
        <v>41954</v>
      </c>
      <c r="B807" s="4">
        <v>58.7</v>
      </c>
      <c r="C807" s="4">
        <v>-0.29999999999999716</v>
      </c>
    </row>
    <row r="808" spans="1:3" x14ac:dyDescent="0.45">
      <c r="A808" s="2">
        <v>41974</v>
      </c>
      <c r="B808" s="4">
        <v>55.1</v>
      </c>
      <c r="C808" s="4">
        <v>-3.6000000000000014</v>
      </c>
    </row>
    <row r="809" spans="1:3" x14ac:dyDescent="0.45">
      <c r="A809" s="2">
        <v>42005</v>
      </c>
      <c r="B809" s="4">
        <v>53.5</v>
      </c>
      <c r="C809" s="4">
        <v>-1.6000000000000014</v>
      </c>
    </row>
    <row r="810" spans="1:3" x14ac:dyDescent="0.45">
      <c r="A810" s="2">
        <v>42036</v>
      </c>
      <c r="B810" s="4">
        <v>52.9</v>
      </c>
      <c r="C810" s="4">
        <v>-0.60000000000000142</v>
      </c>
    </row>
    <row r="811" spans="1:3" x14ac:dyDescent="0.45">
      <c r="A811" s="2">
        <v>42064</v>
      </c>
      <c r="B811" s="4">
        <v>51.5</v>
      </c>
      <c r="C811" s="4">
        <v>-1.3999999999999986</v>
      </c>
    </row>
    <row r="812" spans="1:3" x14ac:dyDescent="0.45">
      <c r="A812" s="2">
        <v>42095</v>
      </c>
      <c r="B812" s="4">
        <v>51.5</v>
      </c>
      <c r="C812" s="4">
        <v>0</v>
      </c>
    </row>
    <row r="813" spans="1:3" x14ac:dyDescent="0.45">
      <c r="A813" s="2">
        <v>42125</v>
      </c>
      <c r="B813" s="4">
        <v>52.8</v>
      </c>
      <c r="C813" s="4">
        <v>1.2999999999999972</v>
      </c>
    </row>
    <row r="814" spans="1:3" x14ac:dyDescent="0.45">
      <c r="A814" s="2">
        <v>42156</v>
      </c>
      <c r="B814" s="4">
        <v>53.5</v>
      </c>
      <c r="C814" s="4">
        <v>0.70000000000000284</v>
      </c>
    </row>
    <row r="815" spans="1:3" x14ac:dyDescent="0.45">
      <c r="A815" s="2">
        <v>42186</v>
      </c>
      <c r="B815" s="4">
        <v>52.7</v>
      </c>
      <c r="C815" s="4">
        <v>-0.79999999999999716</v>
      </c>
    </row>
    <row r="816" spans="1:3" x14ac:dyDescent="0.45">
      <c r="A816" s="2">
        <v>42217</v>
      </c>
      <c r="B816" s="4">
        <v>51.1</v>
      </c>
      <c r="C816" s="4">
        <v>-1.6000000000000014</v>
      </c>
    </row>
    <row r="817" spans="1:3" x14ac:dyDescent="0.45">
      <c r="A817" s="2">
        <v>42248</v>
      </c>
      <c r="B817" s="4">
        <v>50.2</v>
      </c>
      <c r="C817" s="4">
        <v>-0.89999999999999858</v>
      </c>
    </row>
    <row r="818" spans="1:3" x14ac:dyDescent="0.45">
      <c r="A818" s="2">
        <v>42278</v>
      </c>
      <c r="B818" s="4">
        <v>49.4</v>
      </c>
      <c r="C818" s="4">
        <v>-0.80000000000000426</v>
      </c>
    </row>
    <row r="819" spans="1:3" x14ac:dyDescent="0.45">
      <c r="A819" s="2">
        <v>42309</v>
      </c>
      <c r="B819" s="4">
        <v>48.4</v>
      </c>
      <c r="C819" s="4">
        <v>-1</v>
      </c>
    </row>
    <row r="820" spans="1:3" x14ac:dyDescent="0.45">
      <c r="A820" s="2">
        <v>42339</v>
      </c>
      <c r="B820" s="4">
        <v>48</v>
      </c>
      <c r="C820" s="4">
        <v>-0.39999999999999858</v>
      </c>
    </row>
    <row r="821" spans="1:3" x14ac:dyDescent="0.45">
      <c r="A821" s="2">
        <v>42370</v>
      </c>
      <c r="B821" s="4">
        <v>48.2</v>
      </c>
      <c r="C821" s="4">
        <v>0.20000000000000284</v>
      </c>
    </row>
    <row r="822" spans="1:3" x14ac:dyDescent="0.45">
      <c r="A822" s="2">
        <v>42401</v>
      </c>
      <c r="B822" s="4">
        <v>49.7</v>
      </c>
      <c r="C822" s="4">
        <v>1.5</v>
      </c>
    </row>
    <row r="823" spans="1:3" x14ac:dyDescent="0.45">
      <c r="A823" s="2">
        <v>42430</v>
      </c>
      <c r="B823" s="4">
        <v>51.7</v>
      </c>
      <c r="C823" s="4">
        <v>2</v>
      </c>
    </row>
    <row r="824" spans="1:3" x14ac:dyDescent="0.45">
      <c r="A824" s="2">
        <v>42461</v>
      </c>
      <c r="B824" s="4">
        <v>50.7</v>
      </c>
      <c r="C824" s="4">
        <v>-1</v>
      </c>
    </row>
    <row r="825" spans="1:3" x14ac:dyDescent="0.45">
      <c r="A825" s="2">
        <v>42491</v>
      </c>
      <c r="B825" s="4">
        <v>51</v>
      </c>
      <c r="C825" s="4">
        <v>0.29999999999999716</v>
      </c>
    </row>
    <row r="826" spans="1:3" x14ac:dyDescent="0.45">
      <c r="A826" s="2">
        <v>42522</v>
      </c>
      <c r="B826" s="4">
        <v>52.8</v>
      </c>
      <c r="C826" s="4">
        <v>1.7999999999999972</v>
      </c>
    </row>
    <row r="827" spans="1:3" x14ac:dyDescent="0.45">
      <c r="A827" s="2">
        <v>42552</v>
      </c>
      <c r="B827" s="4">
        <v>52.3</v>
      </c>
      <c r="C827" s="4">
        <v>-0.5</v>
      </c>
    </row>
    <row r="828" spans="1:3" x14ac:dyDescent="0.45">
      <c r="A828" s="2">
        <v>42583</v>
      </c>
      <c r="B828" s="4">
        <v>49.4</v>
      </c>
      <c r="C828" s="4">
        <v>-2.8999999999999986</v>
      </c>
    </row>
    <row r="829" spans="1:3" x14ac:dyDescent="0.45">
      <c r="A829" s="2">
        <v>42614</v>
      </c>
      <c r="B829" s="4">
        <v>51.7</v>
      </c>
      <c r="C829" s="4">
        <v>2.3000000000000043</v>
      </c>
    </row>
    <row r="830" spans="1:3" x14ac:dyDescent="0.45">
      <c r="A830" s="2">
        <v>42644</v>
      </c>
      <c r="B830" s="4">
        <v>52</v>
      </c>
      <c r="C830" s="4">
        <v>0.29999999999999716</v>
      </c>
    </row>
    <row r="831" spans="1:3" x14ac:dyDescent="0.45">
      <c r="A831" s="2">
        <v>42675</v>
      </c>
      <c r="B831" s="4">
        <v>53.5</v>
      </c>
      <c r="C831" s="4">
        <v>1.5</v>
      </c>
    </row>
    <row r="832" spans="1:3" x14ac:dyDescent="0.45">
      <c r="A832" s="2">
        <v>42705</v>
      </c>
      <c r="B832" s="4">
        <v>54.5</v>
      </c>
      <c r="C832" s="4">
        <v>1</v>
      </c>
    </row>
    <row r="833" spans="1:3" x14ac:dyDescent="0.45">
      <c r="A833" s="2">
        <v>42736</v>
      </c>
      <c r="B833" s="4">
        <v>56</v>
      </c>
      <c r="C833" s="4">
        <v>1.5</v>
      </c>
    </row>
    <row r="834" spans="1:3" x14ac:dyDescent="0.45">
      <c r="A834" s="2">
        <v>42767</v>
      </c>
      <c r="B834" s="4">
        <v>57.7</v>
      </c>
      <c r="C834" s="4">
        <v>1.7000000000000028</v>
      </c>
    </row>
    <row r="835" spans="1:3" x14ac:dyDescent="0.45">
      <c r="A835" s="2">
        <v>42795</v>
      </c>
      <c r="B835" s="4">
        <v>57.2</v>
      </c>
      <c r="C835" s="4">
        <v>-0.5</v>
      </c>
    </row>
    <row r="836" spans="1:3" x14ac:dyDescent="0.45">
      <c r="A836" s="2">
        <v>42826</v>
      </c>
      <c r="B836" s="4">
        <v>54.8</v>
      </c>
      <c r="C836" s="4">
        <v>-2.4000000000000057</v>
      </c>
    </row>
    <row r="837" spans="1:3" x14ac:dyDescent="0.45">
      <c r="A837" s="2">
        <v>42856</v>
      </c>
      <c r="B837" s="4">
        <v>54.9</v>
      </c>
      <c r="C837" s="4">
        <v>0.10000000000000142</v>
      </c>
    </row>
    <row r="838" spans="1:3" x14ac:dyDescent="0.45">
      <c r="A838" s="2">
        <v>42887</v>
      </c>
      <c r="B838" s="4">
        <v>57.8</v>
      </c>
      <c r="C838" s="4">
        <v>2.8999999999999986</v>
      </c>
    </row>
    <row r="839" spans="1:3" x14ac:dyDescent="0.45">
      <c r="A839" s="2">
        <v>42917</v>
      </c>
      <c r="B839" s="4">
        <v>56.3</v>
      </c>
      <c r="C839" s="4">
        <v>-1.5</v>
      </c>
    </row>
    <row r="840" spans="1:3" x14ac:dyDescent="0.45">
      <c r="A840" s="2">
        <v>42964</v>
      </c>
      <c r="B840" s="4">
        <v>58.8</v>
      </c>
      <c r="C840" s="4">
        <v>2.5</v>
      </c>
    </row>
    <row r="841" spans="1:3" x14ac:dyDescent="0.45">
      <c r="A841" s="2">
        <v>42981</v>
      </c>
      <c r="B841" s="4">
        <v>60.8</v>
      </c>
      <c r="C841" s="4">
        <v>2</v>
      </c>
    </row>
    <row r="842" spans="1:3" x14ac:dyDescent="0.45">
      <c r="A842" s="2">
        <v>43009</v>
      </c>
      <c r="B842" s="4">
        <v>59.379999999999995</v>
      </c>
      <c r="C842" s="4">
        <v>-1.4200000000000017</v>
      </c>
    </row>
    <row r="843" spans="1:3" x14ac:dyDescent="0.45">
      <c r="A843" s="2">
        <v>43040</v>
      </c>
      <c r="B843" s="4">
        <v>58.220000000000006</v>
      </c>
      <c r="C843" s="4">
        <v>-1.1599999999999895</v>
      </c>
    </row>
    <row r="844" spans="1:3" x14ac:dyDescent="0.45">
      <c r="A844" s="2">
        <v>43070</v>
      </c>
      <c r="B844" s="4">
        <v>59.720000000000006</v>
      </c>
      <c r="C844" s="4">
        <v>1.5</v>
      </c>
    </row>
    <row r="845" spans="1:3" x14ac:dyDescent="0.45">
      <c r="A845" s="2">
        <v>43101</v>
      </c>
      <c r="B845" s="4">
        <v>59.1</v>
      </c>
      <c r="C845" s="4">
        <v>-0.62000000000000455</v>
      </c>
    </row>
    <row r="846" spans="1:3" x14ac:dyDescent="0.45">
      <c r="A846" s="2">
        <v>43132</v>
      </c>
      <c r="B846" s="4">
        <v>60.739999999999995</v>
      </c>
      <c r="C846" s="4">
        <v>1.6399999999999935</v>
      </c>
    </row>
    <row r="847" spans="1:3" x14ac:dyDescent="0.45">
      <c r="A847" s="2">
        <v>43160</v>
      </c>
      <c r="B847" s="4">
        <v>59.259999999999991</v>
      </c>
      <c r="C847" s="4">
        <v>-1.480000000000004</v>
      </c>
    </row>
    <row r="848" spans="1:3" x14ac:dyDescent="0.45">
      <c r="A848" s="2">
        <v>43191</v>
      </c>
      <c r="B848" s="4">
        <v>57.339999999999996</v>
      </c>
      <c r="C848" s="4">
        <v>-1.9199999999999946</v>
      </c>
    </row>
    <row r="849" spans="1:3" x14ac:dyDescent="0.45">
      <c r="A849" s="2">
        <v>43221</v>
      </c>
      <c r="B849" s="4">
        <v>58.739999999999995</v>
      </c>
      <c r="C849" s="4">
        <v>1.3999999999999986</v>
      </c>
    </row>
    <row r="850" spans="1:3" x14ac:dyDescent="0.45">
      <c r="A850" s="2">
        <v>43252</v>
      </c>
      <c r="B850" s="4">
        <v>60.459999999999994</v>
      </c>
      <c r="C850" s="4">
        <v>1.7199999999999989</v>
      </c>
    </row>
    <row r="851" spans="1:3" x14ac:dyDescent="0.45">
      <c r="A851" s="2">
        <v>43282</v>
      </c>
      <c r="B851" s="4">
        <v>58.6</v>
      </c>
      <c r="C851" s="4">
        <v>-1.8599999999999923</v>
      </c>
    </row>
    <row r="852" spans="1:3" x14ac:dyDescent="0.45">
      <c r="A852" s="2">
        <v>43313</v>
      </c>
      <c r="B852" s="4">
        <v>61.4</v>
      </c>
      <c r="C852" s="4">
        <v>2.7999999999999972</v>
      </c>
    </row>
    <row r="853" spans="1:3" x14ac:dyDescent="0.45">
      <c r="A853" s="2">
        <v>43344</v>
      </c>
      <c r="B853" s="4">
        <v>59.779999999999994</v>
      </c>
      <c r="C853" s="4">
        <v>-1.6200000000000045</v>
      </c>
    </row>
    <row r="854" spans="1:3" x14ac:dyDescent="0.45">
      <c r="A854" s="2">
        <v>43374</v>
      </c>
      <c r="B854" s="4">
        <v>57.580000000000005</v>
      </c>
      <c r="C854" s="4">
        <v>-2.1999999999999886</v>
      </c>
    </row>
    <row r="855" spans="1:3" x14ac:dyDescent="0.45">
      <c r="A855" s="2">
        <v>43405</v>
      </c>
      <c r="B855" s="4">
        <v>59.3</v>
      </c>
      <c r="C855" s="4">
        <v>1.7199999999999918</v>
      </c>
    </row>
    <row r="856" spans="1:3" x14ac:dyDescent="0.45">
      <c r="A856" s="2">
        <v>43435</v>
      </c>
      <c r="B856" s="4">
        <v>54.06</v>
      </c>
      <c r="C856" s="4">
        <v>-5.2399999999999949</v>
      </c>
    </row>
    <row r="857" spans="1:3" x14ac:dyDescent="0.45">
      <c r="A857" s="2">
        <v>43466</v>
      </c>
      <c r="B857" s="4">
        <v>56.64</v>
      </c>
      <c r="C857" s="4">
        <v>2.5799999999999983</v>
      </c>
    </row>
    <row r="858" spans="1:3" x14ac:dyDescent="0.45">
      <c r="A858" s="2">
        <v>43497</v>
      </c>
      <c r="B858" s="4">
        <v>54.179999999999993</v>
      </c>
      <c r="C858" s="4">
        <v>-2.460000000000008</v>
      </c>
    </row>
    <row r="859" spans="1:3" x14ac:dyDescent="0.45">
      <c r="A859" s="2">
        <v>43525</v>
      </c>
      <c r="B859" s="4">
        <v>55.419999999999995</v>
      </c>
      <c r="C859" s="4">
        <v>1.240000000000002</v>
      </c>
    </row>
    <row r="860" spans="1:3" x14ac:dyDescent="0.45">
      <c r="A860" s="2">
        <v>43556</v>
      </c>
      <c r="B860" s="4">
        <v>52.44</v>
      </c>
      <c r="C860" s="4">
        <v>-2.9799999999999969</v>
      </c>
    </row>
    <row r="861" spans="1:3" x14ac:dyDescent="0.45">
      <c r="A861" s="2">
        <v>43586</v>
      </c>
      <c r="B861" s="4">
        <v>52.11999999999999</v>
      </c>
      <c r="C861" s="4">
        <v>-0.32000000000000739</v>
      </c>
    </row>
    <row r="862" spans="1:3" x14ac:dyDescent="0.45">
      <c r="A862" s="2">
        <v>43617</v>
      </c>
      <c r="B862" s="4">
        <v>51.680000000000007</v>
      </c>
      <c r="C862" s="4">
        <v>-0.43999999999998352</v>
      </c>
    </row>
    <row r="863" spans="1:3" x14ac:dyDescent="0.45">
      <c r="A863" s="2">
        <v>43647</v>
      </c>
      <c r="B863" s="4">
        <v>51.220000000000006</v>
      </c>
      <c r="C863" s="4">
        <v>-0.46000000000000085</v>
      </c>
    </row>
    <row r="864" spans="1:3" x14ac:dyDescent="0.45">
      <c r="A864" s="2">
        <v>43678</v>
      </c>
      <c r="B864" s="4">
        <v>49.08</v>
      </c>
      <c r="C864" s="4">
        <v>-2.1400000000000077</v>
      </c>
    </row>
    <row r="865" spans="1:3" x14ac:dyDescent="0.45">
      <c r="A865" s="2">
        <v>43709</v>
      </c>
      <c r="B865" s="4">
        <v>47.779999999999994</v>
      </c>
      <c r="C865" s="4">
        <v>-1.3000000000000043</v>
      </c>
    </row>
    <row r="866" spans="1:3" x14ac:dyDescent="0.45">
      <c r="A866" s="2">
        <v>43739</v>
      </c>
      <c r="B866" s="4">
        <v>48.12</v>
      </c>
      <c r="C866" s="4">
        <v>0.34000000000000341</v>
      </c>
    </row>
    <row r="867" spans="1:3" x14ac:dyDescent="0.45">
      <c r="A867" s="2">
        <v>43770</v>
      </c>
      <c r="B867" s="4">
        <v>48.08</v>
      </c>
      <c r="C867" s="4">
        <v>-3.9999999999999147E-2</v>
      </c>
    </row>
    <row r="868" spans="1:3" x14ac:dyDescent="0.45">
      <c r="A868" s="2">
        <v>43800</v>
      </c>
      <c r="B868" s="4">
        <v>47.239999999999995</v>
      </c>
      <c r="C868" s="4">
        <v>-0.84000000000000341</v>
      </c>
    </row>
    <row r="869" spans="1:3" x14ac:dyDescent="0.45">
      <c r="A869" s="2">
        <v>43831</v>
      </c>
      <c r="B869" s="4">
        <v>50.92</v>
      </c>
      <c r="C869" s="4">
        <v>3.6800000000000068</v>
      </c>
    </row>
    <row r="870" spans="1:3" x14ac:dyDescent="0.45">
      <c r="A870" s="2">
        <v>43862</v>
      </c>
      <c r="B870" s="4">
        <v>50.160000000000004</v>
      </c>
      <c r="C870" s="4">
        <v>-0.75999999999999801</v>
      </c>
    </row>
    <row r="871" spans="1:3" x14ac:dyDescent="0.45">
      <c r="A871" s="2">
        <v>43891</v>
      </c>
      <c r="B871" s="4">
        <v>49.12</v>
      </c>
      <c r="C871" s="4">
        <v>-1.0400000000000063</v>
      </c>
    </row>
    <row r="872" spans="1:3" x14ac:dyDescent="0.45">
      <c r="A872" s="2">
        <v>43922</v>
      </c>
      <c r="B872" s="4">
        <v>41.56</v>
      </c>
      <c r="C872" s="4">
        <v>-7.5599999999999952</v>
      </c>
    </row>
    <row r="873" spans="1:3" x14ac:dyDescent="0.45">
      <c r="A873" s="2">
        <v>43952</v>
      </c>
      <c r="B873" s="4">
        <v>43.1</v>
      </c>
      <c r="C873" s="4">
        <v>1.5399999999999991</v>
      </c>
    </row>
    <row r="874" spans="1:3" x14ac:dyDescent="0.45">
      <c r="A874" s="2">
        <v>43983</v>
      </c>
      <c r="B874" s="4">
        <v>52.819999999999993</v>
      </c>
      <c r="C874" s="4">
        <v>9.7199999999999918</v>
      </c>
    </row>
    <row r="875" spans="1:3" x14ac:dyDescent="0.45">
      <c r="A875" s="2">
        <v>44013</v>
      </c>
      <c r="B875" s="4">
        <v>54.14</v>
      </c>
      <c r="C875" s="4">
        <v>1.3200000000000074</v>
      </c>
    </row>
    <row r="876" spans="1:3" x14ac:dyDescent="0.45">
      <c r="A876" s="2">
        <v>44044</v>
      </c>
      <c r="B876" s="4">
        <v>55.98</v>
      </c>
      <c r="C876" s="4">
        <v>1.8399999999999963</v>
      </c>
    </row>
    <row r="877" spans="1:3" x14ac:dyDescent="0.45">
      <c r="A877" s="2">
        <v>44075</v>
      </c>
      <c r="B877" s="4">
        <v>55.38000000000001</v>
      </c>
      <c r="C877" s="4">
        <v>-0.59999999999998721</v>
      </c>
    </row>
    <row r="878" spans="1:3" x14ac:dyDescent="0.45">
      <c r="A878" s="2">
        <v>44105</v>
      </c>
      <c r="B878" s="4">
        <v>59.3</v>
      </c>
      <c r="C878" s="4">
        <v>3.9199999999999875</v>
      </c>
    </row>
    <row r="879" spans="1:3" x14ac:dyDescent="0.45">
      <c r="A879" s="2">
        <v>44136</v>
      </c>
      <c r="B879" s="4">
        <v>57.44</v>
      </c>
      <c r="C879" s="4">
        <v>-1.8599999999999994</v>
      </c>
    </row>
    <row r="880" spans="1:3" x14ac:dyDescent="0.45">
      <c r="A880" s="2">
        <v>44166</v>
      </c>
      <c r="B880" s="4">
        <v>60.719999999999992</v>
      </c>
      <c r="C880" s="4">
        <v>3.279999999999994</v>
      </c>
    </row>
    <row r="881" spans="1:3" x14ac:dyDescent="0.45">
      <c r="A881" s="2">
        <v>44197</v>
      </c>
      <c r="B881" s="4">
        <v>58.680000000000007</v>
      </c>
      <c r="C881" s="4">
        <v>-2.0399999999999849</v>
      </c>
    </row>
    <row r="882" spans="1:3" x14ac:dyDescent="0.45">
      <c r="A882" s="2">
        <v>44228</v>
      </c>
      <c r="B882" s="4">
        <v>60.820000000000007</v>
      </c>
      <c r="C882" s="4">
        <v>2.1400000000000006</v>
      </c>
    </row>
    <row r="883" spans="1:3" x14ac:dyDescent="0.45">
      <c r="A883" s="2">
        <v>44256</v>
      </c>
      <c r="B883" s="4">
        <v>64.599999999999994</v>
      </c>
      <c r="C883" s="4">
        <v>3.7799999999999869</v>
      </c>
    </row>
    <row r="884" spans="1:3" x14ac:dyDescent="0.45">
      <c r="A884" s="2">
        <v>44287</v>
      </c>
      <c r="B884" s="4">
        <v>61.459999999999994</v>
      </c>
      <c r="C884" s="4">
        <v>-3.1400000000000006</v>
      </c>
    </row>
    <row r="885" spans="1:3" x14ac:dyDescent="0.45">
      <c r="A885" s="2">
        <v>44317</v>
      </c>
      <c r="B885" s="4">
        <v>61.2</v>
      </c>
      <c r="C885" s="4">
        <v>-0.25999999999999091</v>
      </c>
    </row>
    <row r="886" spans="1:3" x14ac:dyDescent="0.45">
      <c r="A886" s="2">
        <v>44348</v>
      </c>
      <c r="B886" s="4">
        <v>60.58</v>
      </c>
      <c r="C886" s="4">
        <v>-0.62000000000000455</v>
      </c>
    </row>
    <row r="887" spans="1:3" x14ac:dyDescent="0.45">
      <c r="A887" s="2">
        <v>44378</v>
      </c>
      <c r="B887" s="4">
        <v>59.720000000000006</v>
      </c>
      <c r="C887" s="4">
        <v>-0.85999999999999233</v>
      </c>
    </row>
    <row r="888" spans="1:3" x14ac:dyDescent="0.45">
      <c r="A888" s="2">
        <v>44409</v>
      </c>
      <c r="B888" s="4">
        <v>59.879999999999995</v>
      </c>
      <c r="C888" s="4">
        <v>0.15999999999998948</v>
      </c>
    </row>
    <row r="889" spans="1:3" x14ac:dyDescent="0.45">
      <c r="A889" s="2">
        <v>44440</v>
      </c>
      <c r="B889" s="4">
        <v>61.06</v>
      </c>
      <c r="C889" s="4">
        <v>1.1800000000000068</v>
      </c>
    </row>
    <row r="890" spans="1:3" x14ac:dyDescent="0.45">
      <c r="A890" s="2">
        <v>44470</v>
      </c>
      <c r="B890" s="4">
        <v>60.739999999999995</v>
      </c>
      <c r="C890" s="4">
        <v>-0.32000000000000739</v>
      </c>
    </row>
    <row r="891" spans="1:3" x14ac:dyDescent="0.45">
      <c r="A891" s="2">
        <v>44501</v>
      </c>
      <c r="B891" s="4">
        <v>61.06</v>
      </c>
      <c r="C891" s="4">
        <v>0.32000000000000739</v>
      </c>
    </row>
    <row r="892" spans="1:3" x14ac:dyDescent="0.45">
      <c r="A892" s="2">
        <v>44531</v>
      </c>
      <c r="B892" s="4">
        <v>58.680000000000007</v>
      </c>
      <c r="C892" s="4">
        <v>-2.3799999999999955</v>
      </c>
    </row>
    <row r="893" spans="1:3" x14ac:dyDescent="0.45">
      <c r="A893" s="2">
        <v>44562</v>
      </c>
      <c r="B893" s="4">
        <v>57.6</v>
      </c>
      <c r="C893" s="4">
        <v>-1.0800000000000054</v>
      </c>
    </row>
    <row r="894" spans="1:3" x14ac:dyDescent="0.45">
      <c r="A894" s="2">
        <v>44593</v>
      </c>
      <c r="B894" s="4">
        <v>58.56</v>
      </c>
      <c r="C894" s="4">
        <v>0.96000000000000085</v>
      </c>
    </row>
    <row r="895" spans="1:3" x14ac:dyDescent="0.45">
      <c r="A895" s="2">
        <v>44621</v>
      </c>
      <c r="B895" s="4">
        <v>57.1</v>
      </c>
      <c r="C895" s="4">
        <v>-1.4600000000000009</v>
      </c>
    </row>
    <row r="896" spans="1:3" x14ac:dyDescent="0.45">
      <c r="A896" s="2">
        <v>44652</v>
      </c>
      <c r="B896" s="4">
        <v>55.36</v>
      </c>
      <c r="C896" s="4">
        <v>-1.740000000000002</v>
      </c>
    </row>
    <row r="897" spans="1:3" x14ac:dyDescent="0.45">
      <c r="A897" s="2">
        <v>44682</v>
      </c>
      <c r="B897" s="4">
        <v>56.1</v>
      </c>
      <c r="C897" s="4">
        <v>0.74000000000000199</v>
      </c>
    </row>
    <row r="898" spans="1:3" x14ac:dyDescent="0.45">
      <c r="A898" s="2">
        <v>44713</v>
      </c>
      <c r="B898" s="4">
        <v>52.94</v>
      </c>
      <c r="C898" s="4">
        <v>-3.1600000000000037</v>
      </c>
    </row>
    <row r="899" spans="1:3" x14ac:dyDescent="0.45">
      <c r="A899" s="2">
        <v>44743</v>
      </c>
      <c r="B899" s="4">
        <v>52.780000000000008</v>
      </c>
      <c r="C899" s="4">
        <v>-0.15999999999998948</v>
      </c>
    </row>
    <row r="900" spans="1:3" x14ac:dyDescent="0.45">
      <c r="A900" s="2">
        <v>44774</v>
      </c>
      <c r="B900" s="4">
        <v>52.3</v>
      </c>
      <c r="C900" s="4">
        <v>-0.48000000000001108</v>
      </c>
    </row>
    <row r="901" spans="1:3" x14ac:dyDescent="0.45">
      <c r="A901" s="2">
        <v>44805</v>
      </c>
      <c r="B901" s="4">
        <v>50.86</v>
      </c>
      <c r="C901" s="4">
        <v>-1.4399999999999977</v>
      </c>
    </row>
    <row r="902" spans="1:3" x14ac:dyDescent="0.45">
      <c r="A902" s="2">
        <v>44835</v>
      </c>
      <c r="B902" s="4">
        <v>50.160000000000004</v>
      </c>
      <c r="C902" s="4">
        <v>-0.69999999999999574</v>
      </c>
    </row>
    <row r="903" spans="1:3" x14ac:dyDescent="0.45">
      <c r="A903" s="2">
        <v>44866</v>
      </c>
      <c r="B903" s="4">
        <v>49.040000000000006</v>
      </c>
      <c r="C903" s="4">
        <v>-1.1199999999999974</v>
      </c>
    </row>
    <row r="904" spans="1:3" x14ac:dyDescent="0.45">
      <c r="A904" s="2">
        <v>44896</v>
      </c>
      <c r="B904" s="4">
        <v>48.379999999999995</v>
      </c>
      <c r="C904" s="4">
        <v>-0.6600000000000108</v>
      </c>
    </row>
    <row r="905" spans="1:3" x14ac:dyDescent="0.45">
      <c r="A905" s="2">
        <v>44927</v>
      </c>
      <c r="B905" s="4">
        <v>47.379999999999995</v>
      </c>
      <c r="C905" s="4">
        <v>-1</v>
      </c>
    </row>
    <row r="906" spans="1:3" x14ac:dyDescent="0.45">
      <c r="A906" s="2">
        <v>44958</v>
      </c>
      <c r="B906" s="4">
        <v>47.74</v>
      </c>
      <c r="C906" s="4">
        <v>0.36000000000000654</v>
      </c>
    </row>
    <row r="907" spans="1:3" x14ac:dyDescent="0.45">
      <c r="A907" s="2">
        <v>44986</v>
      </c>
      <c r="B907" s="4">
        <v>46.260000000000005</v>
      </c>
      <c r="C907" s="4">
        <v>-1.4799999999999969</v>
      </c>
    </row>
    <row r="908" spans="1:3" x14ac:dyDescent="0.45">
      <c r="A908" s="2">
        <v>45017</v>
      </c>
      <c r="B908" s="4">
        <v>47.14</v>
      </c>
      <c r="C908" s="4">
        <v>0.87999999999999545</v>
      </c>
    </row>
    <row r="909" spans="1:3" x14ac:dyDescent="0.45">
      <c r="A909" s="2">
        <v>45047</v>
      </c>
      <c r="B909" s="4">
        <v>46.879999999999995</v>
      </c>
      <c r="C909" s="4">
        <v>-0.26000000000000512</v>
      </c>
    </row>
    <row r="910" spans="1:3" x14ac:dyDescent="0.45">
      <c r="A910" s="2">
        <v>45078</v>
      </c>
      <c r="B910" s="4">
        <v>46.02</v>
      </c>
      <c r="C910" s="4">
        <v>-0.85999999999999233</v>
      </c>
    </row>
    <row r="911" spans="1:3" x14ac:dyDescent="0.45">
      <c r="A911" s="2">
        <v>45108</v>
      </c>
      <c r="B911" s="4">
        <v>46.08</v>
      </c>
      <c r="C911" s="4">
        <v>5.9999999999995168E-2</v>
      </c>
    </row>
    <row r="912" spans="1:3" x14ac:dyDescent="0.45">
      <c r="A912" s="2">
        <v>45139</v>
      </c>
      <c r="B912" s="4">
        <v>47.56</v>
      </c>
      <c r="C912" s="4">
        <v>1.480000000000004</v>
      </c>
    </row>
    <row r="913" spans="1:3" x14ac:dyDescent="0.45">
      <c r="A913" s="2">
        <v>45170</v>
      </c>
      <c r="B913" s="4">
        <v>49.46</v>
      </c>
      <c r="C913" s="4">
        <v>1.8999999999999986</v>
      </c>
    </row>
    <row r="914" spans="1:3" x14ac:dyDescent="0.45">
      <c r="A914" s="2">
        <v>45200</v>
      </c>
      <c r="B914" s="4">
        <v>46.739999999999995</v>
      </c>
      <c r="C914" s="4">
        <v>-2.720000000000006</v>
      </c>
    </row>
    <row r="915" spans="1:3" x14ac:dyDescent="0.45">
      <c r="A915" s="2">
        <v>45231</v>
      </c>
      <c r="B915" s="4">
        <v>47.86</v>
      </c>
      <c r="C915" s="4">
        <v>1.1200000000000045</v>
      </c>
    </row>
    <row r="916" spans="1:3" x14ac:dyDescent="0.45">
      <c r="A916" s="2">
        <v>45261</v>
      </c>
      <c r="B916" s="4">
        <v>47.320000000000007</v>
      </c>
      <c r="C916" s="4">
        <v>-0.53999999999999204</v>
      </c>
    </row>
    <row r="917" spans="1:3" x14ac:dyDescent="0.45">
      <c r="A917" s="2">
        <v>45292</v>
      </c>
      <c r="B917" s="4">
        <v>48.7</v>
      </c>
      <c r="C917" s="4">
        <v>1.3799999999999955</v>
      </c>
    </row>
    <row r="918" spans="1:3" x14ac:dyDescent="0.45">
      <c r="A918" s="2">
        <v>45323</v>
      </c>
      <c r="B918" s="4">
        <v>47.779999999999994</v>
      </c>
      <c r="C918" s="4">
        <v>-0.92000000000000881</v>
      </c>
    </row>
    <row r="919" spans="1:3" x14ac:dyDescent="0.45">
      <c r="A919" s="2">
        <v>45352</v>
      </c>
      <c r="B919" s="4">
        <v>49.839999999999996</v>
      </c>
      <c r="C919" s="4">
        <v>2.0600000000000023</v>
      </c>
    </row>
    <row r="920" spans="1:3" x14ac:dyDescent="0.45">
      <c r="A920" s="2">
        <v>45383</v>
      </c>
      <c r="B920" s="4">
        <v>49.220000000000006</v>
      </c>
      <c r="C920" s="4">
        <v>-0.61999999999999034</v>
      </c>
    </row>
    <row r="921" spans="1:3" x14ac:dyDescent="0.45">
      <c r="A921" s="2">
        <v>45413</v>
      </c>
      <c r="B921" s="4">
        <v>48.7</v>
      </c>
      <c r="C921" s="4">
        <v>-0.52000000000000313</v>
      </c>
    </row>
    <row r="922" spans="1:3" x14ac:dyDescent="0.45">
      <c r="A922" s="2">
        <v>45444</v>
      </c>
      <c r="B922" s="4">
        <v>48.459999999999994</v>
      </c>
      <c r="C922" s="4">
        <v>-0.24000000000000909</v>
      </c>
    </row>
    <row r="923" spans="1:3" x14ac:dyDescent="0.45">
      <c r="A923" s="2">
        <v>45474</v>
      </c>
      <c r="B923" s="4">
        <v>46.76</v>
      </c>
      <c r="C923" s="4">
        <v>-1.6999999999999957</v>
      </c>
    </row>
    <row r="924" spans="1:3" x14ac:dyDescent="0.45">
      <c r="A924" s="2">
        <v>45505</v>
      </c>
      <c r="B924" s="4">
        <v>47.239999999999995</v>
      </c>
      <c r="C924" s="4">
        <v>0.47999999999999687</v>
      </c>
    </row>
    <row r="925" spans="1:3" x14ac:dyDescent="0.45">
      <c r="A925" s="2">
        <v>45536</v>
      </c>
      <c r="B925" s="4">
        <v>47.18</v>
      </c>
      <c r="C925" s="4">
        <v>-5.9999999999995168E-2</v>
      </c>
    </row>
    <row r="926" spans="1:3" x14ac:dyDescent="0.45">
      <c r="A926" s="2">
        <v>45566</v>
      </c>
      <c r="B926" s="4">
        <v>47.839999999999996</v>
      </c>
      <c r="C926" s="4">
        <v>0.65999999999999659</v>
      </c>
    </row>
    <row r="927" spans="1:3" x14ac:dyDescent="0.45">
      <c r="A927" s="2">
        <v>45597</v>
      </c>
      <c r="B927" s="4">
        <v>48.42</v>
      </c>
      <c r="C927" s="4">
        <v>0.5800000000000054</v>
      </c>
    </row>
    <row r="928" spans="1:3" x14ac:dyDescent="0.45">
      <c r="A928" s="2">
        <v>45627</v>
      </c>
      <c r="B928" s="4">
        <v>49.44</v>
      </c>
      <c r="C928" s="4">
        <v>1.019999999999996</v>
      </c>
    </row>
    <row r="929" spans="1:3" x14ac:dyDescent="0.45">
      <c r="A929" s="2">
        <v>45658</v>
      </c>
      <c r="B929" s="4">
        <v>50.94</v>
      </c>
      <c r="C929" s="4">
        <v>1.5</v>
      </c>
    </row>
    <row r="930" spans="1:3" x14ac:dyDescent="0.45">
      <c r="A930" s="2">
        <v>45689</v>
      </c>
      <c r="B930" s="4">
        <v>50.260000000000005</v>
      </c>
      <c r="C930" s="4">
        <v>-0.67999999999999261</v>
      </c>
    </row>
    <row r="931" spans="1:3" x14ac:dyDescent="0.45">
      <c r="A931" s="2">
        <v>45717</v>
      </c>
      <c r="B931" s="4">
        <v>49.019999999999996</v>
      </c>
      <c r="C931" s="4">
        <v>-1.2400000000000091</v>
      </c>
    </row>
    <row r="932" spans="1:3" x14ac:dyDescent="0.45">
      <c r="A932" s="2">
        <v>45748</v>
      </c>
      <c r="B932" s="4">
        <v>50.3</v>
      </c>
      <c r="C932" s="4">
        <v>1.2800000000000011</v>
      </c>
    </row>
    <row r="933" spans="1:3" x14ac:dyDescent="0.45">
      <c r="A933" s="2">
        <v>45778</v>
      </c>
      <c r="B933" s="4">
        <v>49.46</v>
      </c>
      <c r="C933" s="4">
        <v>-0.83999999999999631</v>
      </c>
    </row>
    <row r="934" spans="1:3" x14ac:dyDescent="0.45">
      <c r="A934" s="2">
        <v>45809</v>
      </c>
      <c r="B934" s="4">
        <v>49.92</v>
      </c>
      <c r="C934" s="4">
        <v>0.46000000000000085</v>
      </c>
    </row>
    <row r="935" spans="1:3" x14ac:dyDescent="0.45">
      <c r="A935" s="2">
        <v>45839</v>
      </c>
      <c r="B935" s="4">
        <v>50.3</v>
      </c>
      <c r="C935" s="4">
        <v>0.37999999999999545</v>
      </c>
    </row>
    <row r="936" spans="1:3" x14ac:dyDescent="0.45">
      <c r="A936" s="2">
        <v>45870</v>
      </c>
      <c r="B936" s="4">
        <v>50.82</v>
      </c>
      <c r="C936" s="4">
        <v>0.52000000000000313</v>
      </c>
    </row>
    <row r="937" spans="1:3" x14ac:dyDescent="0.45">
      <c r="A937" s="2">
        <v>45901</v>
      </c>
      <c r="B937" s="4">
        <v>49.279999999999994</v>
      </c>
      <c r="C937" s="4">
        <v>-1.5400000000000063</v>
      </c>
    </row>
    <row r="938" spans="1:3" x14ac:dyDescent="0.45">
      <c r="A938" s="2">
        <v>45931</v>
      </c>
      <c r="B938" s="4">
        <v>49.62</v>
      </c>
      <c r="C938" s="4">
        <v>0.34000000000000341</v>
      </c>
    </row>
    <row r="939" spans="1:3" x14ac:dyDescent="0.45">
      <c r="A939" s="2">
        <v>45962</v>
      </c>
      <c r="B939" s="4">
        <v>49.14</v>
      </c>
      <c r="C939" s="4">
        <v>-0.47999999999999687</v>
      </c>
    </row>
    <row r="940" spans="1:3" x14ac:dyDescent="0.45">
      <c r="A940" s="2">
        <v>45992</v>
      </c>
      <c r="B940" s="4">
        <v>49.32</v>
      </c>
      <c r="C940" s="4">
        <v>0.17999999999999972</v>
      </c>
    </row>
    <row r="941" spans="1:3" x14ac:dyDescent="0.45">
      <c r="A941" s="2">
        <v>46023</v>
      </c>
      <c r="B941" s="4">
        <v>53.239999999999995</v>
      </c>
      <c r="C941" s="4">
        <v>3.9199999999999946</v>
      </c>
    </row>
    <row r="942" spans="1:3" x14ac:dyDescent="0.45">
      <c r="A942" s="2">
        <v>46054</v>
      </c>
      <c r="B942" s="4">
        <v>51.760000000000005</v>
      </c>
      <c r="C942" s="4">
        <v>-1.4799999999999898</v>
      </c>
    </row>
    <row r="943" spans="1:3" x14ac:dyDescent="0.45">
      <c r="A943" s="2">
        <v>46082</v>
      </c>
      <c r="B943" s="4">
        <v>50.8</v>
      </c>
      <c r="C943" s="4">
        <v>-0.96000000000000796</v>
      </c>
    </row>
    <row r="944" spans="1:3" x14ac:dyDescent="0.45">
      <c r="A944" s="2">
        <v>46113</v>
      </c>
      <c r="B944" s="4">
        <v>52.42</v>
      </c>
      <c r="C944" s="4">
        <v>1.6200000000000045</v>
      </c>
    </row>
    <row r="945" spans="1:3" x14ac:dyDescent="0.45">
      <c r="A945" s="2">
        <v>46143</v>
      </c>
      <c r="B945" s="4">
        <v>54.04</v>
      </c>
      <c r="C945" s="4">
        <v>1.6199999999999974</v>
      </c>
    </row>
    <row r="946" spans="1:3" x14ac:dyDescent="0.45">
      <c r="A946" s="2">
        <v>46174</v>
      </c>
      <c r="B946" s="4">
        <v>53.339999999999996</v>
      </c>
      <c r="C946" s="4">
        <v>-0.70000000000000284</v>
      </c>
    </row>
    <row r="947" spans="1:3" x14ac:dyDescent="0.45">
      <c r="A947" s="2">
        <v>46204</v>
      </c>
      <c r="B947" s="4">
        <v>55.6</v>
      </c>
      <c r="C947" s="4">
        <f>B947-B946</f>
        <v>2.2600000000000051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A9387-E2EB-4007-BCD3-B3896E40A965}">
  <dimension ref="A1:X418"/>
  <sheetViews>
    <sheetView workbookViewId="0"/>
  </sheetViews>
  <sheetFormatPr defaultRowHeight="14.25" x14ac:dyDescent="0.45"/>
  <cols>
    <col min="1" max="1" width="11.9296875" customWidth="1"/>
    <col min="2" max="2" width="7.265625" bestFit="1" customWidth="1"/>
    <col min="3" max="3" width="7.33203125" bestFit="1" customWidth="1"/>
  </cols>
  <sheetData>
    <row r="1" spans="1:24" x14ac:dyDescent="0.45">
      <c r="A1" s="1" t="s">
        <v>68</v>
      </c>
    </row>
    <row r="2" spans="1:24" x14ac:dyDescent="0.45">
      <c r="A2" t="s">
        <v>122</v>
      </c>
      <c r="F2" s="1" t="s">
        <v>70</v>
      </c>
      <c r="Q2" s="1" t="s">
        <v>72</v>
      </c>
      <c r="U2" s="1" t="s">
        <v>32</v>
      </c>
    </row>
    <row r="3" spans="1:24" x14ac:dyDescent="0.45">
      <c r="F3" t="s">
        <v>5</v>
      </c>
      <c r="G3">
        <f>($B$418/$B$406-1)*100</f>
        <v>6.6099012062660334</v>
      </c>
      <c r="Q3" t="s">
        <v>19</v>
      </c>
      <c r="R3" s="8">
        <f>AVERAGE($C$6:$C$418)</f>
        <v>3.9735972934947898E-3</v>
      </c>
      <c r="U3" t="s">
        <v>33</v>
      </c>
      <c r="V3">
        <v>1</v>
      </c>
      <c r="W3">
        <v>2</v>
      </c>
      <c r="X3">
        <v>3</v>
      </c>
    </row>
    <row r="4" spans="1:24" x14ac:dyDescent="0.45">
      <c r="A4" s="1" t="s">
        <v>1</v>
      </c>
      <c r="B4" s="1" t="s">
        <v>2</v>
      </c>
      <c r="C4" s="1" t="s">
        <v>69</v>
      </c>
      <c r="F4" t="s">
        <v>6</v>
      </c>
      <c r="G4" cm="1">
        <f t="array" ref="G4">_xlfn.LET(_xlpm.y,($B$17:$B$418/$B$5:$B$406-1)*100,AVERAGE(_xlpm.y))</f>
        <v>4.8090226412364672</v>
      </c>
      <c r="Q4" t="s">
        <v>20</v>
      </c>
      <c r="R4">
        <f>_xlfn.STDEV.S($C$6:$C$418)/SQRT(COUNT($C$6:$C$418))</f>
        <v>6.8816882361523056E-4</v>
      </c>
      <c r="U4" t="s">
        <v>34</v>
      </c>
      <c r="V4">
        <f>$R$3+V$3*$R$7</f>
        <v>1.7958840380611144E-2</v>
      </c>
      <c r="W4">
        <f>$R$3+W$3*$R$7</f>
        <v>3.1944083467727494E-2</v>
      </c>
      <c r="X4">
        <f>$R$3+X$3*$R$7</f>
        <v>4.5929326554843858E-2</v>
      </c>
    </row>
    <row r="5" spans="1:24" x14ac:dyDescent="0.45">
      <c r="A5" s="2">
        <v>33604</v>
      </c>
      <c r="B5" s="7">
        <v>126498</v>
      </c>
      <c r="C5" s="8"/>
      <c r="F5" t="s">
        <v>7</v>
      </c>
      <c r="G5" cm="1">
        <f t="array" ref="G5">_xlfn.LET(_xlpm.y,($B$17:$B$418/$B$5:$B$406-1)*100,_xlfn.STDEV.S(_xlpm.y))</f>
        <v>4.2586741894202733</v>
      </c>
      <c r="Q5" t="s">
        <v>21</v>
      </c>
      <c r="R5" s="8">
        <f>MEDIAN($C$6:$C$418)</f>
        <v>3.7585577526566549E-3</v>
      </c>
      <c r="U5" t="s">
        <v>35</v>
      </c>
      <c r="V5">
        <f>$R$3-V$3*$R$7</f>
        <v>-1.0011645793621564E-2</v>
      </c>
      <c r="W5">
        <f>$R$3-W$3*$R$7</f>
        <v>-2.3996888880737918E-2</v>
      </c>
      <c r="X5">
        <f>$R$3-X$3*$R$7</f>
        <v>-3.7982131967854271E-2</v>
      </c>
    </row>
    <row r="6" spans="1:24" x14ac:dyDescent="0.45">
      <c r="A6" s="2">
        <v>33635</v>
      </c>
      <c r="B6" s="7">
        <v>126383</v>
      </c>
      <c r="C6" s="8">
        <v>-9.0910528229692922E-4</v>
      </c>
      <c r="F6" t="s">
        <v>8</v>
      </c>
      <c r="G6">
        <f>(G3-G4)/G5</f>
        <v>0.42287305507038964</v>
      </c>
      <c r="Q6" t="s">
        <v>22</v>
      </c>
      <c r="R6" t="str">
        <f>IFERROR(_xlfn.MODE.SNGL($C$6:$C$418),"n/a")</f>
        <v>n/a</v>
      </c>
    </row>
    <row r="7" spans="1:24" x14ac:dyDescent="0.45">
      <c r="A7" s="2">
        <v>33664</v>
      </c>
      <c r="B7" s="7">
        <v>126194</v>
      </c>
      <c r="C7" s="8">
        <v>-1.4954542936945758E-3</v>
      </c>
      <c r="F7" t="s">
        <v>9</v>
      </c>
      <c r="G7" s="5" cm="1">
        <f t="array" ref="G7">_xlfn.LET(_xlpm.y,($B$17:$B$418/$B$5:$B$406-1)*100,_xlfn.PERCENTRANK.INC(_xlpm.y,G3))</f>
        <v>0.77500000000000002</v>
      </c>
      <c r="Q7" t="s">
        <v>23</v>
      </c>
      <c r="R7">
        <f>_xlfn.STDEV.S($C$6:$C$418)</f>
        <v>1.3985243087116354E-2</v>
      </c>
      <c r="U7" s="1" t="s">
        <v>36</v>
      </c>
    </row>
    <row r="8" spans="1:24" x14ac:dyDescent="0.45">
      <c r="A8" s="2">
        <v>33695</v>
      </c>
      <c r="B8" s="7">
        <v>126970</v>
      </c>
      <c r="C8" s="8">
        <v>6.149262247016507E-3</v>
      </c>
      <c r="F8" t="s">
        <v>10</v>
      </c>
      <c r="G8" t="str">
        <f>IF(G6&gt;=2,"EXTREME HIGH",IF(G6&gt;=1,"HIGH (+1 to +2σ)",IF(G6&lt;=-2,"EXTREME LOW",IF(G6&lt;=-1,"LOW (-1 to -2σ)","NORMAL (±1σ)"))))</f>
        <v>NORMAL (±1σ)</v>
      </c>
      <c r="Q8" t="s">
        <v>24</v>
      </c>
      <c r="R8">
        <f>_xlfn.VAR.S($C$6:$C$418)</f>
        <v>1.9558702420573577E-4</v>
      </c>
      <c r="U8" t="s">
        <v>37</v>
      </c>
      <c r="V8" t="s">
        <v>38</v>
      </c>
      <c r="W8" t="s">
        <v>39</v>
      </c>
      <c r="X8" t="s">
        <v>40</v>
      </c>
    </row>
    <row r="9" spans="1:24" x14ac:dyDescent="0.45">
      <c r="A9" s="2">
        <v>33725</v>
      </c>
      <c r="B9" s="7">
        <v>127274</v>
      </c>
      <c r="C9" s="8">
        <v>2.394266362132802E-3</v>
      </c>
      <c r="F9" t="s">
        <v>11</v>
      </c>
      <c r="G9" t="str">
        <f>IF(G6&gt;=1,"STRONG vs history",IF(G6&lt;=-1,"WEAK vs history","NEUTRAL vs history"))</f>
        <v>NEUTRAL vs history</v>
      </c>
      <c r="Q9" t="s">
        <v>25</v>
      </c>
      <c r="R9">
        <f>KURT($C$6:$C$418)</f>
        <v>54.086872820381771</v>
      </c>
      <c r="S9" t="str">
        <f>IF(R9&gt;0,"More peaked than normal — fat tails (excess kurtosis &gt; 0)",IF(R9&lt;0,"Flatter than normal — thin tails (excess kurtosis &lt; 0)","Approximately normal kurtosis"))</f>
        <v>More peaked than normal — fat tails (excess kurtosis &gt; 0)</v>
      </c>
      <c r="U9">
        <v>1</v>
      </c>
      <c r="V9" s="5">
        <f>COUNTIFS($C$6:$C$418,"&gt;="&amp;($R$3-$R$7*$U9),$C$6:$C$418,"&lt;="&amp;($R$3+$R$7*$U9))/$R$15</f>
        <v>0.92251815980629537</v>
      </c>
      <c r="W9" s="5">
        <v>0.68200000000000005</v>
      </c>
      <c r="X9" t="str">
        <f>IF(V9&gt;W9+0.02,"fat tails",IF(V9&lt;W9-0.02,"thin tails","≈ normal"))</f>
        <v>fat tails</v>
      </c>
    </row>
    <row r="10" spans="1:24" x14ac:dyDescent="0.45">
      <c r="A10" s="2">
        <v>33756</v>
      </c>
      <c r="B10" s="7">
        <v>127293</v>
      </c>
      <c r="C10" s="8">
        <v>1.4928422144344644E-4</v>
      </c>
      <c r="Q10" t="s">
        <v>26</v>
      </c>
      <c r="R10">
        <f>SKEW($C$6:$C$418)</f>
        <v>-0.21853021582999685</v>
      </c>
      <c r="S10" t="str">
        <f>IF(R10&gt;0,"Positive skew — bigger fat tail on the upside",IF(R10&lt;0,"Negative skew — bigger fat tail on the downside","Approximately symmetric"))</f>
        <v>Negative skew — bigger fat tail on the downside</v>
      </c>
      <c r="U10">
        <v>2</v>
      </c>
      <c r="V10" s="5">
        <f>COUNTIFS($C$6:$C$418,"&gt;="&amp;($R$3-$R$7*$U10),$C$6:$C$418,"&lt;="&amp;($R$3+$R$7*$U10))/$R$15</f>
        <v>0.97578692493946728</v>
      </c>
      <c r="W10" s="5">
        <v>0.95399999999999996</v>
      </c>
      <c r="X10" t="str">
        <f>IF(V10&gt;W10+0.02,"fat tails",IF(V10&lt;W10-0.02,"thin tails","≈ normal"))</f>
        <v>fat tails</v>
      </c>
    </row>
    <row r="11" spans="1:24" x14ac:dyDescent="0.45">
      <c r="A11" s="2">
        <v>33786</v>
      </c>
      <c r="B11" s="7">
        <v>128256</v>
      </c>
      <c r="C11" s="8">
        <v>7.5652235393932621E-3</v>
      </c>
      <c r="H11" s="1" t="s">
        <v>71</v>
      </c>
      <c r="Q11" t="s">
        <v>15</v>
      </c>
      <c r="R11" s="8">
        <f>MAX($C$6:$C$418)-MIN($C$6:$C$418)</f>
        <v>0.2783627562876323</v>
      </c>
      <c r="U11">
        <v>3</v>
      </c>
      <c r="V11" s="5">
        <f>COUNTIFS($C$6:$C$418,"&gt;="&amp;($R$3-$R$7*$U11),$C$6:$C$418,"&lt;="&amp;($R$3+$R$7*$U11))/$R$15</f>
        <v>0.98547215496368035</v>
      </c>
      <c r="W11" s="5">
        <v>0.997</v>
      </c>
      <c r="X11" t="str">
        <f>IF(V11&gt;W11+0.02,"fat tails",IF(V11&lt;W11-0.02,"thin tails","≈ normal"))</f>
        <v>≈ normal</v>
      </c>
    </row>
    <row r="12" spans="1:24" x14ac:dyDescent="0.45">
      <c r="A12" s="2">
        <v>33817</v>
      </c>
      <c r="B12" s="7">
        <v>129253</v>
      </c>
      <c r="C12" s="8">
        <v>7.773515469061909E-3</v>
      </c>
      <c r="H12" t="s">
        <v>13</v>
      </c>
      <c r="I12" t="s">
        <v>14</v>
      </c>
      <c r="J12" t="s">
        <v>15</v>
      </c>
      <c r="K12" t="s">
        <v>16</v>
      </c>
      <c r="L12" t="s">
        <v>17</v>
      </c>
      <c r="Q12" t="s">
        <v>27</v>
      </c>
      <c r="R12" s="8">
        <f>MIN($C$6:$C$418)</f>
        <v>-0.14490883832675983</v>
      </c>
    </row>
    <row r="13" spans="1:24" x14ac:dyDescent="0.45">
      <c r="A13" s="2">
        <v>33848</v>
      </c>
      <c r="B13" s="7">
        <v>129319</v>
      </c>
      <c r="C13" s="8">
        <v>5.1062644580790462E-4</v>
      </c>
      <c r="H13" s="6">
        <f>$R$12+($R$11/12)*(ROW()-12)</f>
        <v>-0.12171194196945713</v>
      </c>
      <c r="I13">
        <f>COUNTIFS($C$6:$C$418,"&gt;="&amp;$R$12,$C$6:$C$418,"&lt;="&amp;H13)</f>
        <v>1</v>
      </c>
      <c r="J13" t="str">
        <f>TEXT($R$12,"0.00%")&amp;" to "&amp;TEXT(H13,"0.00%")</f>
        <v>-14.49% to -12.17%</v>
      </c>
      <c r="K13" s="5">
        <f>I13/$R$15</f>
        <v>2.4213075060532689E-3</v>
      </c>
      <c r="L13" s="5">
        <f>SUM($K$13:K13)</f>
        <v>2.4213075060532689E-3</v>
      </c>
      <c r="Q13" t="s">
        <v>28</v>
      </c>
      <c r="R13" s="8">
        <f>MAX($C$6:$C$418)</f>
        <v>0.13345391796087247</v>
      </c>
    </row>
    <row r="14" spans="1:24" x14ac:dyDescent="0.45">
      <c r="A14" s="2">
        <v>33878</v>
      </c>
      <c r="B14" s="7">
        <v>130889</v>
      </c>
      <c r="C14" s="8">
        <v>1.2140520727812687E-2</v>
      </c>
      <c r="H14" s="6">
        <f>$R$12+($R$11/12)*(ROW()-12)</f>
        <v>-9.8515045612154434E-2</v>
      </c>
      <c r="I14">
        <f>COUNTIFS($C$6:$C$418,"&gt;"&amp;H13,$C$6:$C$418,"&lt;="&amp;H14)</f>
        <v>0</v>
      </c>
      <c r="J14" t="str">
        <f>TEXT(H13,"0.00%")&amp;" to "&amp;TEXT(H14,"0.00%")</f>
        <v>-12.17% to -9.85%</v>
      </c>
      <c r="K14" s="5">
        <f>I14/$R$15</f>
        <v>0</v>
      </c>
      <c r="L14" s="5">
        <f>SUM($K$13:K14)</f>
        <v>2.4213075060532689E-3</v>
      </c>
      <c r="Q14" t="s">
        <v>29</v>
      </c>
      <c r="R14" s="8">
        <f>SUM($C$6:$C$418)</f>
        <v>1.6410956822133482</v>
      </c>
    </row>
    <row r="15" spans="1:24" x14ac:dyDescent="0.45">
      <c r="A15" s="2">
        <v>33909</v>
      </c>
      <c r="B15" s="7">
        <v>131160</v>
      </c>
      <c r="C15" s="8">
        <v>2.0704566464715413E-3</v>
      </c>
      <c r="H15" s="6">
        <f>$R$12+($R$11/12)*(ROW()-12)</f>
        <v>-7.5318149254851752E-2</v>
      </c>
      <c r="I15">
        <f>COUNTIFS($C$6:$C$418,"&gt;"&amp;H14,$C$6:$C$418,"&lt;="&amp;H15)</f>
        <v>0</v>
      </c>
      <c r="J15" t="str">
        <f>TEXT(H14,"0.00%")&amp;" to "&amp;TEXT(H15,"0.00%")</f>
        <v>-9.85% to -7.53%</v>
      </c>
      <c r="K15" s="5">
        <f>I15/$R$15</f>
        <v>0</v>
      </c>
      <c r="L15" s="5">
        <f>SUM($K$13:K15)</f>
        <v>2.4213075060532689E-3</v>
      </c>
      <c r="Q15" t="s">
        <v>30</v>
      </c>
      <c r="R15">
        <f>COUNT($C$6:$C$418)</f>
        <v>413</v>
      </c>
      <c r="S15" t="s">
        <v>73</v>
      </c>
    </row>
    <row r="16" spans="1:24" x14ac:dyDescent="0.45">
      <c r="A16" s="2">
        <v>33939</v>
      </c>
      <c r="B16" s="7">
        <v>132128</v>
      </c>
      <c r="C16" s="8">
        <v>7.3802988716071827E-3</v>
      </c>
      <c r="H16" s="6">
        <f>$R$12+($R$11/12)*(ROW()-12)</f>
        <v>-5.2121252897549056E-2</v>
      </c>
      <c r="I16">
        <f>COUNTIFS($C$6:$C$418,"&gt;"&amp;H15,$C$6:$C$418,"&lt;="&amp;H16)</f>
        <v>0</v>
      </c>
      <c r="J16" t="str">
        <f>TEXT(H15,"0.00%")&amp;" to "&amp;TEXT(H16,"0.00%")</f>
        <v>-7.53% to -5.21%</v>
      </c>
      <c r="K16" s="5">
        <f>I16/$R$15</f>
        <v>0</v>
      </c>
      <c r="L16" s="5">
        <f>SUM($K$13:K16)</f>
        <v>2.4213075060532689E-3</v>
      </c>
    </row>
    <row r="17" spans="1:12" x14ac:dyDescent="0.45">
      <c r="A17" s="2">
        <v>33970</v>
      </c>
      <c r="B17" s="7">
        <v>133412</v>
      </c>
      <c r="C17" s="8">
        <v>9.717849358198194E-3</v>
      </c>
      <c r="H17" s="6">
        <f>$R$12+($R$11/12)*(ROW()-12)</f>
        <v>-2.892435654024636E-2</v>
      </c>
      <c r="I17">
        <f>COUNTIFS($C$6:$C$418,"&gt;"&amp;H16,$C$6:$C$418,"&lt;="&amp;H17)</f>
        <v>2</v>
      </c>
      <c r="J17" t="str">
        <f>TEXT(H16,"0.00%")&amp;" to "&amp;TEXT(H17,"0.00%")</f>
        <v>-5.21% to -2.89%</v>
      </c>
      <c r="K17" s="5">
        <f>I17/$R$15</f>
        <v>4.8426150121065378E-3</v>
      </c>
      <c r="L17" s="5">
        <f>SUM($K$13:K17)</f>
        <v>7.2639225181598066E-3</v>
      </c>
    </row>
    <row r="18" spans="1:12" x14ac:dyDescent="0.45">
      <c r="A18" s="2">
        <v>34001</v>
      </c>
      <c r="B18" s="7">
        <v>133092</v>
      </c>
      <c r="C18" s="8">
        <v>-2.3985848349473704E-3</v>
      </c>
      <c r="H18" s="6">
        <f>$R$12+($R$11/12)*(ROW()-12)</f>
        <v>-5.7274601829436778E-3</v>
      </c>
      <c r="I18">
        <f>COUNTIFS($C$6:$C$418,"&gt;"&amp;H17,$C$6:$C$418,"&lt;="&amp;H18)</f>
        <v>36</v>
      </c>
      <c r="J18" t="str">
        <f>TEXT(H17,"0.00%")&amp;" to "&amp;TEXT(H18,"0.00%")</f>
        <v>-2.89% to -0.57%</v>
      </c>
      <c r="K18" s="5">
        <f>I18/$R$15</f>
        <v>8.7167070217917669E-2</v>
      </c>
      <c r="L18" s="5">
        <f>SUM($K$13:K18)</f>
        <v>9.4430992736077482E-2</v>
      </c>
    </row>
    <row r="19" spans="1:12" x14ac:dyDescent="0.45">
      <c r="A19" s="2">
        <v>34029</v>
      </c>
      <c r="B19" s="7">
        <v>132443</v>
      </c>
      <c r="C19" s="8">
        <v>-4.8763261503320665E-3</v>
      </c>
      <c r="H19" s="6">
        <f>$R$12+($R$11/12)*(ROW()-12)</f>
        <v>1.7469436174359032E-2</v>
      </c>
      <c r="I19">
        <f>COUNTIFS($C$6:$C$418,"&gt;"&amp;H18,$C$6:$C$418,"&lt;="&amp;H19)</f>
        <v>357</v>
      </c>
      <c r="J19" t="str">
        <f>TEXT(H18,"0.00%")&amp;" to "&amp;TEXT(H19,"0.00%")</f>
        <v>-0.57% to 1.75%</v>
      </c>
      <c r="K19" s="5">
        <f>I19/$R$15</f>
        <v>0.86440677966101698</v>
      </c>
      <c r="L19" s="5">
        <f>SUM($K$13:K19)</f>
        <v>0.95883777239709445</v>
      </c>
    </row>
    <row r="20" spans="1:12" x14ac:dyDescent="0.45">
      <c r="A20" s="2">
        <v>34060</v>
      </c>
      <c r="B20" s="7">
        <v>134384</v>
      </c>
      <c r="C20" s="8">
        <v>1.4655361174241044E-2</v>
      </c>
      <c r="H20" s="6">
        <f>$R$12+($R$11/12)*(ROW()-12)</f>
        <v>4.0666332531661714E-2</v>
      </c>
      <c r="I20">
        <f>COUNTIFS($C$6:$C$418,"&gt;"&amp;H19,$C$6:$C$418,"&lt;="&amp;H20)</f>
        <v>13</v>
      </c>
      <c r="J20" t="str">
        <f>TEXT(H19,"0.00%")&amp;" to "&amp;TEXT(H20,"0.00%")</f>
        <v>1.75% to 4.07%</v>
      </c>
      <c r="K20" s="5">
        <f>I20/$R$15</f>
        <v>3.1476997578692496E-2</v>
      </c>
      <c r="L20" s="5">
        <f>SUM($K$13:K20)</f>
        <v>0.99031476997578693</v>
      </c>
    </row>
    <row r="21" spans="1:12" x14ac:dyDescent="0.45">
      <c r="A21" s="2">
        <v>34090</v>
      </c>
      <c r="B21" s="7">
        <v>135168</v>
      </c>
      <c r="C21" s="8">
        <v>5.8340278604596119E-3</v>
      </c>
      <c r="H21" s="6">
        <f>$R$12+($R$11/12)*(ROW()-12)</f>
        <v>6.3863228888964396E-2</v>
      </c>
      <c r="I21">
        <f>COUNTIFS($C$6:$C$418,"&gt;"&amp;H20,$C$6:$C$418,"&lt;="&amp;H21)</f>
        <v>1</v>
      </c>
      <c r="J21" t="str">
        <f>TEXT(H20,"0.00%")&amp;" to "&amp;TEXT(H21,"0.00%")</f>
        <v>4.07% to 6.39%</v>
      </c>
      <c r="K21" s="5">
        <f>I21/$R$15</f>
        <v>2.4213075060532689E-3</v>
      </c>
      <c r="L21" s="5">
        <f>SUM($K$13:K21)</f>
        <v>0.99273607748184023</v>
      </c>
    </row>
    <row r="22" spans="1:12" x14ac:dyDescent="0.45">
      <c r="A22" s="2">
        <v>34121</v>
      </c>
      <c r="B22" s="7">
        <v>135093</v>
      </c>
      <c r="C22" s="8">
        <v>-5.5486505681823228E-4</v>
      </c>
      <c r="H22" s="6">
        <f>$R$12+($R$11/12)*(ROW()-12)</f>
        <v>8.7060125246267106E-2</v>
      </c>
      <c r="I22">
        <f>COUNTIFS($C$6:$C$418,"&gt;"&amp;H21,$C$6:$C$418,"&lt;="&amp;H22)</f>
        <v>1</v>
      </c>
      <c r="J22" t="str">
        <f>TEXT(H21,"0.00%")&amp;" to "&amp;TEXT(H22,"0.00%")</f>
        <v>6.39% to 8.71%</v>
      </c>
      <c r="K22" s="5">
        <f>I22/$R$15</f>
        <v>2.4213075060532689E-3</v>
      </c>
      <c r="L22" s="5">
        <f>SUM($K$13:K22)</f>
        <v>0.99515738498789352</v>
      </c>
    </row>
    <row r="23" spans="1:12" x14ac:dyDescent="0.45">
      <c r="A23" s="2">
        <v>34151</v>
      </c>
      <c r="B23" s="7">
        <v>136477</v>
      </c>
      <c r="C23" s="8">
        <v>1.0244794326871087E-2</v>
      </c>
      <c r="H23" s="6">
        <f>$R$12+($R$11/12)*(ROW()-12)</f>
        <v>0.11025702160356982</v>
      </c>
      <c r="I23">
        <f>COUNTIFS($C$6:$C$418,"&gt;"&amp;H22,$C$6:$C$418,"&lt;="&amp;H23)</f>
        <v>1</v>
      </c>
      <c r="J23" t="str">
        <f>TEXT(H22,"0.00%")&amp;" to "&amp;TEXT(H23,"0.00%")</f>
        <v>8.71% to 11.03%</v>
      </c>
      <c r="K23" s="5">
        <f>I23/$R$15</f>
        <v>2.4213075060532689E-3</v>
      </c>
      <c r="L23" s="5">
        <f>SUM($K$13:K23)</f>
        <v>0.99757869249394682</v>
      </c>
    </row>
    <row r="24" spans="1:12" x14ac:dyDescent="0.45">
      <c r="A24" s="2">
        <v>34182</v>
      </c>
      <c r="B24" s="7">
        <v>135944</v>
      </c>
      <c r="C24" s="8">
        <v>-3.9054199608725693E-3</v>
      </c>
      <c r="H24" s="6">
        <f>$R$12+($R$11/12)*(ROW()-12)</f>
        <v>0.13345391796087247</v>
      </c>
      <c r="I24">
        <f>COUNTIFS($C$6:$C$418,"&gt;"&amp;H23,$C$6:$C$418,"&lt;="&amp;H24)</f>
        <v>1</v>
      </c>
      <c r="J24" t="str">
        <f>TEXT(H23,"0.00%")&amp;" to "&amp;TEXT(H24,"0.00%")</f>
        <v>11.03% to 13.35%</v>
      </c>
      <c r="K24" s="5">
        <f>I24/$R$15</f>
        <v>2.4213075060532689E-3</v>
      </c>
      <c r="L24" s="5">
        <f>SUM($K$13:K24)</f>
        <v>1</v>
      </c>
    </row>
    <row r="25" spans="1:12" x14ac:dyDescent="0.45">
      <c r="A25" s="2">
        <v>34213</v>
      </c>
      <c r="B25" s="7">
        <v>137233</v>
      </c>
      <c r="C25" s="8">
        <v>9.4818454657801254E-3</v>
      </c>
    </row>
    <row r="26" spans="1:12" x14ac:dyDescent="0.45">
      <c r="A26" s="2">
        <v>34243</v>
      </c>
      <c r="B26" s="7">
        <v>137934</v>
      </c>
      <c r="C26" s="8">
        <v>5.1081008212310319E-3</v>
      </c>
    </row>
    <row r="27" spans="1:12" x14ac:dyDescent="0.45">
      <c r="A27" s="2">
        <v>34274</v>
      </c>
      <c r="B27" s="7">
        <v>138617</v>
      </c>
      <c r="C27" s="8">
        <v>4.9516435396639302E-3</v>
      </c>
    </row>
    <row r="28" spans="1:12" x14ac:dyDescent="0.45">
      <c r="A28" s="2">
        <v>34304</v>
      </c>
      <c r="B28" s="7">
        <v>139138</v>
      </c>
      <c r="C28" s="8">
        <v>3.7585577526566549E-3</v>
      </c>
    </row>
    <row r="29" spans="1:12" x14ac:dyDescent="0.45">
      <c r="A29" s="2">
        <v>34335</v>
      </c>
      <c r="B29" s="7">
        <v>138384</v>
      </c>
      <c r="C29" s="8">
        <v>-5.4190803375065988E-3</v>
      </c>
    </row>
    <row r="30" spans="1:12" x14ac:dyDescent="0.45">
      <c r="A30" s="2">
        <v>34366</v>
      </c>
      <c r="B30" s="7">
        <v>140389</v>
      </c>
      <c r="C30" s="8">
        <v>1.4488669210313221E-2</v>
      </c>
    </row>
    <row r="31" spans="1:12" x14ac:dyDescent="0.45">
      <c r="A31" s="2">
        <v>34394</v>
      </c>
      <c r="B31" s="7">
        <v>142940</v>
      </c>
      <c r="C31" s="8">
        <v>1.8170939318607582E-2</v>
      </c>
    </row>
    <row r="32" spans="1:12" x14ac:dyDescent="0.45">
      <c r="A32" s="2">
        <v>34425</v>
      </c>
      <c r="B32" s="7">
        <v>142587</v>
      </c>
      <c r="C32" s="8">
        <v>-2.4695676507625608E-3</v>
      </c>
    </row>
    <row r="33" spans="1:3" x14ac:dyDescent="0.45">
      <c r="A33" s="2">
        <v>34455</v>
      </c>
      <c r="B33" s="7">
        <v>142378</v>
      </c>
      <c r="C33" s="8">
        <v>-1.4657717744254173E-3</v>
      </c>
    </row>
    <row r="34" spans="1:3" x14ac:dyDescent="0.45">
      <c r="A34" s="2">
        <v>34486</v>
      </c>
      <c r="B34" s="7">
        <v>144275</v>
      </c>
      <c r="C34" s="8">
        <v>1.3323687648372662E-2</v>
      </c>
    </row>
    <row r="35" spans="1:3" x14ac:dyDescent="0.45">
      <c r="A35" s="2">
        <v>34516</v>
      </c>
      <c r="B35" s="7">
        <v>145012</v>
      </c>
      <c r="C35" s="8">
        <v>5.1083001212961499E-3</v>
      </c>
    </row>
    <row r="36" spans="1:3" x14ac:dyDescent="0.45">
      <c r="A36" s="2">
        <v>34547</v>
      </c>
      <c r="B36" s="7">
        <v>146595</v>
      </c>
      <c r="C36" s="8">
        <v>1.0916337958237987E-2</v>
      </c>
    </row>
    <row r="37" spans="1:3" x14ac:dyDescent="0.45">
      <c r="A37" s="2">
        <v>34578</v>
      </c>
      <c r="B37" s="7">
        <v>147260</v>
      </c>
      <c r="C37" s="8">
        <v>4.5363075138988851E-3</v>
      </c>
    </row>
    <row r="38" spans="1:3" x14ac:dyDescent="0.45">
      <c r="A38" s="2">
        <v>34608</v>
      </c>
      <c r="B38" s="7">
        <v>148228</v>
      </c>
      <c r="C38" s="8">
        <v>6.5734075784327217E-3</v>
      </c>
    </row>
    <row r="39" spans="1:3" x14ac:dyDescent="0.45">
      <c r="A39" s="2">
        <v>34639</v>
      </c>
      <c r="B39" s="7">
        <v>148131</v>
      </c>
      <c r="C39" s="8">
        <v>-6.5439727986615903E-4</v>
      </c>
    </row>
    <row r="40" spans="1:3" x14ac:dyDescent="0.45">
      <c r="A40" s="2">
        <v>34669</v>
      </c>
      <c r="B40" s="7">
        <v>149169</v>
      </c>
      <c r="C40" s="8">
        <v>7.0073110962594054E-3</v>
      </c>
    </row>
    <row r="41" spans="1:3" x14ac:dyDescent="0.45">
      <c r="A41" s="2">
        <v>34700</v>
      </c>
      <c r="B41" s="7">
        <v>149915</v>
      </c>
      <c r="C41" s="8">
        <v>5.001039089891357E-3</v>
      </c>
    </row>
    <row r="42" spans="1:3" x14ac:dyDescent="0.45">
      <c r="A42" s="2">
        <v>34731</v>
      </c>
      <c r="B42" s="7">
        <v>148251</v>
      </c>
      <c r="C42" s="8">
        <v>-1.1099623119767865E-2</v>
      </c>
    </row>
    <row r="43" spans="1:3" x14ac:dyDescent="0.45">
      <c r="A43" s="2">
        <v>34759</v>
      </c>
      <c r="B43" s="7">
        <v>149356</v>
      </c>
      <c r="C43" s="8">
        <v>7.4535753553095496E-3</v>
      </c>
    </row>
    <row r="44" spans="1:3" x14ac:dyDescent="0.45">
      <c r="A44" s="2">
        <v>34790</v>
      </c>
      <c r="B44" s="7">
        <v>149678</v>
      </c>
      <c r="C44" s="8">
        <v>2.1559227617236054E-3</v>
      </c>
    </row>
    <row r="45" spans="1:3" x14ac:dyDescent="0.45">
      <c r="A45" s="2">
        <v>34820</v>
      </c>
      <c r="B45" s="7">
        <v>150931</v>
      </c>
      <c r="C45" s="8">
        <v>8.3713037320114481E-3</v>
      </c>
    </row>
    <row r="46" spans="1:3" x14ac:dyDescent="0.45">
      <c r="A46" s="2">
        <v>34851</v>
      </c>
      <c r="B46" s="7">
        <v>151677</v>
      </c>
      <c r="C46" s="8">
        <v>4.9426559156171557E-3</v>
      </c>
    </row>
    <row r="47" spans="1:3" x14ac:dyDescent="0.45">
      <c r="A47" s="2">
        <v>34881</v>
      </c>
      <c r="B47" s="7">
        <v>151778</v>
      </c>
      <c r="C47" s="8">
        <v>6.6588869769312886E-4</v>
      </c>
    </row>
    <row r="48" spans="1:3" x14ac:dyDescent="0.45">
      <c r="A48" s="2">
        <v>34912</v>
      </c>
      <c r="B48" s="7">
        <v>152226</v>
      </c>
      <c r="C48" s="8">
        <v>2.951679426530962E-3</v>
      </c>
    </row>
    <row r="49" spans="1:3" x14ac:dyDescent="0.45">
      <c r="A49" s="2">
        <v>34943</v>
      </c>
      <c r="B49" s="7">
        <v>153644</v>
      </c>
      <c r="C49" s="8">
        <v>9.3150972895563733E-3</v>
      </c>
    </row>
    <row r="50" spans="1:3" x14ac:dyDescent="0.45">
      <c r="A50" s="2">
        <v>34973</v>
      </c>
      <c r="B50" s="7">
        <v>152316</v>
      </c>
      <c r="C50" s="8">
        <v>-8.6433573715862799E-3</v>
      </c>
    </row>
    <row r="51" spans="1:3" x14ac:dyDescent="0.45">
      <c r="A51" s="2">
        <v>35004</v>
      </c>
      <c r="B51" s="7">
        <v>154548</v>
      </c>
      <c r="C51" s="8">
        <v>1.4653746159300374E-2</v>
      </c>
    </row>
    <row r="52" spans="1:3" x14ac:dyDescent="0.45">
      <c r="A52" s="2">
        <v>35034</v>
      </c>
      <c r="B52" s="7">
        <v>155527</v>
      </c>
      <c r="C52" s="8">
        <v>6.3346015477392381E-3</v>
      </c>
    </row>
    <row r="53" spans="1:3" x14ac:dyDescent="0.45">
      <c r="A53" s="2">
        <v>35065</v>
      </c>
      <c r="B53" s="7">
        <v>154263</v>
      </c>
      <c r="C53" s="8">
        <v>-8.1272062085683272E-3</v>
      </c>
    </row>
    <row r="54" spans="1:3" x14ac:dyDescent="0.45">
      <c r="A54" s="2">
        <v>35096</v>
      </c>
      <c r="B54" s="7">
        <v>155584</v>
      </c>
      <c r="C54" s="8">
        <v>8.5632977447605008E-3</v>
      </c>
    </row>
    <row r="55" spans="1:3" x14ac:dyDescent="0.45">
      <c r="A55" s="2">
        <v>35125</v>
      </c>
      <c r="B55" s="7">
        <v>157137</v>
      </c>
      <c r="C55" s="8">
        <v>9.9817461949816E-3</v>
      </c>
    </row>
    <row r="56" spans="1:3" x14ac:dyDescent="0.45">
      <c r="A56" s="2">
        <v>35156</v>
      </c>
      <c r="B56" s="7">
        <v>158564</v>
      </c>
      <c r="C56" s="8">
        <v>9.0812475737731546E-3</v>
      </c>
    </row>
    <row r="57" spans="1:3" x14ac:dyDescent="0.45">
      <c r="A57" s="2">
        <v>35186</v>
      </c>
      <c r="B57" s="7">
        <v>159585</v>
      </c>
      <c r="C57" s="8">
        <v>6.439040387477668E-3</v>
      </c>
    </row>
    <row r="58" spans="1:3" x14ac:dyDescent="0.45">
      <c r="A58" s="2">
        <v>35217</v>
      </c>
      <c r="B58" s="7">
        <v>159391</v>
      </c>
      <c r="C58" s="8">
        <v>-1.2156531002287529E-3</v>
      </c>
    </row>
    <row r="59" spans="1:3" x14ac:dyDescent="0.45">
      <c r="A59" s="2">
        <v>35247</v>
      </c>
      <c r="B59" s="7">
        <v>159617</v>
      </c>
      <c r="C59" s="8">
        <v>1.4178968699611882E-3</v>
      </c>
    </row>
    <row r="60" spans="1:3" x14ac:dyDescent="0.45">
      <c r="A60" s="2">
        <v>35278</v>
      </c>
      <c r="B60" s="7">
        <v>160665</v>
      </c>
      <c r="C60" s="8">
        <v>6.5657166843131609E-3</v>
      </c>
    </row>
    <row r="61" spans="1:3" x14ac:dyDescent="0.45">
      <c r="A61" s="2">
        <v>35309</v>
      </c>
      <c r="B61" s="7">
        <v>161368</v>
      </c>
      <c r="C61" s="8">
        <v>4.3755640618678981E-3</v>
      </c>
    </row>
    <row r="62" spans="1:3" x14ac:dyDescent="0.45">
      <c r="A62" s="2">
        <v>35339</v>
      </c>
      <c r="B62" s="7">
        <v>162922</v>
      </c>
      <c r="C62" s="8">
        <v>9.6301621139258664E-3</v>
      </c>
    </row>
    <row r="63" spans="1:3" x14ac:dyDescent="0.45">
      <c r="A63" s="2">
        <v>35370</v>
      </c>
      <c r="B63" s="7">
        <v>163871</v>
      </c>
      <c r="C63" s="8">
        <v>5.824873252231022E-3</v>
      </c>
    </row>
    <row r="64" spans="1:3" x14ac:dyDescent="0.45">
      <c r="A64" s="2">
        <v>35400</v>
      </c>
      <c r="B64" s="7">
        <v>164077</v>
      </c>
      <c r="C64" s="8">
        <v>1.2570863667151766E-3</v>
      </c>
    </row>
    <row r="65" spans="1:3" x14ac:dyDescent="0.45">
      <c r="A65" s="2">
        <v>35431</v>
      </c>
      <c r="B65" s="7">
        <v>165069</v>
      </c>
      <c r="C65" s="8">
        <v>6.0459418443779001E-3</v>
      </c>
    </row>
    <row r="66" spans="1:3" x14ac:dyDescent="0.45">
      <c r="A66" s="2">
        <v>35462</v>
      </c>
      <c r="B66" s="7">
        <v>166268</v>
      </c>
      <c r="C66" s="8">
        <v>7.2636291490224547E-3</v>
      </c>
    </row>
    <row r="67" spans="1:3" x14ac:dyDescent="0.45">
      <c r="A67" s="2">
        <v>35490</v>
      </c>
      <c r="B67" s="7">
        <v>168000</v>
      </c>
      <c r="C67" s="8">
        <v>1.0416917266100612E-2</v>
      </c>
    </row>
    <row r="68" spans="1:3" x14ac:dyDescent="0.45">
      <c r="A68" s="2">
        <v>35521</v>
      </c>
      <c r="B68" s="7">
        <v>165632</v>
      </c>
      <c r="C68" s="8">
        <v>-1.409523809523805E-2</v>
      </c>
    </row>
    <row r="69" spans="1:3" x14ac:dyDescent="0.45">
      <c r="A69" s="2">
        <v>35551</v>
      </c>
      <c r="B69" s="7">
        <v>166535</v>
      </c>
      <c r="C69" s="8">
        <v>5.4518450540959051E-3</v>
      </c>
    </row>
    <row r="70" spans="1:3" x14ac:dyDescent="0.45">
      <c r="A70" s="2">
        <v>35582</v>
      </c>
      <c r="B70" s="7">
        <v>167373</v>
      </c>
      <c r="C70" s="8">
        <v>5.0319752604557344E-3</v>
      </c>
    </row>
    <row r="71" spans="1:3" x14ac:dyDescent="0.45">
      <c r="A71" s="2">
        <v>35612</v>
      </c>
      <c r="B71" s="7">
        <v>168610</v>
      </c>
      <c r="C71" s="8">
        <v>7.3906783053419023E-3</v>
      </c>
    </row>
    <row r="72" spans="1:3" x14ac:dyDescent="0.45">
      <c r="A72" s="2">
        <v>35643</v>
      </c>
      <c r="B72" s="7">
        <v>169306</v>
      </c>
      <c r="C72" s="8">
        <v>4.1278690469130908E-3</v>
      </c>
    </row>
    <row r="73" spans="1:3" x14ac:dyDescent="0.45">
      <c r="A73" s="2">
        <v>35674</v>
      </c>
      <c r="B73" s="7">
        <v>170143</v>
      </c>
      <c r="C73" s="8">
        <v>4.9437113864836402E-3</v>
      </c>
    </row>
    <row r="74" spans="1:3" x14ac:dyDescent="0.45">
      <c r="A74" s="2">
        <v>35704</v>
      </c>
      <c r="B74" s="7">
        <v>170457</v>
      </c>
      <c r="C74" s="8">
        <v>1.845506426946697E-3</v>
      </c>
    </row>
    <row r="75" spans="1:3" x14ac:dyDescent="0.45">
      <c r="A75" s="2">
        <v>35735</v>
      </c>
      <c r="B75" s="7">
        <v>170153</v>
      </c>
      <c r="C75" s="8">
        <v>-1.7834409851165134E-3</v>
      </c>
    </row>
    <row r="76" spans="1:3" x14ac:dyDescent="0.45">
      <c r="A76" s="2">
        <v>35765</v>
      </c>
      <c r="B76" s="7">
        <v>170490</v>
      </c>
      <c r="C76" s="8">
        <v>1.9805704277915392E-3</v>
      </c>
    </row>
    <row r="77" spans="1:3" x14ac:dyDescent="0.45">
      <c r="A77" s="2">
        <v>35796</v>
      </c>
      <c r="B77" s="7">
        <v>171713</v>
      </c>
      <c r="C77" s="8">
        <v>7.1734412575517048E-3</v>
      </c>
    </row>
    <row r="78" spans="1:3" x14ac:dyDescent="0.45">
      <c r="A78" s="2">
        <v>35827</v>
      </c>
      <c r="B78" s="7">
        <v>172197</v>
      </c>
      <c r="C78" s="8">
        <v>2.8186567120718209E-3</v>
      </c>
    </row>
    <row r="79" spans="1:3" x14ac:dyDescent="0.45">
      <c r="A79" s="2">
        <v>35855</v>
      </c>
      <c r="B79" s="7">
        <v>172008</v>
      </c>
      <c r="C79" s="8">
        <v>-1.0975800972142791E-3</v>
      </c>
    </row>
    <row r="80" spans="1:3" x14ac:dyDescent="0.45">
      <c r="A80" s="2">
        <v>35886</v>
      </c>
      <c r="B80" s="7">
        <v>173839</v>
      </c>
      <c r="C80" s="8">
        <v>1.0644853727733494E-2</v>
      </c>
    </row>
    <row r="81" spans="1:3" x14ac:dyDescent="0.45">
      <c r="A81" s="2">
        <v>35916</v>
      </c>
      <c r="B81" s="7">
        <v>174527</v>
      </c>
      <c r="C81" s="8">
        <v>3.9576849843820927E-3</v>
      </c>
    </row>
    <row r="82" spans="1:3" x14ac:dyDescent="0.45">
      <c r="A82" s="2">
        <v>35947</v>
      </c>
      <c r="B82" s="7">
        <v>174821</v>
      </c>
      <c r="C82" s="8">
        <v>1.6845531063960362E-3</v>
      </c>
    </row>
    <row r="83" spans="1:3" x14ac:dyDescent="0.45">
      <c r="A83" s="2">
        <v>35977</v>
      </c>
      <c r="B83" s="7">
        <v>176263</v>
      </c>
      <c r="C83" s="8">
        <v>8.2484369726749662E-3</v>
      </c>
    </row>
    <row r="84" spans="1:3" x14ac:dyDescent="0.45">
      <c r="A84" s="2">
        <v>36008</v>
      </c>
      <c r="B84" s="7">
        <v>176400</v>
      </c>
      <c r="C84" s="8">
        <v>7.7724763563535859E-4</v>
      </c>
    </row>
    <row r="85" spans="1:3" x14ac:dyDescent="0.45">
      <c r="A85" s="2">
        <v>36039</v>
      </c>
      <c r="B85" s="7">
        <v>176388</v>
      </c>
      <c r="C85" s="8">
        <v>-6.8027210884391565E-5</v>
      </c>
    </row>
    <row r="86" spans="1:3" x14ac:dyDescent="0.45">
      <c r="A86" s="2">
        <v>36069</v>
      </c>
      <c r="B86" s="7">
        <v>178401</v>
      </c>
      <c r="C86" s="8">
        <v>1.141234097557664E-2</v>
      </c>
    </row>
    <row r="87" spans="1:3" x14ac:dyDescent="0.45">
      <c r="A87" s="2">
        <v>36100</v>
      </c>
      <c r="B87" s="7">
        <v>179263</v>
      </c>
      <c r="C87" s="8">
        <v>4.8318114808774126E-3</v>
      </c>
    </row>
    <row r="88" spans="1:3" x14ac:dyDescent="0.45">
      <c r="A88" s="2">
        <v>36130</v>
      </c>
      <c r="B88" s="7">
        <v>180637</v>
      </c>
      <c r="C88" s="8">
        <v>7.6647160875362719E-3</v>
      </c>
    </row>
    <row r="89" spans="1:3" x14ac:dyDescent="0.45">
      <c r="A89" s="2">
        <v>36161</v>
      </c>
      <c r="B89" s="7">
        <v>181548</v>
      </c>
      <c r="C89" s="8">
        <v>5.0432635617287946E-3</v>
      </c>
    </row>
    <row r="90" spans="1:3" x14ac:dyDescent="0.45">
      <c r="A90" s="2">
        <v>36192</v>
      </c>
      <c r="B90" s="7">
        <v>183385</v>
      </c>
      <c r="C90" s="8">
        <v>1.0118536144711143E-2</v>
      </c>
    </row>
    <row r="91" spans="1:3" x14ac:dyDescent="0.45">
      <c r="A91" s="2">
        <v>36220</v>
      </c>
      <c r="B91" s="7">
        <v>184025</v>
      </c>
      <c r="C91" s="8">
        <v>3.4899255664313511E-3</v>
      </c>
    </row>
    <row r="92" spans="1:3" x14ac:dyDescent="0.45">
      <c r="A92" s="2">
        <v>36251</v>
      </c>
      <c r="B92" s="7">
        <v>185446</v>
      </c>
      <c r="C92" s="8">
        <v>7.721776932481994E-3</v>
      </c>
    </row>
    <row r="93" spans="1:3" x14ac:dyDescent="0.45">
      <c r="A93" s="2">
        <v>36281</v>
      </c>
      <c r="B93" s="7">
        <v>186516</v>
      </c>
      <c r="C93" s="8">
        <v>5.769873709867035E-3</v>
      </c>
    </row>
    <row r="94" spans="1:3" x14ac:dyDescent="0.45">
      <c r="A94" s="2">
        <v>36312</v>
      </c>
      <c r="B94" s="7">
        <v>186876</v>
      </c>
      <c r="C94" s="8">
        <v>1.9301293186644308E-3</v>
      </c>
    </row>
    <row r="95" spans="1:3" x14ac:dyDescent="0.45">
      <c r="A95" s="2">
        <v>36342</v>
      </c>
      <c r="B95" s="7">
        <v>188256</v>
      </c>
      <c r="C95" s="8">
        <v>7.384575868490284E-3</v>
      </c>
    </row>
    <row r="96" spans="1:3" x14ac:dyDescent="0.45">
      <c r="A96" s="2">
        <v>36373</v>
      </c>
      <c r="B96" s="7">
        <v>189315</v>
      </c>
      <c r="C96" s="8">
        <v>5.6253187149413186E-3</v>
      </c>
    </row>
    <row r="97" spans="1:3" x14ac:dyDescent="0.45">
      <c r="A97" s="2">
        <v>36404</v>
      </c>
      <c r="B97" s="7">
        <v>191225</v>
      </c>
      <c r="C97" s="8">
        <v>1.0089005097324577E-2</v>
      </c>
    </row>
    <row r="98" spans="1:3" x14ac:dyDescent="0.45">
      <c r="A98" s="2">
        <v>36434</v>
      </c>
      <c r="B98" s="7">
        <v>192306</v>
      </c>
      <c r="C98" s="8">
        <v>5.6530265394170165E-3</v>
      </c>
    </row>
    <row r="99" spans="1:3" x14ac:dyDescent="0.45">
      <c r="A99" s="2">
        <v>36465</v>
      </c>
      <c r="B99" s="7">
        <v>193342</v>
      </c>
      <c r="C99" s="8">
        <v>5.3872474077771848E-3</v>
      </c>
    </row>
    <row r="100" spans="1:3" x14ac:dyDescent="0.45">
      <c r="A100" s="2">
        <v>36495</v>
      </c>
      <c r="B100" s="7">
        <v>198600</v>
      </c>
      <c r="C100" s="8">
        <v>2.7195332623020319E-2</v>
      </c>
    </row>
    <row r="101" spans="1:3" x14ac:dyDescent="0.45">
      <c r="A101" s="2">
        <v>36526</v>
      </c>
      <c r="B101" s="7">
        <v>195603</v>
      </c>
      <c r="C101" s="8">
        <v>-1.5090634441087603E-2</v>
      </c>
    </row>
    <row r="102" spans="1:3" x14ac:dyDescent="0.45">
      <c r="A102" s="2">
        <v>36557</v>
      </c>
      <c r="B102" s="7">
        <v>197780</v>
      </c>
      <c r="C102" s="8">
        <v>1.1129686150007867E-2</v>
      </c>
    </row>
    <row r="103" spans="1:3" x14ac:dyDescent="0.45">
      <c r="A103" s="2">
        <v>36586</v>
      </c>
      <c r="B103" s="7">
        <v>201690</v>
      </c>
      <c r="C103" s="8">
        <v>1.9769440792800186E-2</v>
      </c>
    </row>
    <row r="104" spans="1:3" x14ac:dyDescent="0.45">
      <c r="A104" s="2">
        <v>36617</v>
      </c>
      <c r="B104" s="7">
        <v>200086</v>
      </c>
      <c r="C104" s="8">
        <v>-7.9527988497198887E-3</v>
      </c>
    </row>
    <row r="105" spans="1:3" x14ac:dyDescent="0.45">
      <c r="A105" s="2">
        <v>36647</v>
      </c>
      <c r="B105" s="7">
        <v>200582</v>
      </c>
      <c r="C105" s="8">
        <v>2.4789340583548647E-3</v>
      </c>
    </row>
    <row r="106" spans="1:3" x14ac:dyDescent="0.45">
      <c r="A106" s="2">
        <v>36678</v>
      </c>
      <c r="B106" s="7">
        <v>202008</v>
      </c>
      <c r="C106" s="8">
        <v>7.1093119023641904E-3</v>
      </c>
    </row>
    <row r="107" spans="1:3" x14ac:dyDescent="0.45">
      <c r="A107" s="2">
        <v>36708</v>
      </c>
      <c r="B107" s="7">
        <v>202232</v>
      </c>
      <c r="C107" s="8">
        <v>1.1088669755652258E-3</v>
      </c>
    </row>
    <row r="108" spans="1:3" x14ac:dyDescent="0.45">
      <c r="A108" s="2">
        <v>36739</v>
      </c>
      <c r="B108" s="7">
        <v>202434</v>
      </c>
      <c r="C108" s="8">
        <v>9.9885280272160593E-4</v>
      </c>
    </row>
    <row r="109" spans="1:3" x14ac:dyDescent="0.45">
      <c r="A109" s="2">
        <v>36770</v>
      </c>
      <c r="B109" s="7">
        <v>205788</v>
      </c>
      <c r="C109" s="8">
        <v>1.6568363022021915E-2</v>
      </c>
    </row>
    <row r="110" spans="1:3" x14ac:dyDescent="0.45">
      <c r="A110" s="2">
        <v>36800</v>
      </c>
      <c r="B110" s="7">
        <v>205319</v>
      </c>
      <c r="C110" s="8">
        <v>-2.2790444535152332E-3</v>
      </c>
    </row>
    <row r="111" spans="1:3" x14ac:dyDescent="0.45">
      <c r="A111" s="2">
        <v>36831</v>
      </c>
      <c r="B111" s="7">
        <v>205905</v>
      </c>
      <c r="C111" s="8">
        <v>2.8540953345770337E-3</v>
      </c>
    </row>
    <row r="112" spans="1:3" x14ac:dyDescent="0.45">
      <c r="A112" s="2">
        <v>36861</v>
      </c>
      <c r="B112" s="7">
        <v>206882</v>
      </c>
      <c r="C112" s="8">
        <v>4.7449066316991306E-3</v>
      </c>
    </row>
    <row r="113" spans="1:3" x14ac:dyDescent="0.45">
      <c r="A113" s="2">
        <v>36892</v>
      </c>
      <c r="B113" s="7">
        <v>207847</v>
      </c>
      <c r="C113" s="8">
        <v>4.6644947361298428E-3</v>
      </c>
    </row>
    <row r="114" spans="1:3" x14ac:dyDescent="0.45">
      <c r="A114" s="2">
        <v>36923</v>
      </c>
      <c r="B114" s="7">
        <v>207605</v>
      </c>
      <c r="C114" s="8">
        <v>-1.1643179839015971E-3</v>
      </c>
    </row>
    <row r="115" spans="1:3" x14ac:dyDescent="0.45">
      <c r="A115" s="2">
        <v>36951</v>
      </c>
      <c r="B115" s="7">
        <v>205633</v>
      </c>
      <c r="C115" s="8">
        <v>-9.4988078321812663E-3</v>
      </c>
    </row>
    <row r="116" spans="1:3" x14ac:dyDescent="0.45">
      <c r="A116" s="2">
        <v>36982</v>
      </c>
      <c r="B116" s="7">
        <v>208765</v>
      </c>
      <c r="C116" s="8">
        <v>1.5231018367674487E-2</v>
      </c>
    </row>
    <row r="117" spans="1:3" x14ac:dyDescent="0.45">
      <c r="A117" s="2">
        <v>37012</v>
      </c>
      <c r="B117" s="7">
        <v>209255</v>
      </c>
      <c r="C117" s="8">
        <v>2.3471367326899362E-3</v>
      </c>
    </row>
    <row r="118" spans="1:3" x14ac:dyDescent="0.45">
      <c r="A118" s="2">
        <v>37043</v>
      </c>
      <c r="B118" s="7">
        <v>209007</v>
      </c>
      <c r="C118" s="8">
        <v>-1.1851568660247169E-3</v>
      </c>
    </row>
    <row r="119" spans="1:3" x14ac:dyDescent="0.45">
      <c r="A119" s="2">
        <v>37073</v>
      </c>
      <c r="B119" s="7">
        <v>208248</v>
      </c>
      <c r="C119" s="8">
        <v>-3.631457319611342E-3</v>
      </c>
    </row>
    <row r="120" spans="1:3" x14ac:dyDescent="0.45">
      <c r="A120" s="2">
        <v>37104</v>
      </c>
      <c r="B120" s="7">
        <v>210319</v>
      </c>
      <c r="C120" s="8">
        <v>9.9448734201528222E-3</v>
      </c>
    </row>
    <row r="121" spans="1:3" x14ac:dyDescent="0.45">
      <c r="A121" s="2">
        <v>37135</v>
      </c>
      <c r="B121" s="7">
        <v>207049</v>
      </c>
      <c r="C121" s="8">
        <v>-1.5547810706593279E-2</v>
      </c>
    </row>
    <row r="122" spans="1:3" x14ac:dyDescent="0.45">
      <c r="A122" s="2">
        <v>37165</v>
      </c>
      <c r="B122" s="7">
        <v>209005</v>
      </c>
      <c r="C122" s="8">
        <v>9.4470391066849846E-3</v>
      </c>
    </row>
    <row r="123" spans="1:3" x14ac:dyDescent="0.45">
      <c r="A123" s="2">
        <v>37196</v>
      </c>
      <c r="B123" s="7">
        <v>209495</v>
      </c>
      <c r="C123" s="8">
        <v>2.34444152053781E-3</v>
      </c>
    </row>
    <row r="124" spans="1:3" x14ac:dyDescent="0.45">
      <c r="A124" s="2">
        <v>37226</v>
      </c>
      <c r="B124" s="7">
        <v>210047</v>
      </c>
      <c r="C124" s="8">
        <v>2.6349077543617039E-3</v>
      </c>
    </row>
    <row r="125" spans="1:3" x14ac:dyDescent="0.45">
      <c r="A125" s="2">
        <v>37257</v>
      </c>
      <c r="B125" s="7">
        <v>210592</v>
      </c>
      <c r="C125" s="8">
        <v>2.5946573862041244E-3</v>
      </c>
    </row>
    <row r="126" spans="1:3" x14ac:dyDescent="0.45">
      <c r="A126" s="2">
        <v>37288</v>
      </c>
      <c r="B126" s="7">
        <v>211933</v>
      </c>
      <c r="C126" s="8">
        <v>6.3677632578635901E-3</v>
      </c>
    </row>
    <row r="127" spans="1:3" x14ac:dyDescent="0.45">
      <c r="A127" s="2">
        <v>37316</v>
      </c>
      <c r="B127" s="7">
        <v>212922</v>
      </c>
      <c r="C127" s="8">
        <v>4.6665691515714869E-3</v>
      </c>
    </row>
    <row r="128" spans="1:3" x14ac:dyDescent="0.45">
      <c r="A128" s="2">
        <v>37347</v>
      </c>
      <c r="B128" s="7">
        <v>214538</v>
      </c>
      <c r="C128" s="8">
        <v>7.5896337625984689E-3</v>
      </c>
    </row>
    <row r="129" spans="1:3" x14ac:dyDescent="0.45">
      <c r="A129" s="2">
        <v>37377</v>
      </c>
      <c r="B129" s="7">
        <v>214712</v>
      </c>
      <c r="C129" s="8">
        <v>8.1104512953422692E-4</v>
      </c>
    </row>
    <row r="130" spans="1:3" x14ac:dyDescent="0.45">
      <c r="A130" s="2">
        <v>37408</v>
      </c>
      <c r="B130" s="7">
        <v>214429</v>
      </c>
      <c r="C130" s="8">
        <v>-1.3180446365363974E-3</v>
      </c>
    </row>
    <row r="131" spans="1:3" x14ac:dyDescent="0.45">
      <c r="A131" s="2">
        <v>37438</v>
      </c>
      <c r="B131" s="7">
        <v>215007</v>
      </c>
      <c r="C131" s="8">
        <v>2.6955309216569745E-3</v>
      </c>
    </row>
    <row r="132" spans="1:3" x14ac:dyDescent="0.45">
      <c r="A132" s="2">
        <v>37469</v>
      </c>
      <c r="B132" s="7">
        <v>215334</v>
      </c>
      <c r="C132" s="8">
        <v>1.5208807155115966E-3</v>
      </c>
    </row>
    <row r="133" spans="1:3" x14ac:dyDescent="0.45">
      <c r="A133" s="2">
        <v>37500</v>
      </c>
      <c r="B133" s="7">
        <v>214949</v>
      </c>
      <c r="C133" s="8">
        <v>-1.7879201612378548E-3</v>
      </c>
    </row>
    <row r="134" spans="1:3" x14ac:dyDescent="0.45">
      <c r="A134" s="2">
        <v>37530</v>
      </c>
      <c r="B134" s="7">
        <v>216503</v>
      </c>
      <c r="C134" s="8">
        <v>7.2296219103136217E-3</v>
      </c>
    </row>
    <row r="135" spans="1:3" x14ac:dyDescent="0.45">
      <c r="A135" s="2">
        <v>37561</v>
      </c>
      <c r="B135" s="7">
        <v>218069</v>
      </c>
      <c r="C135" s="8">
        <v>7.2331561225480456E-3</v>
      </c>
    </row>
    <row r="136" spans="1:3" x14ac:dyDescent="0.45">
      <c r="A136" s="2">
        <v>37591</v>
      </c>
      <c r="B136" s="7">
        <v>218284</v>
      </c>
      <c r="C136" s="8">
        <v>9.8592647281359191E-4</v>
      </c>
    </row>
    <row r="137" spans="1:3" x14ac:dyDescent="0.45">
      <c r="A137" s="2">
        <v>37622</v>
      </c>
      <c r="B137" s="7">
        <v>220353</v>
      </c>
      <c r="C137" s="8">
        <v>9.4784775796667997E-3</v>
      </c>
    </row>
    <row r="138" spans="1:3" x14ac:dyDescent="0.45">
      <c r="A138" s="2">
        <v>37653</v>
      </c>
      <c r="B138" s="7">
        <v>219429</v>
      </c>
      <c r="C138" s="8">
        <v>-4.1932717049460999E-3</v>
      </c>
    </row>
    <row r="139" spans="1:3" x14ac:dyDescent="0.45">
      <c r="A139" s="2">
        <v>37681</v>
      </c>
      <c r="B139" s="7">
        <v>221858</v>
      </c>
      <c r="C139" s="8">
        <v>1.1069639837943068E-2</v>
      </c>
    </row>
    <row r="140" spans="1:3" x14ac:dyDescent="0.45">
      <c r="A140" s="2">
        <v>37712</v>
      </c>
      <c r="B140" s="7">
        <v>220633</v>
      </c>
      <c r="C140" s="8">
        <v>-5.5215498201551805E-3</v>
      </c>
    </row>
    <row r="141" spans="1:3" x14ac:dyDescent="0.45">
      <c r="A141" s="2">
        <v>37742</v>
      </c>
      <c r="B141" s="7">
        <v>221437</v>
      </c>
      <c r="C141" s="8">
        <v>3.6440604986560654E-3</v>
      </c>
    </row>
    <row r="142" spans="1:3" x14ac:dyDescent="0.45">
      <c r="A142" s="2">
        <v>37773</v>
      </c>
      <c r="B142" s="7">
        <v>223736</v>
      </c>
      <c r="C142" s="8">
        <v>1.0382185452295634E-2</v>
      </c>
    </row>
    <row r="143" spans="1:3" x14ac:dyDescent="0.45">
      <c r="A143" s="2">
        <v>37803</v>
      </c>
      <c r="B143" s="7">
        <v>225986</v>
      </c>
      <c r="C143" s="8">
        <v>1.0056495155004175E-2</v>
      </c>
    </row>
    <row r="144" spans="1:3" x14ac:dyDescent="0.45">
      <c r="A144" s="2">
        <v>37834</v>
      </c>
      <c r="B144" s="7">
        <v>229147</v>
      </c>
      <c r="C144" s="8">
        <v>1.3987592151726291E-2</v>
      </c>
    </row>
    <row r="145" spans="1:3" x14ac:dyDescent="0.45">
      <c r="A145" s="2">
        <v>37865</v>
      </c>
      <c r="B145" s="7">
        <v>229152</v>
      </c>
      <c r="C145" s="8">
        <v>2.1820054375565334E-5</v>
      </c>
    </row>
    <row r="146" spans="1:3" x14ac:dyDescent="0.45">
      <c r="A146" s="2">
        <v>37895</v>
      </c>
      <c r="B146" s="7">
        <v>229677</v>
      </c>
      <c r="C146" s="8">
        <v>2.291055718474988E-3</v>
      </c>
    </row>
    <row r="147" spans="1:3" x14ac:dyDescent="0.45">
      <c r="A147" s="2">
        <v>37926</v>
      </c>
      <c r="B147" s="7">
        <v>230537</v>
      </c>
      <c r="C147" s="8">
        <v>3.7443888591368601E-3</v>
      </c>
    </row>
    <row r="148" spans="1:3" x14ac:dyDescent="0.45">
      <c r="A148" s="2">
        <v>37956</v>
      </c>
      <c r="B148" s="7">
        <v>231694</v>
      </c>
      <c r="C148" s="8">
        <v>5.01871716904434E-3</v>
      </c>
    </row>
    <row r="149" spans="1:3" x14ac:dyDescent="0.45">
      <c r="A149" s="2">
        <v>37987</v>
      </c>
      <c r="B149" s="7">
        <v>234649</v>
      </c>
      <c r="C149" s="8">
        <v>1.2753890907835297E-2</v>
      </c>
    </row>
    <row r="150" spans="1:3" x14ac:dyDescent="0.45">
      <c r="A150" s="2">
        <v>38018</v>
      </c>
      <c r="B150" s="7">
        <v>234447</v>
      </c>
      <c r="C150" s="8">
        <v>-8.6086026362774959E-4</v>
      </c>
    </row>
    <row r="151" spans="1:3" x14ac:dyDescent="0.45">
      <c r="A151" s="2">
        <v>38047</v>
      </c>
      <c r="B151" s="7">
        <v>238680</v>
      </c>
      <c r="C151" s="8">
        <v>1.8055253426147555E-2</v>
      </c>
    </row>
    <row r="152" spans="1:3" x14ac:dyDescent="0.45">
      <c r="A152" s="2">
        <v>38078</v>
      </c>
      <c r="B152" s="7">
        <v>238476</v>
      </c>
      <c r="C152" s="8">
        <v>-8.5470085470085166E-4</v>
      </c>
    </row>
    <row r="153" spans="1:3" x14ac:dyDescent="0.45">
      <c r="A153" s="2">
        <v>38108</v>
      </c>
      <c r="B153" s="7">
        <v>240314</v>
      </c>
      <c r="C153" s="8">
        <v>7.7072745265771569E-3</v>
      </c>
    </row>
    <row r="154" spans="1:3" x14ac:dyDescent="0.45">
      <c r="A154" s="2">
        <v>38139</v>
      </c>
      <c r="B154" s="7">
        <v>240179</v>
      </c>
      <c r="C154" s="8">
        <v>-5.6176502409344131E-4</v>
      </c>
    </row>
    <row r="155" spans="1:3" x14ac:dyDescent="0.45">
      <c r="A155" s="2">
        <v>38169</v>
      </c>
      <c r="B155" s="7">
        <v>241785</v>
      </c>
      <c r="C155" s="8">
        <v>6.6866795181925731E-3</v>
      </c>
    </row>
    <row r="156" spans="1:3" x14ac:dyDescent="0.45">
      <c r="A156" s="2">
        <v>38200</v>
      </c>
      <c r="B156" s="7">
        <v>241574</v>
      </c>
      <c r="C156" s="8">
        <v>-8.726761378911041E-4</v>
      </c>
    </row>
    <row r="157" spans="1:3" x14ac:dyDescent="0.45">
      <c r="A157" s="2">
        <v>38231</v>
      </c>
      <c r="B157" s="7">
        <v>244150</v>
      </c>
      <c r="C157" s="8">
        <v>1.0663399206868318E-2</v>
      </c>
    </row>
    <row r="158" spans="1:3" x14ac:dyDescent="0.45">
      <c r="A158" s="2">
        <v>38261</v>
      </c>
      <c r="B158" s="7">
        <v>247209</v>
      </c>
      <c r="C158" s="8">
        <v>1.2529182879377432E-2</v>
      </c>
    </row>
    <row r="159" spans="1:3" x14ac:dyDescent="0.45">
      <c r="A159" s="2">
        <v>38292</v>
      </c>
      <c r="B159" s="7">
        <v>248720</v>
      </c>
      <c r="C159" s="8">
        <v>6.1122370140245241E-3</v>
      </c>
    </row>
    <row r="160" spans="1:3" x14ac:dyDescent="0.45">
      <c r="A160" s="2">
        <v>38322</v>
      </c>
      <c r="B160" s="7">
        <v>250734</v>
      </c>
      <c r="C160" s="8">
        <v>8.097458990028894E-3</v>
      </c>
    </row>
    <row r="161" spans="1:3" x14ac:dyDescent="0.45">
      <c r="A161" s="2">
        <v>38353</v>
      </c>
      <c r="B161" s="7">
        <v>250896</v>
      </c>
      <c r="C161" s="8">
        <v>6.4610304147016961E-4</v>
      </c>
    </row>
    <row r="162" spans="1:3" x14ac:dyDescent="0.45">
      <c r="A162" s="2">
        <v>38384</v>
      </c>
      <c r="B162" s="7">
        <v>253263</v>
      </c>
      <c r="C162" s="8">
        <v>9.4341878706714066E-3</v>
      </c>
    </row>
    <row r="163" spans="1:3" x14ac:dyDescent="0.45">
      <c r="A163" s="2">
        <v>38412</v>
      </c>
      <c r="B163" s="7">
        <v>253552</v>
      </c>
      <c r="C163" s="8">
        <v>1.1411062808226458E-3</v>
      </c>
    </row>
    <row r="164" spans="1:3" x14ac:dyDescent="0.45">
      <c r="A164" s="2">
        <v>38443</v>
      </c>
      <c r="B164" s="7">
        <v>257233</v>
      </c>
      <c r="C164" s="8">
        <v>1.4517732062851119E-2</v>
      </c>
    </row>
    <row r="165" spans="1:3" x14ac:dyDescent="0.45">
      <c r="A165" s="2">
        <v>38473</v>
      </c>
      <c r="B165" s="7">
        <v>255512</v>
      </c>
      <c r="C165" s="8">
        <v>-6.6904324095276024E-3</v>
      </c>
    </row>
    <row r="166" spans="1:3" x14ac:dyDescent="0.45">
      <c r="A166" s="2">
        <v>38504</v>
      </c>
      <c r="B166" s="7">
        <v>258835</v>
      </c>
      <c r="C166" s="8">
        <v>1.3005260026926369E-2</v>
      </c>
    </row>
    <row r="167" spans="1:3" x14ac:dyDescent="0.45">
      <c r="A167" s="2">
        <v>38534</v>
      </c>
      <c r="B167" s="7">
        <v>259399</v>
      </c>
      <c r="C167" s="8">
        <v>2.1789943400236655E-3</v>
      </c>
    </row>
    <row r="168" spans="1:3" x14ac:dyDescent="0.45">
      <c r="A168" s="2">
        <v>38565</v>
      </c>
      <c r="B168" s="7">
        <v>263485</v>
      </c>
      <c r="C168" s="8">
        <v>1.5751795496513177E-2</v>
      </c>
    </row>
    <row r="169" spans="1:3" x14ac:dyDescent="0.45">
      <c r="A169" s="2">
        <v>38596</v>
      </c>
      <c r="B169" s="7">
        <v>267324</v>
      </c>
      <c r="C169" s="8">
        <v>1.4570089378902029E-2</v>
      </c>
    </row>
    <row r="170" spans="1:3" x14ac:dyDescent="0.45">
      <c r="A170" s="2">
        <v>38626</v>
      </c>
      <c r="B170" s="7">
        <v>270342</v>
      </c>
      <c r="C170" s="8">
        <v>1.1289670961081022E-2</v>
      </c>
    </row>
    <row r="171" spans="1:3" x14ac:dyDescent="0.45">
      <c r="A171" s="2">
        <v>38657</v>
      </c>
      <c r="B171" s="7">
        <v>268072</v>
      </c>
      <c r="C171" s="8">
        <v>-8.3967714968447016E-3</v>
      </c>
    </row>
    <row r="172" spans="1:3" x14ac:dyDescent="0.45">
      <c r="A172" s="2">
        <v>38687</v>
      </c>
      <c r="B172" s="7">
        <v>268255</v>
      </c>
      <c r="C172" s="8">
        <v>6.8265242173737306E-4</v>
      </c>
    </row>
    <row r="173" spans="1:3" x14ac:dyDescent="0.45">
      <c r="A173" s="2">
        <v>38718</v>
      </c>
      <c r="B173" s="7">
        <v>274469</v>
      </c>
      <c r="C173" s="8">
        <v>2.3164526290283538E-2</v>
      </c>
    </row>
    <row r="174" spans="1:3" x14ac:dyDescent="0.45">
      <c r="A174" s="2">
        <v>38749</v>
      </c>
      <c r="B174" s="7">
        <v>274561</v>
      </c>
      <c r="C174" s="8">
        <v>3.3519268114057255E-4</v>
      </c>
    </row>
    <row r="175" spans="1:3" x14ac:dyDescent="0.45">
      <c r="A175" s="2">
        <v>38777</v>
      </c>
      <c r="B175" s="7">
        <v>275211</v>
      </c>
      <c r="C175" s="8">
        <v>2.3674156198441043E-3</v>
      </c>
    </row>
    <row r="176" spans="1:3" x14ac:dyDescent="0.45">
      <c r="A176" s="2">
        <v>38808</v>
      </c>
      <c r="B176" s="7">
        <v>276827</v>
      </c>
      <c r="C176" s="8">
        <v>5.871858319616674E-3</v>
      </c>
    </row>
    <row r="177" spans="1:3" x14ac:dyDescent="0.45">
      <c r="A177" s="2">
        <v>38838</v>
      </c>
      <c r="B177" s="7">
        <v>276464</v>
      </c>
      <c r="C177" s="8">
        <v>-1.3112882775162538E-3</v>
      </c>
    </row>
    <row r="178" spans="1:3" x14ac:dyDescent="0.45">
      <c r="A178" s="2">
        <v>38869</v>
      </c>
      <c r="B178" s="7">
        <v>276735</v>
      </c>
      <c r="C178" s="8">
        <v>9.8023612477571298E-4</v>
      </c>
    </row>
    <row r="179" spans="1:3" x14ac:dyDescent="0.45">
      <c r="A179" s="2">
        <v>38899</v>
      </c>
      <c r="B179" s="7">
        <v>277199</v>
      </c>
      <c r="C179" s="8">
        <v>1.6766943104413734E-3</v>
      </c>
    </row>
    <row r="180" spans="1:3" x14ac:dyDescent="0.45">
      <c r="A180" s="2">
        <v>38930</v>
      </c>
      <c r="B180" s="7">
        <v>279615</v>
      </c>
      <c r="C180" s="8">
        <v>8.7157601578649047E-3</v>
      </c>
    </row>
    <row r="181" spans="1:3" x14ac:dyDescent="0.45">
      <c r="A181" s="2">
        <v>38961</v>
      </c>
      <c r="B181" s="7">
        <v>278325</v>
      </c>
      <c r="C181" s="8">
        <v>-4.6134864009441667E-3</v>
      </c>
    </row>
    <row r="182" spans="1:3" x14ac:dyDescent="0.45">
      <c r="A182" s="2">
        <v>38991</v>
      </c>
      <c r="B182" s="7">
        <v>276900</v>
      </c>
      <c r="C182" s="8">
        <v>-5.1199137698733077E-3</v>
      </c>
    </row>
    <row r="183" spans="1:3" x14ac:dyDescent="0.45">
      <c r="A183" s="2">
        <v>39022</v>
      </c>
      <c r="B183" s="7">
        <v>277479</v>
      </c>
      <c r="C183" s="8">
        <v>2.0910075839652986E-3</v>
      </c>
    </row>
    <row r="184" spans="1:3" x14ac:dyDescent="0.45">
      <c r="A184" s="2">
        <v>39052</v>
      </c>
      <c r="B184" s="7">
        <v>282619</v>
      </c>
      <c r="C184" s="8">
        <v>1.8523924333012642E-2</v>
      </c>
    </row>
    <row r="185" spans="1:3" x14ac:dyDescent="0.45">
      <c r="A185" s="2">
        <v>39083</v>
      </c>
      <c r="B185" s="7">
        <v>282001</v>
      </c>
      <c r="C185" s="8">
        <v>-2.1866895007058851E-3</v>
      </c>
    </row>
    <row r="186" spans="1:3" x14ac:dyDescent="0.45">
      <c r="A186" s="2">
        <v>39114</v>
      </c>
      <c r="B186" s="7">
        <v>282241</v>
      </c>
      <c r="C186" s="8">
        <v>8.5106081184105342E-4</v>
      </c>
    </row>
    <row r="187" spans="1:3" x14ac:dyDescent="0.45">
      <c r="A187" s="2">
        <v>39142</v>
      </c>
      <c r="B187" s="7">
        <v>285660</v>
      </c>
      <c r="C187" s="8">
        <v>1.2113760934803874E-2</v>
      </c>
    </row>
    <row r="188" spans="1:3" x14ac:dyDescent="0.45">
      <c r="A188" s="2">
        <v>39173</v>
      </c>
      <c r="B188" s="7">
        <v>283978</v>
      </c>
      <c r="C188" s="8">
        <v>-5.8881187425611214E-3</v>
      </c>
    </row>
    <row r="189" spans="1:3" x14ac:dyDescent="0.45">
      <c r="A189" s="2">
        <v>39203</v>
      </c>
      <c r="B189" s="7">
        <v>287491</v>
      </c>
      <c r="C189" s="8">
        <v>1.2370676601708652E-2</v>
      </c>
    </row>
    <row r="190" spans="1:3" x14ac:dyDescent="0.45">
      <c r="A190" s="2">
        <v>39234</v>
      </c>
      <c r="B190" s="7">
        <v>287188</v>
      </c>
      <c r="C190" s="8">
        <v>-1.0539460365716069E-3</v>
      </c>
    </row>
    <row r="191" spans="1:3" x14ac:dyDescent="0.45">
      <c r="A191" s="2">
        <v>39264</v>
      </c>
      <c r="B191" s="7">
        <v>288091</v>
      </c>
      <c r="C191" s="8">
        <v>3.1442817945039891E-3</v>
      </c>
    </row>
    <row r="192" spans="1:3" x14ac:dyDescent="0.45">
      <c r="A192" s="2">
        <v>39295</v>
      </c>
      <c r="B192" s="7">
        <v>288655</v>
      </c>
      <c r="C192" s="8">
        <v>1.9577147498532899E-3</v>
      </c>
    </row>
    <row r="193" spans="1:3" x14ac:dyDescent="0.45">
      <c r="A193" s="2">
        <v>39326</v>
      </c>
      <c r="B193" s="7">
        <v>289574</v>
      </c>
      <c r="C193" s="8">
        <v>3.1837314441114373E-3</v>
      </c>
    </row>
    <row r="194" spans="1:3" x14ac:dyDescent="0.45">
      <c r="A194" s="2">
        <v>39356</v>
      </c>
      <c r="B194" s="7">
        <v>291082</v>
      </c>
      <c r="C194" s="8">
        <v>5.2076498580673203E-3</v>
      </c>
    </row>
    <row r="195" spans="1:3" x14ac:dyDescent="0.45">
      <c r="A195" s="2">
        <v>39387</v>
      </c>
      <c r="B195" s="7">
        <v>296595</v>
      </c>
      <c r="C195" s="8">
        <v>1.8939680227564759E-2</v>
      </c>
    </row>
    <row r="196" spans="1:3" x14ac:dyDescent="0.45">
      <c r="A196" s="2">
        <v>39417</v>
      </c>
      <c r="B196" s="7">
        <v>294959</v>
      </c>
      <c r="C196" s="8">
        <v>-5.5159392437499344E-3</v>
      </c>
    </row>
    <row r="197" spans="1:3" x14ac:dyDescent="0.45">
      <c r="A197" s="2">
        <v>39448</v>
      </c>
      <c r="B197" s="7">
        <v>295112</v>
      </c>
      <c r="C197" s="8">
        <v>5.1871616055110259E-4</v>
      </c>
    </row>
    <row r="198" spans="1:3" x14ac:dyDescent="0.45">
      <c r="A198" s="2">
        <v>39479</v>
      </c>
      <c r="B198" s="7">
        <v>293625</v>
      </c>
      <c r="C198" s="8">
        <v>-5.0387649434791015E-3</v>
      </c>
    </row>
    <row r="199" spans="1:3" x14ac:dyDescent="0.45">
      <c r="A199" s="2">
        <v>39508</v>
      </c>
      <c r="B199" s="7">
        <v>295087</v>
      </c>
      <c r="C199" s="8">
        <v>4.9791400595997626E-3</v>
      </c>
    </row>
    <row r="200" spans="1:3" x14ac:dyDescent="0.45">
      <c r="A200" s="2">
        <v>39539</v>
      </c>
      <c r="B200" s="7">
        <v>296462</v>
      </c>
      <c r="C200" s="8">
        <v>4.6596427494265402E-3</v>
      </c>
    </row>
    <row r="201" spans="1:3" x14ac:dyDescent="0.45">
      <c r="A201" s="2">
        <v>39569</v>
      </c>
      <c r="B201" s="7">
        <v>300834</v>
      </c>
      <c r="C201" s="8">
        <v>1.4747252598984018E-2</v>
      </c>
    </row>
    <row r="202" spans="1:3" x14ac:dyDescent="0.45">
      <c r="A202" s="2">
        <v>39600</v>
      </c>
      <c r="B202" s="7">
        <v>303282</v>
      </c>
      <c r="C202" s="8">
        <v>8.1373780889129055E-3</v>
      </c>
    </row>
    <row r="203" spans="1:3" x14ac:dyDescent="0.45">
      <c r="A203" s="2">
        <v>39630</v>
      </c>
      <c r="B203" s="7">
        <v>304291</v>
      </c>
      <c r="C203" s="8">
        <v>3.3269366464214745E-3</v>
      </c>
    </row>
    <row r="204" spans="1:3" x14ac:dyDescent="0.45">
      <c r="A204" s="2">
        <v>39661</v>
      </c>
      <c r="B204" s="7">
        <v>301194</v>
      </c>
      <c r="C204" s="8">
        <v>-1.0177757475574367E-2</v>
      </c>
    </row>
    <row r="205" spans="1:3" x14ac:dyDescent="0.45">
      <c r="A205" s="2">
        <v>39692</v>
      </c>
      <c r="B205" s="7">
        <v>298040</v>
      </c>
      <c r="C205" s="8">
        <v>-1.0471656141888608E-2</v>
      </c>
    </row>
    <row r="206" spans="1:3" x14ac:dyDescent="0.45">
      <c r="A206" s="2">
        <v>39722</v>
      </c>
      <c r="B206" s="7">
        <v>290587</v>
      </c>
      <c r="C206" s="8">
        <v>-2.5006710508656549E-2</v>
      </c>
    </row>
    <row r="207" spans="1:3" x14ac:dyDescent="0.45">
      <c r="A207" s="2">
        <v>39753</v>
      </c>
      <c r="B207" s="7">
        <v>278953</v>
      </c>
      <c r="C207" s="8">
        <v>-4.0036202583047409E-2</v>
      </c>
    </row>
    <row r="208" spans="1:3" x14ac:dyDescent="0.45">
      <c r="A208" s="2">
        <v>39783</v>
      </c>
      <c r="B208" s="7">
        <v>272085</v>
      </c>
      <c r="C208" s="8">
        <v>-2.4620635017368553E-2</v>
      </c>
    </row>
    <row r="209" spans="1:3" x14ac:dyDescent="0.45">
      <c r="A209" s="2">
        <v>39814</v>
      </c>
      <c r="B209" s="7">
        <v>275518</v>
      </c>
      <c r="C209" s="8">
        <v>1.2617380597974792E-2</v>
      </c>
    </row>
    <row r="210" spans="1:3" x14ac:dyDescent="0.45">
      <c r="A210" s="2">
        <v>39845</v>
      </c>
      <c r="B210" s="7">
        <v>275651</v>
      </c>
      <c r="C210" s="8">
        <v>4.8272708135210785E-4</v>
      </c>
    </row>
    <row r="211" spans="1:3" x14ac:dyDescent="0.45">
      <c r="A211" s="2">
        <v>39873</v>
      </c>
      <c r="B211" s="7">
        <v>270920</v>
      </c>
      <c r="C211" s="8">
        <v>-1.7163006845612783E-2</v>
      </c>
    </row>
    <row r="212" spans="1:3" x14ac:dyDescent="0.45">
      <c r="A212" s="2">
        <v>39904</v>
      </c>
      <c r="B212" s="7">
        <v>272078</v>
      </c>
      <c r="C212" s="8">
        <v>4.2743245238445748E-3</v>
      </c>
    </row>
    <row r="213" spans="1:3" x14ac:dyDescent="0.45">
      <c r="A213" s="2">
        <v>39934</v>
      </c>
      <c r="B213" s="7">
        <v>274405</v>
      </c>
      <c r="C213" s="8">
        <v>8.5526944479157319E-3</v>
      </c>
    </row>
    <row r="214" spans="1:3" x14ac:dyDescent="0.45">
      <c r="A214" s="2">
        <v>39965</v>
      </c>
      <c r="B214" s="7">
        <v>277157</v>
      </c>
      <c r="C214" s="8">
        <v>1.0028971775295714E-2</v>
      </c>
    </row>
    <row r="215" spans="1:3" x14ac:dyDescent="0.45">
      <c r="A215" s="2">
        <v>39995</v>
      </c>
      <c r="B215" s="7">
        <v>276959</v>
      </c>
      <c r="C215" s="8">
        <v>-7.1439653337279641E-4</v>
      </c>
    </row>
    <row r="216" spans="1:3" x14ac:dyDescent="0.45">
      <c r="A216" s="2">
        <v>40026</v>
      </c>
      <c r="B216" s="7">
        <v>278789</v>
      </c>
      <c r="C216" s="8">
        <v>6.6074761968377693E-3</v>
      </c>
    </row>
    <row r="217" spans="1:3" x14ac:dyDescent="0.45">
      <c r="A217" s="2">
        <v>40057</v>
      </c>
      <c r="B217" s="7">
        <v>278920</v>
      </c>
      <c r="C217" s="8">
        <v>4.698894145751531E-4</v>
      </c>
    </row>
    <row r="218" spans="1:3" x14ac:dyDescent="0.45">
      <c r="A218" s="2">
        <v>40087</v>
      </c>
      <c r="B218" s="7">
        <v>279342</v>
      </c>
      <c r="C218" s="8">
        <v>1.5129786318657246E-3</v>
      </c>
    </row>
    <row r="219" spans="1:3" x14ac:dyDescent="0.45">
      <c r="A219" s="2">
        <v>40118</v>
      </c>
      <c r="B219" s="7">
        <v>281406</v>
      </c>
      <c r="C219" s="8">
        <v>7.3887922331765665E-3</v>
      </c>
    </row>
    <row r="220" spans="1:3" x14ac:dyDescent="0.45">
      <c r="A220" s="2">
        <v>40148</v>
      </c>
      <c r="B220" s="7">
        <v>283070</v>
      </c>
      <c r="C220" s="8">
        <v>5.9131646091412637E-3</v>
      </c>
    </row>
    <row r="221" spans="1:3" x14ac:dyDescent="0.45">
      <c r="A221" s="2">
        <v>40179</v>
      </c>
      <c r="B221" s="7">
        <v>283647</v>
      </c>
      <c r="C221" s="8">
        <v>2.0383650687110233E-3</v>
      </c>
    </row>
    <row r="222" spans="1:3" x14ac:dyDescent="0.45">
      <c r="A222" s="2">
        <v>40210</v>
      </c>
      <c r="B222" s="7">
        <v>285191</v>
      </c>
      <c r="C222" s="8">
        <v>5.4433856166291594E-3</v>
      </c>
    </row>
    <row r="223" spans="1:3" x14ac:dyDescent="0.45">
      <c r="A223" s="2">
        <v>40238</v>
      </c>
      <c r="B223" s="7">
        <v>287536</v>
      </c>
      <c r="C223" s="8">
        <v>8.2225596179401617E-3</v>
      </c>
    </row>
    <row r="224" spans="1:3" x14ac:dyDescent="0.45">
      <c r="A224" s="2">
        <v>40269</v>
      </c>
      <c r="B224" s="7">
        <v>289522</v>
      </c>
      <c r="C224" s="8">
        <v>6.9069612152912185E-3</v>
      </c>
    </row>
    <row r="225" spans="1:3" x14ac:dyDescent="0.45">
      <c r="A225" s="2">
        <v>40299</v>
      </c>
      <c r="B225" s="7">
        <v>286736</v>
      </c>
      <c r="C225" s="8">
        <v>-9.6227575106554442E-3</v>
      </c>
    </row>
    <row r="226" spans="1:3" x14ac:dyDescent="0.45">
      <c r="A226" s="2">
        <v>40330</v>
      </c>
      <c r="B226" s="7">
        <v>286504</v>
      </c>
      <c r="C226" s="8">
        <v>-8.0910663467437249E-4</v>
      </c>
    </row>
    <row r="227" spans="1:3" x14ac:dyDescent="0.45">
      <c r="A227" s="2">
        <v>40360</v>
      </c>
      <c r="B227" s="7">
        <v>286354</v>
      </c>
      <c r="C227" s="8">
        <v>-5.2355289978500696E-4</v>
      </c>
    </row>
    <row r="228" spans="1:3" x14ac:dyDescent="0.45">
      <c r="A228" s="2">
        <v>40391</v>
      </c>
      <c r="B228" s="7">
        <v>288079</v>
      </c>
      <c r="C228" s="8">
        <v>6.0240122366022053E-3</v>
      </c>
    </row>
    <row r="229" spans="1:3" x14ac:dyDescent="0.45">
      <c r="A229" s="2">
        <v>40422</v>
      </c>
      <c r="B229" s="7">
        <v>290362</v>
      </c>
      <c r="C229" s="8">
        <v>7.9249094866338243E-3</v>
      </c>
    </row>
    <row r="230" spans="1:3" x14ac:dyDescent="0.45">
      <c r="A230" s="2">
        <v>40452</v>
      </c>
      <c r="B230" s="7">
        <v>292801</v>
      </c>
      <c r="C230" s="8">
        <v>8.3998594857452868E-3</v>
      </c>
    </row>
    <row r="231" spans="1:3" x14ac:dyDescent="0.45">
      <c r="A231" s="2">
        <v>40483</v>
      </c>
      <c r="B231" s="7">
        <v>295658</v>
      </c>
      <c r="C231" s="8">
        <v>9.7574803364741669E-3</v>
      </c>
    </row>
    <row r="232" spans="1:3" x14ac:dyDescent="0.45">
      <c r="A232" s="2">
        <v>40513</v>
      </c>
      <c r="B232" s="7">
        <v>298168</v>
      </c>
      <c r="C232" s="8">
        <v>8.4895385885042085E-3</v>
      </c>
    </row>
    <row r="233" spans="1:3" x14ac:dyDescent="0.45">
      <c r="A233" s="2">
        <v>40544</v>
      </c>
      <c r="B233" s="7">
        <v>299671</v>
      </c>
      <c r="C233" s="8">
        <v>5.0407823777198768E-3</v>
      </c>
    </row>
    <row r="234" spans="1:3" x14ac:dyDescent="0.45">
      <c r="A234" s="2">
        <v>40575</v>
      </c>
      <c r="B234" s="7">
        <v>301711</v>
      </c>
      <c r="C234" s="8">
        <v>6.8074655205208057E-3</v>
      </c>
    </row>
    <row r="235" spans="1:3" x14ac:dyDescent="0.45">
      <c r="A235" s="2">
        <v>40603</v>
      </c>
      <c r="B235" s="7">
        <v>304658</v>
      </c>
      <c r="C235" s="8">
        <v>9.7676253103136101E-3</v>
      </c>
    </row>
    <row r="236" spans="1:3" x14ac:dyDescent="0.45">
      <c r="A236" s="2">
        <v>40634</v>
      </c>
      <c r="B236" s="7">
        <v>307603</v>
      </c>
      <c r="C236" s="8">
        <v>9.6665769485784203E-3</v>
      </c>
    </row>
    <row r="237" spans="1:3" x14ac:dyDescent="0.45">
      <c r="A237" s="2">
        <v>40664</v>
      </c>
      <c r="B237" s="7">
        <v>308104</v>
      </c>
      <c r="C237" s="8">
        <v>1.6287227367743906E-3</v>
      </c>
    </row>
    <row r="238" spans="1:3" x14ac:dyDescent="0.45">
      <c r="A238" s="2">
        <v>40695</v>
      </c>
      <c r="B238" s="7">
        <v>310200</v>
      </c>
      <c r="C238" s="8">
        <v>6.8028977228469234E-3</v>
      </c>
    </row>
    <row r="239" spans="1:3" x14ac:dyDescent="0.45">
      <c r="A239" s="2">
        <v>40725</v>
      </c>
      <c r="B239" s="7">
        <v>310314</v>
      </c>
      <c r="C239" s="8">
        <v>3.6750483559000457E-4</v>
      </c>
    </row>
    <row r="240" spans="1:3" x14ac:dyDescent="0.45">
      <c r="A240" s="2">
        <v>40756</v>
      </c>
      <c r="B240" s="7">
        <v>311587</v>
      </c>
      <c r="C240" s="8">
        <v>4.1022963836629955E-3</v>
      </c>
    </row>
    <row r="241" spans="1:3" x14ac:dyDescent="0.45">
      <c r="A241" s="2">
        <v>40787</v>
      </c>
      <c r="B241" s="7">
        <v>312673</v>
      </c>
      <c r="C241" s="8">
        <v>3.4853828946650456E-3</v>
      </c>
    </row>
    <row r="242" spans="1:3" x14ac:dyDescent="0.45">
      <c r="A242" s="2">
        <v>40817</v>
      </c>
      <c r="B242" s="7">
        <v>313756</v>
      </c>
      <c r="C242" s="8">
        <v>3.4636825053651066E-3</v>
      </c>
    </row>
    <row r="243" spans="1:3" x14ac:dyDescent="0.45">
      <c r="A243" s="2">
        <v>40848</v>
      </c>
      <c r="B243" s="7">
        <v>314672</v>
      </c>
      <c r="C243" s="8">
        <v>2.9194660819236162E-3</v>
      </c>
    </row>
    <row r="244" spans="1:3" x14ac:dyDescent="0.45">
      <c r="A244" s="2">
        <v>40878</v>
      </c>
      <c r="B244" s="7">
        <v>314039</v>
      </c>
      <c r="C244" s="8">
        <v>-2.011618447144925E-3</v>
      </c>
    </row>
    <row r="245" spans="1:3" x14ac:dyDescent="0.45">
      <c r="A245" s="2">
        <v>40909</v>
      </c>
      <c r="B245" s="7">
        <v>317438</v>
      </c>
      <c r="C245" s="8">
        <v>1.0823496444709146E-2</v>
      </c>
    </row>
    <row r="246" spans="1:3" x14ac:dyDescent="0.45">
      <c r="A246" s="2">
        <v>40940</v>
      </c>
      <c r="B246" s="7">
        <v>321164</v>
      </c>
      <c r="C246" s="8">
        <v>1.1737725162078938E-2</v>
      </c>
    </row>
    <row r="247" spans="1:3" x14ac:dyDescent="0.45">
      <c r="A247" s="2">
        <v>40969</v>
      </c>
      <c r="B247" s="7">
        <v>322583</v>
      </c>
      <c r="C247" s="8">
        <v>4.4183034213050032E-3</v>
      </c>
    </row>
    <row r="248" spans="1:3" x14ac:dyDescent="0.45">
      <c r="A248" s="2">
        <v>41000</v>
      </c>
      <c r="B248" s="7">
        <v>320642</v>
      </c>
      <c r="C248" s="8">
        <v>-6.0170560754906344E-3</v>
      </c>
    </row>
    <row r="249" spans="1:3" x14ac:dyDescent="0.45">
      <c r="A249" s="2">
        <v>41030</v>
      </c>
      <c r="B249" s="7">
        <v>319194</v>
      </c>
      <c r="C249" s="8">
        <v>-4.5159398955845198E-3</v>
      </c>
    </row>
    <row r="250" spans="1:3" x14ac:dyDescent="0.45">
      <c r="A250" s="2">
        <v>41061</v>
      </c>
      <c r="B250" s="7">
        <v>316997</v>
      </c>
      <c r="C250" s="8">
        <v>-6.8829614591753296E-3</v>
      </c>
    </row>
    <row r="251" spans="1:3" x14ac:dyDescent="0.45">
      <c r="A251" s="2">
        <v>41091</v>
      </c>
      <c r="B251" s="7">
        <v>317985</v>
      </c>
      <c r="C251" s="8">
        <v>3.1167487389469617E-3</v>
      </c>
    </row>
    <row r="252" spans="1:3" x14ac:dyDescent="0.45">
      <c r="A252" s="2">
        <v>41122</v>
      </c>
      <c r="B252" s="7">
        <v>322056</v>
      </c>
      <c r="C252" s="8">
        <v>1.2802490683522905E-2</v>
      </c>
    </row>
    <row r="253" spans="1:3" x14ac:dyDescent="0.45">
      <c r="A253" s="2">
        <v>41153</v>
      </c>
      <c r="B253" s="7">
        <v>323914</v>
      </c>
      <c r="C253" s="8">
        <v>5.7691829992299049E-3</v>
      </c>
    </row>
    <row r="254" spans="1:3" x14ac:dyDescent="0.45">
      <c r="A254" s="2">
        <v>41183</v>
      </c>
      <c r="B254" s="7">
        <v>324215</v>
      </c>
      <c r="C254" s="8">
        <v>9.2925900084583901E-4</v>
      </c>
    </row>
    <row r="255" spans="1:3" x14ac:dyDescent="0.45">
      <c r="A255" s="2">
        <v>41214</v>
      </c>
      <c r="B255" s="7">
        <v>325300</v>
      </c>
      <c r="C255" s="8">
        <v>3.3465447311198382E-3</v>
      </c>
    </row>
    <row r="256" spans="1:3" x14ac:dyDescent="0.45">
      <c r="A256" s="2">
        <v>41244</v>
      </c>
      <c r="B256" s="7">
        <v>325671</v>
      </c>
      <c r="C256" s="8">
        <v>1.1404857055026252E-3</v>
      </c>
    </row>
    <row r="257" spans="1:3" x14ac:dyDescent="0.45">
      <c r="A257" s="2">
        <v>41275</v>
      </c>
      <c r="B257" s="7">
        <v>328110</v>
      </c>
      <c r="C257" s="8">
        <v>7.4891531637757414E-3</v>
      </c>
    </row>
    <row r="258" spans="1:3" x14ac:dyDescent="0.45">
      <c r="A258" s="2">
        <v>41306</v>
      </c>
      <c r="B258" s="7">
        <v>331847</v>
      </c>
      <c r="C258" s="8">
        <v>1.1389473042577203E-2</v>
      </c>
    </row>
    <row r="259" spans="1:3" x14ac:dyDescent="0.45">
      <c r="A259" s="2">
        <v>41334</v>
      </c>
      <c r="B259" s="7">
        <v>329715</v>
      </c>
      <c r="C259" s="8">
        <v>-6.4246475032168071E-3</v>
      </c>
    </row>
    <row r="260" spans="1:3" x14ac:dyDescent="0.45">
      <c r="A260" s="2">
        <v>41365</v>
      </c>
      <c r="B260" s="7">
        <v>327319</v>
      </c>
      <c r="C260" s="8">
        <v>-7.2668820041551507E-3</v>
      </c>
    </row>
    <row r="261" spans="1:3" x14ac:dyDescent="0.45">
      <c r="A261" s="2">
        <v>41395</v>
      </c>
      <c r="B261" s="7">
        <v>328289</v>
      </c>
      <c r="C261" s="8">
        <v>2.9634698871743304E-3</v>
      </c>
    </row>
    <row r="262" spans="1:3" x14ac:dyDescent="0.45">
      <c r="A262" s="2">
        <v>41426</v>
      </c>
      <c r="B262" s="7">
        <v>327894</v>
      </c>
      <c r="C262" s="8">
        <v>-1.2032081489176116E-3</v>
      </c>
    </row>
    <row r="263" spans="1:3" x14ac:dyDescent="0.45">
      <c r="A263" s="2">
        <v>41456</v>
      </c>
      <c r="B263" s="7">
        <v>330068</v>
      </c>
      <c r="C263" s="8">
        <v>6.6301914643147608E-3</v>
      </c>
    </row>
    <row r="264" spans="1:3" x14ac:dyDescent="0.45">
      <c r="A264" s="2">
        <v>41487</v>
      </c>
      <c r="B264" s="7">
        <v>329768</v>
      </c>
      <c r="C264" s="8">
        <v>-9.0890361986017965E-4</v>
      </c>
    </row>
    <row r="265" spans="1:3" x14ac:dyDescent="0.45">
      <c r="A265" s="2">
        <v>41518</v>
      </c>
      <c r="B265" s="7">
        <v>331214</v>
      </c>
      <c r="C265" s="8">
        <v>4.3849009000267447E-3</v>
      </c>
    </row>
    <row r="266" spans="1:3" x14ac:dyDescent="0.45">
      <c r="A266" s="2">
        <v>41548</v>
      </c>
      <c r="B266" s="7">
        <v>331304</v>
      </c>
      <c r="C266" s="8">
        <v>2.7172764436289576E-4</v>
      </c>
    </row>
    <row r="267" spans="1:3" x14ac:dyDescent="0.45">
      <c r="A267" s="2">
        <v>41579</v>
      </c>
      <c r="B267" s="7">
        <v>332174</v>
      </c>
      <c r="C267" s="8">
        <v>2.6259870089102577E-3</v>
      </c>
    </row>
    <row r="268" spans="1:3" x14ac:dyDescent="0.45">
      <c r="A268" s="2">
        <v>41609</v>
      </c>
      <c r="B268" s="7">
        <v>334772</v>
      </c>
      <c r="C268" s="8">
        <v>7.8212021410466459E-3</v>
      </c>
    </row>
    <row r="269" spans="1:3" x14ac:dyDescent="0.45">
      <c r="A269" s="2">
        <v>41640</v>
      </c>
      <c r="B269" s="7">
        <v>333704</v>
      </c>
      <c r="C269" s="8">
        <v>-3.1902309631629544E-3</v>
      </c>
    </row>
    <row r="270" spans="1:3" x14ac:dyDescent="0.45">
      <c r="A270" s="2">
        <v>41671</v>
      </c>
      <c r="B270" s="7">
        <v>336741</v>
      </c>
      <c r="C270" s="8">
        <v>9.1008798216383191E-3</v>
      </c>
    </row>
    <row r="271" spans="1:3" x14ac:dyDescent="0.45">
      <c r="A271" s="2">
        <v>41699</v>
      </c>
      <c r="B271" s="7">
        <v>338208</v>
      </c>
      <c r="C271" s="8">
        <v>4.3564638698583291E-3</v>
      </c>
    </row>
    <row r="272" spans="1:3" x14ac:dyDescent="0.45">
      <c r="A272" s="2">
        <v>41730</v>
      </c>
      <c r="B272" s="7">
        <v>341148</v>
      </c>
      <c r="C272" s="8">
        <v>8.6928753902923983E-3</v>
      </c>
    </row>
    <row r="273" spans="1:3" x14ac:dyDescent="0.45">
      <c r="A273" s="2">
        <v>41760</v>
      </c>
      <c r="B273" s="7">
        <v>341774</v>
      </c>
      <c r="C273" s="8">
        <v>1.8349807121835759E-3</v>
      </c>
    </row>
    <row r="274" spans="1:3" x14ac:dyDescent="0.45">
      <c r="A274" s="2">
        <v>41791</v>
      </c>
      <c r="B274" s="7">
        <v>342562</v>
      </c>
      <c r="C274" s="8">
        <v>2.3056171622182209E-3</v>
      </c>
    </row>
    <row r="275" spans="1:3" x14ac:dyDescent="0.45">
      <c r="A275" s="2">
        <v>41821</v>
      </c>
      <c r="B275" s="7">
        <v>342903</v>
      </c>
      <c r="C275" s="8">
        <v>9.9544024147446564E-4</v>
      </c>
    </row>
    <row r="276" spans="1:3" x14ac:dyDescent="0.45">
      <c r="A276" s="2">
        <v>41852</v>
      </c>
      <c r="B276" s="7">
        <v>345426</v>
      </c>
      <c r="C276" s="8">
        <v>7.3577658988110972E-3</v>
      </c>
    </row>
    <row r="277" spans="1:3" x14ac:dyDescent="0.45">
      <c r="A277" s="2">
        <v>41883</v>
      </c>
      <c r="B277" s="7">
        <v>345318</v>
      </c>
      <c r="C277" s="8">
        <v>-3.1265741432318084E-4</v>
      </c>
    </row>
    <row r="278" spans="1:3" x14ac:dyDescent="0.45">
      <c r="A278" s="2">
        <v>41913</v>
      </c>
      <c r="B278" s="7">
        <v>346551</v>
      </c>
      <c r="C278" s="8">
        <v>3.5706218615885188E-3</v>
      </c>
    </row>
    <row r="279" spans="1:3" x14ac:dyDescent="0.45">
      <c r="A279" s="2">
        <v>41944</v>
      </c>
      <c r="B279" s="7">
        <v>346656</v>
      </c>
      <c r="C279" s="8">
        <v>3.0298570773124034E-4</v>
      </c>
    </row>
    <row r="280" spans="1:3" x14ac:dyDescent="0.45">
      <c r="A280" s="2">
        <v>41974</v>
      </c>
      <c r="B280" s="7">
        <v>344219</v>
      </c>
      <c r="C280" s="8">
        <v>-7.0300240007384884E-3</v>
      </c>
    </row>
    <row r="281" spans="1:3" x14ac:dyDescent="0.45">
      <c r="A281" s="2">
        <v>42005</v>
      </c>
      <c r="B281" s="7">
        <v>341152</v>
      </c>
      <c r="C281" s="8">
        <v>-8.9100253036584753E-3</v>
      </c>
    </row>
    <row r="282" spans="1:3" x14ac:dyDescent="0.45">
      <c r="A282" s="2">
        <v>42036</v>
      </c>
      <c r="B282" s="7">
        <v>341440</v>
      </c>
      <c r="C282" s="8">
        <v>8.4419848044281487E-4</v>
      </c>
    </row>
    <row r="283" spans="1:3" x14ac:dyDescent="0.45">
      <c r="A283" s="2">
        <v>42064</v>
      </c>
      <c r="B283" s="7">
        <v>343998</v>
      </c>
      <c r="C283" s="8">
        <v>7.4917994376757502E-3</v>
      </c>
    </row>
    <row r="284" spans="1:3" x14ac:dyDescent="0.45">
      <c r="A284" s="2">
        <v>42095</v>
      </c>
      <c r="B284" s="7">
        <v>344264</v>
      </c>
      <c r="C284" s="8">
        <v>7.7326030965285675E-4</v>
      </c>
    </row>
    <row r="285" spans="1:3" x14ac:dyDescent="0.45">
      <c r="A285" s="2">
        <v>42125</v>
      </c>
      <c r="B285" s="7">
        <v>346941</v>
      </c>
      <c r="C285" s="8">
        <v>7.7760091092882178E-3</v>
      </c>
    </row>
    <row r="286" spans="1:3" x14ac:dyDescent="0.45">
      <c r="A286" s="2">
        <v>42156</v>
      </c>
      <c r="B286" s="7">
        <v>347187</v>
      </c>
      <c r="C286" s="8">
        <v>7.0905427724032855E-4</v>
      </c>
    </row>
    <row r="287" spans="1:3" x14ac:dyDescent="0.45">
      <c r="A287" s="2">
        <v>42186</v>
      </c>
      <c r="B287" s="7">
        <v>350764</v>
      </c>
      <c r="C287" s="8">
        <v>1.0302805116551017E-2</v>
      </c>
    </row>
    <row r="288" spans="1:3" x14ac:dyDescent="0.45">
      <c r="A288" s="2">
        <v>42217</v>
      </c>
      <c r="B288" s="7">
        <v>350017</v>
      </c>
      <c r="C288" s="8">
        <v>-2.1296370209029636E-3</v>
      </c>
    </row>
    <row r="289" spans="1:3" x14ac:dyDescent="0.45">
      <c r="A289" s="2">
        <v>42248</v>
      </c>
      <c r="B289" s="7">
        <v>347614</v>
      </c>
      <c r="C289" s="8">
        <v>-6.8653808243599457E-3</v>
      </c>
    </row>
    <row r="290" spans="1:3" x14ac:dyDescent="0.45">
      <c r="A290" s="2">
        <v>42278</v>
      </c>
      <c r="B290" s="7">
        <v>347256</v>
      </c>
      <c r="C290" s="8">
        <v>-1.0298779680910641E-3</v>
      </c>
    </row>
    <row r="291" spans="1:3" x14ac:dyDescent="0.45">
      <c r="A291" s="2">
        <v>42309</v>
      </c>
      <c r="B291" s="7">
        <v>347778</v>
      </c>
      <c r="C291" s="8">
        <v>1.5032137673647306E-3</v>
      </c>
    </row>
    <row r="292" spans="1:3" x14ac:dyDescent="0.45">
      <c r="A292" s="2">
        <v>42339</v>
      </c>
      <c r="B292" s="7">
        <v>349931</v>
      </c>
      <c r="C292" s="8">
        <v>6.1907308685424933E-3</v>
      </c>
    </row>
    <row r="293" spans="1:3" x14ac:dyDescent="0.45">
      <c r="A293" s="2">
        <v>42370</v>
      </c>
      <c r="B293" s="7">
        <v>347668</v>
      </c>
      <c r="C293" s="8">
        <v>-6.4669892064435075E-3</v>
      </c>
    </row>
    <row r="294" spans="1:3" x14ac:dyDescent="0.45">
      <c r="A294" s="2">
        <v>42401</v>
      </c>
      <c r="B294" s="7">
        <v>349404</v>
      </c>
      <c r="C294" s="8">
        <v>4.9932694409609013E-3</v>
      </c>
    </row>
    <row r="295" spans="1:3" x14ac:dyDescent="0.45">
      <c r="A295" s="2">
        <v>42430</v>
      </c>
      <c r="B295" s="7">
        <v>349791</v>
      </c>
      <c r="C295" s="8">
        <v>1.1076003709173943E-3</v>
      </c>
    </row>
    <row r="296" spans="1:3" x14ac:dyDescent="0.45">
      <c r="A296" s="2">
        <v>42461</v>
      </c>
      <c r="B296" s="7">
        <v>351766</v>
      </c>
      <c r="C296" s="8">
        <v>5.646228748023896E-3</v>
      </c>
    </row>
    <row r="297" spans="1:3" x14ac:dyDescent="0.45">
      <c r="A297" s="2">
        <v>42491</v>
      </c>
      <c r="B297" s="7">
        <v>352784</v>
      </c>
      <c r="C297" s="8">
        <v>2.8939692864005107E-3</v>
      </c>
    </row>
    <row r="298" spans="1:3" x14ac:dyDescent="0.45">
      <c r="A298" s="2">
        <v>42522</v>
      </c>
      <c r="B298" s="7">
        <v>356783</v>
      </c>
      <c r="C298" s="8">
        <v>1.1335548097419323E-2</v>
      </c>
    </row>
    <row r="299" spans="1:3" x14ac:dyDescent="0.45">
      <c r="A299" s="2">
        <v>42552</v>
      </c>
      <c r="B299" s="7">
        <v>355106</v>
      </c>
      <c r="C299" s="8">
        <v>-4.7003360586126419E-3</v>
      </c>
    </row>
    <row r="300" spans="1:3" x14ac:dyDescent="0.45">
      <c r="A300" s="2">
        <v>42583</v>
      </c>
      <c r="B300" s="7">
        <v>354876</v>
      </c>
      <c r="C300" s="8">
        <v>-6.4769392801022896E-4</v>
      </c>
    </row>
    <row r="301" spans="1:3" x14ac:dyDescent="0.45">
      <c r="A301" s="2">
        <v>42614</v>
      </c>
      <c r="B301" s="7">
        <v>357222</v>
      </c>
      <c r="C301" s="8">
        <v>6.6107598146958324E-3</v>
      </c>
    </row>
    <row r="302" spans="1:3" x14ac:dyDescent="0.45">
      <c r="A302" s="2">
        <v>42644</v>
      </c>
      <c r="B302" s="7">
        <v>358315</v>
      </c>
      <c r="C302" s="8">
        <v>3.0597219656123276E-3</v>
      </c>
    </row>
    <row r="303" spans="1:3" x14ac:dyDescent="0.45">
      <c r="A303" s="2">
        <v>42675</v>
      </c>
      <c r="B303" s="7">
        <v>358672</v>
      </c>
      <c r="C303" s="8">
        <v>9.9633004479304788E-4</v>
      </c>
    </row>
    <row r="304" spans="1:3" x14ac:dyDescent="0.45">
      <c r="A304" s="2">
        <v>42705</v>
      </c>
      <c r="B304" s="7">
        <v>361410</v>
      </c>
      <c r="C304" s="8">
        <v>7.6337154837846644E-3</v>
      </c>
    </row>
    <row r="305" spans="1:3" x14ac:dyDescent="0.45">
      <c r="A305" s="2">
        <v>42736</v>
      </c>
      <c r="B305" s="7">
        <v>366585</v>
      </c>
      <c r="C305" s="8">
        <v>1.4318917572839762E-2</v>
      </c>
    </row>
    <row r="306" spans="1:3" x14ac:dyDescent="0.45">
      <c r="A306" s="2">
        <v>42767</v>
      </c>
      <c r="B306" s="7">
        <v>367057</v>
      </c>
      <c r="C306" s="8">
        <v>1.2875595018890795E-3</v>
      </c>
    </row>
    <row r="307" spans="1:3" x14ac:dyDescent="0.45">
      <c r="A307" s="2">
        <v>42795</v>
      </c>
      <c r="B307" s="7">
        <v>368272</v>
      </c>
      <c r="C307" s="8">
        <v>3.3101125983157065E-3</v>
      </c>
    </row>
    <row r="308" spans="1:3" x14ac:dyDescent="0.45">
      <c r="A308" s="2">
        <v>42826</v>
      </c>
      <c r="B308" s="7">
        <v>369323</v>
      </c>
      <c r="C308" s="8">
        <v>2.8538688795238798E-3</v>
      </c>
    </row>
    <row r="309" spans="1:3" x14ac:dyDescent="0.45">
      <c r="A309" s="2">
        <v>42856</v>
      </c>
      <c r="B309" s="7">
        <v>366527</v>
      </c>
      <c r="C309" s="8">
        <v>-7.570608924978961E-3</v>
      </c>
    </row>
    <row r="310" spans="1:3" x14ac:dyDescent="0.45">
      <c r="A310" s="2">
        <v>42887</v>
      </c>
      <c r="B310" s="7">
        <v>367876</v>
      </c>
      <c r="C310" s="8">
        <v>3.6804928422735639E-3</v>
      </c>
    </row>
    <row r="311" spans="1:3" x14ac:dyDescent="0.45">
      <c r="A311" s="2">
        <v>42917</v>
      </c>
      <c r="B311" s="7">
        <v>367728</v>
      </c>
      <c r="C311" s="8">
        <v>-4.0230947384445326E-4</v>
      </c>
    </row>
    <row r="312" spans="1:3" x14ac:dyDescent="0.45">
      <c r="A312" s="2">
        <v>42948</v>
      </c>
      <c r="B312" s="7">
        <v>370481</v>
      </c>
      <c r="C312" s="8">
        <v>7.4865117695688266E-3</v>
      </c>
    </row>
    <row r="313" spans="1:3" x14ac:dyDescent="0.45">
      <c r="A313" s="2">
        <v>42979</v>
      </c>
      <c r="B313" s="7">
        <v>376369</v>
      </c>
      <c r="C313" s="8">
        <v>1.5892852804867186E-2</v>
      </c>
    </row>
    <row r="314" spans="1:3" x14ac:dyDescent="0.45">
      <c r="A314" s="2">
        <v>43009</v>
      </c>
      <c r="B314" s="7">
        <v>376051</v>
      </c>
      <c r="C314" s="8">
        <v>-8.4491549516563236E-4</v>
      </c>
    </row>
    <row r="315" spans="1:3" x14ac:dyDescent="0.45">
      <c r="A315" s="2">
        <v>43040</v>
      </c>
      <c r="B315" s="7">
        <v>381716</v>
      </c>
      <c r="C315" s="8">
        <v>1.5064446045881974E-2</v>
      </c>
    </row>
    <row r="316" spans="1:3" x14ac:dyDescent="0.45">
      <c r="A316" s="2">
        <v>43070</v>
      </c>
      <c r="B316" s="7">
        <v>384511</v>
      </c>
      <c r="C316" s="8">
        <v>7.3221976548010215E-3</v>
      </c>
    </row>
    <row r="317" spans="1:3" x14ac:dyDescent="0.45">
      <c r="A317" s="2">
        <v>43101</v>
      </c>
      <c r="B317" s="7">
        <v>382986</v>
      </c>
      <c r="C317" s="8">
        <v>-3.9660763931330667E-3</v>
      </c>
    </row>
    <row r="318" spans="1:3" x14ac:dyDescent="0.45">
      <c r="A318" s="2">
        <v>43132</v>
      </c>
      <c r="B318" s="7">
        <v>385861</v>
      </c>
      <c r="C318" s="8">
        <v>7.506801815210018E-3</v>
      </c>
    </row>
    <row r="319" spans="1:3" x14ac:dyDescent="0.45">
      <c r="A319" s="2">
        <v>43160</v>
      </c>
      <c r="B319" s="7">
        <v>385772</v>
      </c>
      <c r="C319" s="8">
        <v>-2.306530071709556E-4</v>
      </c>
    </row>
    <row r="320" spans="1:3" x14ac:dyDescent="0.45">
      <c r="A320" s="2">
        <v>43191</v>
      </c>
      <c r="B320" s="7">
        <v>385764</v>
      </c>
      <c r="C320" s="8">
        <v>-2.0737637775658513E-5</v>
      </c>
    </row>
    <row r="321" spans="1:3" x14ac:dyDescent="0.45">
      <c r="A321" s="2">
        <v>43221</v>
      </c>
      <c r="B321" s="7">
        <v>392669</v>
      </c>
      <c r="C321" s="8">
        <v>1.7899544799411027E-2</v>
      </c>
    </row>
    <row r="322" spans="1:3" x14ac:dyDescent="0.45">
      <c r="A322" s="2">
        <v>43252</v>
      </c>
      <c r="B322" s="7">
        <v>391387</v>
      </c>
      <c r="C322" s="8">
        <v>-3.2648362870508763E-3</v>
      </c>
    </row>
    <row r="323" spans="1:3" x14ac:dyDescent="0.45">
      <c r="A323" s="2">
        <v>43282</v>
      </c>
      <c r="B323" s="7">
        <v>393827</v>
      </c>
      <c r="C323" s="8">
        <v>6.2342387457938742E-3</v>
      </c>
    </row>
    <row r="324" spans="1:3" x14ac:dyDescent="0.45">
      <c r="A324" s="2">
        <v>43313</v>
      </c>
      <c r="B324" s="7">
        <v>394789</v>
      </c>
      <c r="C324" s="8">
        <v>2.4426969202213655E-3</v>
      </c>
    </row>
    <row r="325" spans="1:3" x14ac:dyDescent="0.45">
      <c r="A325" s="2">
        <v>43344</v>
      </c>
      <c r="B325" s="7">
        <v>393463</v>
      </c>
      <c r="C325" s="8">
        <v>-3.3587561963479562E-3</v>
      </c>
    </row>
    <row r="326" spans="1:3" x14ac:dyDescent="0.45">
      <c r="A326" s="2">
        <v>43374</v>
      </c>
      <c r="B326" s="7">
        <v>397830</v>
      </c>
      <c r="C326" s="8">
        <v>1.1098883503658508E-2</v>
      </c>
    </row>
    <row r="327" spans="1:3" x14ac:dyDescent="0.45">
      <c r="A327" s="2">
        <v>43405</v>
      </c>
      <c r="B327" s="7">
        <v>399145</v>
      </c>
      <c r="C327" s="8">
        <v>3.3054319684286959E-3</v>
      </c>
    </row>
    <row r="328" spans="1:3" x14ac:dyDescent="0.45">
      <c r="A328" s="2">
        <v>43435</v>
      </c>
      <c r="B328" s="7">
        <v>388493</v>
      </c>
      <c r="C328" s="8">
        <v>-2.6687043555600143E-2</v>
      </c>
    </row>
    <row r="329" spans="1:3" x14ac:dyDescent="0.45">
      <c r="A329" s="2">
        <v>43466</v>
      </c>
      <c r="B329" s="7">
        <v>392701</v>
      </c>
      <c r="C329" s="8">
        <v>1.0831597995330622E-2</v>
      </c>
    </row>
    <row r="330" spans="1:3" x14ac:dyDescent="0.45">
      <c r="A330" s="2">
        <v>43497</v>
      </c>
      <c r="B330" s="7">
        <v>392781</v>
      </c>
      <c r="C330" s="8">
        <v>2.0371733201596243E-4</v>
      </c>
    </row>
    <row r="331" spans="1:3" x14ac:dyDescent="0.45">
      <c r="A331" s="2">
        <v>43525</v>
      </c>
      <c r="B331" s="7">
        <v>397587</v>
      </c>
      <c r="C331" s="8">
        <v>1.2235826071016698E-2</v>
      </c>
    </row>
    <row r="332" spans="1:3" x14ac:dyDescent="0.45">
      <c r="A332" s="2">
        <v>43556</v>
      </c>
      <c r="B332" s="7">
        <v>399785</v>
      </c>
      <c r="C332" s="8">
        <v>5.5283497699873951E-3</v>
      </c>
    </row>
    <row r="333" spans="1:3" x14ac:dyDescent="0.45">
      <c r="A333" s="2">
        <v>43586</v>
      </c>
      <c r="B333" s="7">
        <v>403398</v>
      </c>
      <c r="C333" s="8">
        <v>9.0373575796991457E-3</v>
      </c>
    </row>
    <row r="334" spans="1:3" x14ac:dyDescent="0.45">
      <c r="A334" s="2">
        <v>43617</v>
      </c>
      <c r="B334" s="7">
        <v>403851</v>
      </c>
      <c r="C334" s="8">
        <v>1.1229604509690461E-3</v>
      </c>
    </row>
    <row r="335" spans="1:3" x14ac:dyDescent="0.45">
      <c r="A335" s="2">
        <v>43647</v>
      </c>
      <c r="B335" s="7">
        <v>407200</v>
      </c>
      <c r="C335" s="8">
        <v>8.2926623928132326E-3</v>
      </c>
    </row>
    <row r="336" spans="1:3" x14ac:dyDescent="0.45">
      <c r="A336" s="2">
        <v>43678</v>
      </c>
      <c r="B336" s="7">
        <v>408296</v>
      </c>
      <c r="C336" s="8">
        <v>2.6915520628683076E-3</v>
      </c>
    </row>
    <row r="337" spans="1:3" x14ac:dyDescent="0.45">
      <c r="A337" s="2">
        <v>43709</v>
      </c>
      <c r="B337" s="7">
        <v>407535</v>
      </c>
      <c r="C337" s="8">
        <v>-1.8638438779708943E-3</v>
      </c>
    </row>
    <row r="338" spans="1:3" x14ac:dyDescent="0.45">
      <c r="A338" s="2">
        <v>43739</v>
      </c>
      <c r="B338" s="7">
        <v>408777</v>
      </c>
      <c r="C338" s="8">
        <v>3.0475910044536203E-3</v>
      </c>
    </row>
    <row r="339" spans="1:3" x14ac:dyDescent="0.45">
      <c r="A339" s="2">
        <v>43770</v>
      </c>
      <c r="B339" s="7">
        <v>409726</v>
      </c>
      <c r="C339" s="8">
        <v>2.3215591875276331E-3</v>
      </c>
    </row>
    <row r="340" spans="1:3" x14ac:dyDescent="0.45">
      <c r="A340" s="2">
        <v>43800</v>
      </c>
      <c r="B340" s="7">
        <v>413614</v>
      </c>
      <c r="C340" s="8">
        <v>9.4892684379317416E-3</v>
      </c>
    </row>
    <row r="341" spans="1:3" x14ac:dyDescent="0.45">
      <c r="A341" s="2">
        <v>43831</v>
      </c>
      <c r="B341" s="7">
        <v>414267</v>
      </c>
      <c r="C341" s="8">
        <v>1.5787666761764019E-3</v>
      </c>
    </row>
    <row r="342" spans="1:3" x14ac:dyDescent="0.45">
      <c r="A342" s="2">
        <v>43862</v>
      </c>
      <c r="B342" s="7">
        <v>413878</v>
      </c>
      <c r="C342" s="8">
        <v>-9.3900793449630537E-4</v>
      </c>
    </row>
    <row r="343" spans="1:3" x14ac:dyDescent="0.45">
      <c r="A343" s="2">
        <v>43891</v>
      </c>
      <c r="B343" s="7">
        <v>393751</v>
      </c>
      <c r="C343" s="8">
        <v>-4.8630272689053289E-2</v>
      </c>
    </row>
    <row r="344" spans="1:3" x14ac:dyDescent="0.45">
      <c r="A344" s="2">
        <v>43922</v>
      </c>
      <c r="B344" s="7">
        <v>336693</v>
      </c>
      <c r="C344" s="8">
        <v>-0.14490883832675983</v>
      </c>
    </row>
    <row r="345" spans="1:3" x14ac:dyDescent="0.45">
      <c r="A345" s="2">
        <v>43952</v>
      </c>
      <c r="B345" s="7">
        <v>381626</v>
      </c>
      <c r="C345" s="8">
        <v>0.13345391796087247</v>
      </c>
    </row>
    <row r="346" spans="1:3" x14ac:dyDescent="0.45">
      <c r="A346" s="2">
        <v>43983</v>
      </c>
      <c r="B346" s="7">
        <v>412904</v>
      </c>
      <c r="C346" s="8">
        <v>8.1959824540256632E-2</v>
      </c>
    </row>
    <row r="347" spans="1:3" x14ac:dyDescent="0.45">
      <c r="A347" s="2">
        <v>44013</v>
      </c>
      <c r="B347" s="7">
        <v>421417</v>
      </c>
      <c r="C347" s="8">
        <v>2.061738321740636E-2</v>
      </c>
    </row>
    <row r="348" spans="1:3" x14ac:dyDescent="0.45">
      <c r="A348" s="2">
        <v>44044</v>
      </c>
      <c r="B348" s="7">
        <v>425171</v>
      </c>
      <c r="C348" s="8">
        <v>8.9080412038431422E-3</v>
      </c>
    </row>
    <row r="349" spans="1:3" x14ac:dyDescent="0.45">
      <c r="A349" s="2">
        <v>44075</v>
      </c>
      <c r="B349" s="7">
        <v>431983</v>
      </c>
      <c r="C349" s="8">
        <v>1.6021788880238752E-2</v>
      </c>
    </row>
    <row r="350" spans="1:3" x14ac:dyDescent="0.45">
      <c r="A350" s="2">
        <v>44105</v>
      </c>
      <c r="B350" s="7">
        <v>430433</v>
      </c>
      <c r="C350" s="8">
        <v>-3.5881041615063447E-3</v>
      </c>
    </row>
    <row r="351" spans="1:3" x14ac:dyDescent="0.45">
      <c r="A351" s="2">
        <v>44136</v>
      </c>
      <c r="B351" s="7">
        <v>426447</v>
      </c>
      <c r="C351" s="8">
        <v>-9.2604423917310719E-3</v>
      </c>
    </row>
    <row r="352" spans="1:3" x14ac:dyDescent="0.45">
      <c r="A352" s="2">
        <v>44166</v>
      </c>
      <c r="B352" s="7">
        <v>429003</v>
      </c>
      <c r="C352" s="8">
        <v>5.9937108245573523E-3</v>
      </c>
    </row>
    <row r="353" spans="1:3" x14ac:dyDescent="0.45">
      <c r="A353" s="2">
        <v>44197</v>
      </c>
      <c r="B353" s="7">
        <v>446473</v>
      </c>
      <c r="C353" s="8">
        <v>4.072232595110048E-2</v>
      </c>
    </row>
    <row r="354" spans="1:3" x14ac:dyDescent="0.45">
      <c r="A354" s="2">
        <v>44228</v>
      </c>
      <c r="B354" s="7">
        <v>436001</v>
      </c>
      <c r="C354" s="8">
        <v>-2.3454945763797586E-2</v>
      </c>
    </row>
    <row r="355" spans="1:3" x14ac:dyDescent="0.45">
      <c r="A355" s="2">
        <v>44256</v>
      </c>
      <c r="B355" s="7">
        <v>475805</v>
      </c>
      <c r="C355" s="8">
        <v>9.1293368593191371E-2</v>
      </c>
    </row>
    <row r="356" spans="1:3" x14ac:dyDescent="0.45">
      <c r="A356" s="2">
        <v>44287</v>
      </c>
      <c r="B356" s="7">
        <v>477995</v>
      </c>
      <c r="C356" s="8">
        <v>4.6027259066214743E-3</v>
      </c>
    </row>
    <row r="357" spans="1:3" x14ac:dyDescent="0.45">
      <c r="A357" s="2">
        <v>44317</v>
      </c>
      <c r="B357" s="7">
        <v>477118</v>
      </c>
      <c r="C357" s="8">
        <v>-1.8347472253893438E-3</v>
      </c>
    </row>
    <row r="358" spans="1:3" x14ac:dyDescent="0.45">
      <c r="A358" s="2">
        <v>44348</v>
      </c>
      <c r="B358" s="7">
        <v>486882</v>
      </c>
      <c r="C358" s="8">
        <v>2.0464539170603535E-2</v>
      </c>
    </row>
    <row r="359" spans="1:3" x14ac:dyDescent="0.45">
      <c r="A359" s="2">
        <v>44378</v>
      </c>
      <c r="B359" s="7">
        <v>481516</v>
      </c>
      <c r="C359" s="8">
        <v>-1.1021150915416889E-2</v>
      </c>
    </row>
    <row r="360" spans="1:3" x14ac:dyDescent="0.45">
      <c r="A360" s="2">
        <v>44409</v>
      </c>
      <c r="B360" s="7">
        <v>488486</v>
      </c>
      <c r="C360" s="8">
        <v>1.4475116091677176E-2</v>
      </c>
    </row>
    <row r="361" spans="1:3" x14ac:dyDescent="0.45">
      <c r="A361" s="2">
        <v>44440</v>
      </c>
      <c r="B361" s="7">
        <v>491553</v>
      </c>
      <c r="C361" s="8">
        <v>6.2785832142580045E-3</v>
      </c>
    </row>
    <row r="362" spans="1:3" x14ac:dyDescent="0.45">
      <c r="A362" s="2">
        <v>44470</v>
      </c>
      <c r="B362" s="7">
        <v>498558</v>
      </c>
      <c r="C362" s="8">
        <v>1.4250752207798589E-2</v>
      </c>
    </row>
    <row r="363" spans="1:3" x14ac:dyDescent="0.45">
      <c r="A363" s="2">
        <v>44501</v>
      </c>
      <c r="B363" s="7">
        <v>502877</v>
      </c>
      <c r="C363" s="8">
        <v>8.662984045988642E-3</v>
      </c>
    </row>
    <row r="364" spans="1:3" x14ac:dyDescent="0.45">
      <c r="A364" s="2">
        <v>44531</v>
      </c>
      <c r="B364" s="7">
        <v>501176</v>
      </c>
      <c r="C364" s="8">
        <v>-3.3825368827764546E-3</v>
      </c>
    </row>
    <row r="365" spans="1:3" x14ac:dyDescent="0.45">
      <c r="A365" s="2">
        <v>44562</v>
      </c>
      <c r="B365" s="7">
        <v>504428</v>
      </c>
      <c r="C365" s="8">
        <v>6.488738487078427E-3</v>
      </c>
    </row>
    <row r="366" spans="1:3" x14ac:dyDescent="0.45">
      <c r="A366" s="2">
        <v>44593</v>
      </c>
      <c r="B366" s="7">
        <v>510871</v>
      </c>
      <c r="C366" s="8">
        <v>1.2772883345095742E-2</v>
      </c>
    </row>
    <row r="367" spans="1:3" x14ac:dyDescent="0.45">
      <c r="A367" s="2">
        <v>44621</v>
      </c>
      <c r="B367" s="7">
        <v>525362</v>
      </c>
      <c r="C367" s="8">
        <v>2.8365282037931205E-2</v>
      </c>
    </row>
    <row r="368" spans="1:3" x14ac:dyDescent="0.45">
      <c r="A368" s="2">
        <v>44652</v>
      </c>
      <c r="B368" s="7">
        <v>532203</v>
      </c>
      <c r="C368" s="8">
        <v>1.3021497557874406E-2</v>
      </c>
    </row>
    <row r="369" spans="1:3" x14ac:dyDescent="0.45">
      <c r="A369" s="2">
        <v>44682</v>
      </c>
      <c r="B369" s="7">
        <v>536643</v>
      </c>
      <c r="C369" s="8">
        <v>8.3426812701168362E-3</v>
      </c>
    </row>
    <row r="370" spans="1:3" x14ac:dyDescent="0.45">
      <c r="A370" s="2">
        <v>44713</v>
      </c>
      <c r="B370" s="7">
        <v>541528</v>
      </c>
      <c r="C370" s="8">
        <v>9.1028859036641485E-3</v>
      </c>
    </row>
    <row r="371" spans="1:3" x14ac:dyDescent="0.45">
      <c r="A371" s="2">
        <v>44743</v>
      </c>
      <c r="B371" s="7">
        <v>537880</v>
      </c>
      <c r="C371" s="8">
        <v>-6.7364937731752006E-3</v>
      </c>
    </row>
    <row r="372" spans="1:3" x14ac:dyDescent="0.45">
      <c r="A372" s="2">
        <v>44774</v>
      </c>
      <c r="B372" s="7">
        <v>538373</v>
      </c>
      <c r="C372" s="8">
        <v>9.1656131479145309E-4</v>
      </c>
    </row>
    <row r="373" spans="1:3" x14ac:dyDescent="0.45">
      <c r="A373" s="2">
        <v>44805</v>
      </c>
      <c r="B373" s="7">
        <v>537491</v>
      </c>
      <c r="C373" s="8">
        <v>-1.6382693782934776E-3</v>
      </c>
    </row>
    <row r="374" spans="1:3" x14ac:dyDescent="0.45">
      <c r="A374" s="2">
        <v>44835</v>
      </c>
      <c r="B374" s="7">
        <v>541862</v>
      </c>
      <c r="C374" s="8">
        <v>8.1322291908143551E-3</v>
      </c>
    </row>
    <row r="375" spans="1:3" x14ac:dyDescent="0.45">
      <c r="A375" s="2">
        <v>44866</v>
      </c>
      <c r="B375" s="7">
        <v>536108</v>
      </c>
      <c r="C375" s="8">
        <v>-1.0618939877681033E-2</v>
      </c>
    </row>
    <row r="376" spans="1:3" x14ac:dyDescent="0.45">
      <c r="A376" s="2">
        <v>44896</v>
      </c>
      <c r="B376" s="7">
        <v>532212</v>
      </c>
      <c r="C376" s="8">
        <v>-7.2671924313757463E-3</v>
      </c>
    </row>
    <row r="377" spans="1:3" x14ac:dyDescent="0.45">
      <c r="A377" s="2">
        <v>44927</v>
      </c>
      <c r="B377" s="7">
        <v>547880</v>
      </c>
      <c r="C377" s="8">
        <v>2.9439396330785517E-2</v>
      </c>
    </row>
    <row r="378" spans="1:3" x14ac:dyDescent="0.45">
      <c r="A378" s="2">
        <v>44958</v>
      </c>
      <c r="B378" s="7">
        <v>543895</v>
      </c>
      <c r="C378" s="8">
        <v>-7.27349054537485E-3</v>
      </c>
    </row>
    <row r="379" spans="1:3" x14ac:dyDescent="0.45">
      <c r="A379" s="2">
        <v>44986</v>
      </c>
      <c r="B379" s="7">
        <v>538675</v>
      </c>
      <c r="C379" s="8">
        <v>-9.5974406824846925E-3</v>
      </c>
    </row>
    <row r="380" spans="1:3" x14ac:dyDescent="0.45">
      <c r="A380" s="2">
        <v>45017</v>
      </c>
      <c r="B380" s="7">
        <v>542521</v>
      </c>
      <c r="C380" s="8">
        <v>7.1397410312339371E-3</v>
      </c>
    </row>
    <row r="381" spans="1:3" x14ac:dyDescent="0.45">
      <c r="A381" s="2">
        <v>45047</v>
      </c>
      <c r="B381" s="7">
        <v>543792</v>
      </c>
      <c r="C381" s="8">
        <v>2.3427664551234351E-3</v>
      </c>
    </row>
    <row r="382" spans="1:3" x14ac:dyDescent="0.45">
      <c r="A382" s="2">
        <v>45078</v>
      </c>
      <c r="B382" s="7">
        <v>544674</v>
      </c>
      <c r="C382" s="8">
        <v>1.6219436843498691E-3</v>
      </c>
    </row>
    <row r="383" spans="1:3" x14ac:dyDescent="0.45">
      <c r="A383" s="2">
        <v>45108</v>
      </c>
      <c r="B383" s="7">
        <v>547943</v>
      </c>
      <c r="C383" s="8">
        <v>6.0017551783269063E-3</v>
      </c>
    </row>
    <row r="384" spans="1:3" x14ac:dyDescent="0.45">
      <c r="A384" s="2">
        <v>45139</v>
      </c>
      <c r="B384" s="7">
        <v>553381</v>
      </c>
      <c r="C384" s="8">
        <v>9.9243899456695761E-3</v>
      </c>
    </row>
    <row r="385" spans="1:3" x14ac:dyDescent="0.45">
      <c r="A385" s="2">
        <v>45170</v>
      </c>
      <c r="B385" s="7">
        <v>556575</v>
      </c>
      <c r="C385" s="8">
        <v>5.7717919480431146E-3</v>
      </c>
    </row>
    <row r="386" spans="1:3" x14ac:dyDescent="0.45">
      <c r="A386" s="2">
        <v>45200</v>
      </c>
      <c r="B386" s="7">
        <v>555690</v>
      </c>
      <c r="C386" s="8">
        <v>-1.5900821991645664E-3</v>
      </c>
    </row>
    <row r="387" spans="1:3" x14ac:dyDescent="0.45">
      <c r="A387" s="2">
        <v>45231</v>
      </c>
      <c r="B387" s="7">
        <v>555244</v>
      </c>
      <c r="C387" s="8">
        <v>-8.0260576940383022E-4</v>
      </c>
    </row>
    <row r="388" spans="1:3" x14ac:dyDescent="0.45">
      <c r="A388" s="2">
        <v>45261</v>
      </c>
      <c r="B388" s="7">
        <v>556052</v>
      </c>
      <c r="C388" s="8">
        <v>1.4552160851806217E-3</v>
      </c>
    </row>
    <row r="389" spans="1:3" x14ac:dyDescent="0.45">
      <c r="A389" s="2">
        <v>45292</v>
      </c>
      <c r="B389" s="7">
        <v>551100</v>
      </c>
      <c r="C389" s="8">
        <v>-8.9056419183817237E-3</v>
      </c>
    </row>
    <row r="390" spans="1:3" x14ac:dyDescent="0.45">
      <c r="A390" s="2">
        <v>45323</v>
      </c>
      <c r="B390" s="7">
        <v>553809</v>
      </c>
      <c r="C390" s="8">
        <v>4.9156232988567528E-3</v>
      </c>
    </row>
    <row r="391" spans="1:3" x14ac:dyDescent="0.45">
      <c r="A391" s="2">
        <v>45352</v>
      </c>
      <c r="B391" s="7">
        <v>557426</v>
      </c>
      <c r="C391" s="8">
        <v>6.5311325745880389E-3</v>
      </c>
    </row>
    <row r="392" spans="1:3" x14ac:dyDescent="0.45">
      <c r="A392" s="2">
        <v>45383</v>
      </c>
      <c r="B392" s="7">
        <v>558388</v>
      </c>
      <c r="C392" s="8">
        <v>1.7257896115359106E-3</v>
      </c>
    </row>
    <row r="393" spans="1:3" x14ac:dyDescent="0.45">
      <c r="A393" s="2">
        <v>45413</v>
      </c>
      <c r="B393" s="7">
        <v>560134</v>
      </c>
      <c r="C393" s="8">
        <v>3.12685802703494E-3</v>
      </c>
    </row>
    <row r="394" spans="1:3" x14ac:dyDescent="0.45">
      <c r="A394" s="2">
        <v>45444</v>
      </c>
      <c r="B394" s="7">
        <v>563966</v>
      </c>
      <c r="C394" s="8">
        <v>6.8412201366101488E-3</v>
      </c>
    </row>
    <row r="395" spans="1:3" x14ac:dyDescent="0.45">
      <c r="A395" s="2">
        <v>45474</v>
      </c>
      <c r="B395" s="7">
        <v>566007</v>
      </c>
      <c r="C395" s="8">
        <v>3.6190124936610335E-3</v>
      </c>
    </row>
    <row r="396" spans="1:3" x14ac:dyDescent="0.45">
      <c r="A396" s="2">
        <v>45505</v>
      </c>
      <c r="B396" s="7">
        <v>564844</v>
      </c>
      <c r="C396" s="8">
        <v>-2.0547449059816758E-3</v>
      </c>
    </row>
    <row r="397" spans="1:3" x14ac:dyDescent="0.45">
      <c r="A397" s="2">
        <v>45536</v>
      </c>
      <c r="B397" s="7">
        <v>570796</v>
      </c>
      <c r="C397" s="8">
        <v>1.0537422722025847E-2</v>
      </c>
    </row>
    <row r="398" spans="1:3" x14ac:dyDescent="0.45">
      <c r="A398" s="2">
        <v>45566</v>
      </c>
      <c r="B398" s="7">
        <v>572687</v>
      </c>
      <c r="C398" s="8">
        <v>3.3129173995614103E-3</v>
      </c>
    </row>
    <row r="399" spans="1:3" x14ac:dyDescent="0.45">
      <c r="A399" s="2">
        <v>45597</v>
      </c>
      <c r="B399" s="7">
        <v>572288</v>
      </c>
      <c r="C399" s="8">
        <v>-6.9671565794227064E-4</v>
      </c>
    </row>
    <row r="400" spans="1:3" x14ac:dyDescent="0.45">
      <c r="A400" s="2">
        <v>45627</v>
      </c>
      <c r="B400" s="7">
        <v>577232</v>
      </c>
      <c r="C400" s="8">
        <v>8.6390069335720021E-3</v>
      </c>
    </row>
    <row r="401" spans="1:3" x14ac:dyDescent="0.45">
      <c r="A401" s="2">
        <v>45658</v>
      </c>
      <c r="B401" s="7">
        <v>574070</v>
      </c>
      <c r="C401" s="8">
        <v>-5.4778667849322282E-3</v>
      </c>
    </row>
    <row r="402" spans="1:3" x14ac:dyDescent="0.45">
      <c r="A402" s="2">
        <v>45689</v>
      </c>
      <c r="B402" s="7">
        <v>577763</v>
      </c>
      <c r="C402" s="8">
        <v>6.4330133955790014E-3</v>
      </c>
    </row>
    <row r="403" spans="1:3" x14ac:dyDescent="0.45">
      <c r="A403" s="2">
        <v>45717</v>
      </c>
      <c r="B403" s="7">
        <v>581017</v>
      </c>
      <c r="C403" s="8">
        <v>5.6320671278706769E-3</v>
      </c>
    </row>
    <row r="404" spans="1:3" x14ac:dyDescent="0.45">
      <c r="A404" s="2">
        <v>45748</v>
      </c>
      <c r="B404" s="7">
        <v>581242</v>
      </c>
      <c r="C404" s="8">
        <v>3.872520081167341E-4</v>
      </c>
    </row>
    <row r="405" spans="1:3" x14ac:dyDescent="0.45">
      <c r="A405" s="2">
        <v>45778</v>
      </c>
      <c r="B405" s="7">
        <v>580210</v>
      </c>
      <c r="C405" s="8">
        <v>-1.7755083080713829E-3</v>
      </c>
    </row>
    <row r="406" spans="1:3" x14ac:dyDescent="0.45">
      <c r="A406" s="2">
        <v>45809</v>
      </c>
      <c r="B406" s="7">
        <v>586272</v>
      </c>
      <c r="C406" s="8">
        <v>1.0447941262646365E-2</v>
      </c>
    </row>
    <row r="407" spans="1:3" x14ac:dyDescent="0.45">
      <c r="A407" s="2">
        <v>45839</v>
      </c>
      <c r="B407" s="7">
        <v>588742</v>
      </c>
      <c r="C407" s="8">
        <v>4.2130615141093841E-3</v>
      </c>
    </row>
    <row r="408" spans="1:3" x14ac:dyDescent="0.45">
      <c r="A408" s="2">
        <v>45870</v>
      </c>
      <c r="B408" s="7">
        <v>592134</v>
      </c>
      <c r="C408" s="8">
        <v>5.7614370980836327E-3</v>
      </c>
    </row>
    <row r="409" spans="1:3" x14ac:dyDescent="0.45">
      <c r="A409" s="2">
        <v>45901</v>
      </c>
      <c r="B409" s="7">
        <v>592652</v>
      </c>
      <c r="C409" s="8">
        <v>8.7480198738809634E-4</v>
      </c>
    </row>
    <row r="410" spans="1:3" x14ac:dyDescent="0.45">
      <c r="A410" s="2">
        <v>45931</v>
      </c>
      <c r="B410" s="7">
        <v>593611</v>
      </c>
      <c r="C410" s="8">
        <v>1.6181502804344383E-3</v>
      </c>
    </row>
    <row r="411" spans="1:3" x14ac:dyDescent="0.45">
      <c r="A411" s="2">
        <v>45962</v>
      </c>
      <c r="B411" s="7">
        <v>596008</v>
      </c>
      <c r="C411" s="8">
        <v>4.0379979481512951E-3</v>
      </c>
    </row>
    <row r="412" spans="1:3" x14ac:dyDescent="0.45">
      <c r="A412" s="2">
        <v>45992</v>
      </c>
      <c r="B412" s="7">
        <v>596072</v>
      </c>
      <c r="C412" s="8">
        <v>1.0738110897845488E-4</v>
      </c>
    </row>
    <row r="413" spans="1:3" x14ac:dyDescent="0.45">
      <c r="A413" s="2">
        <v>46023</v>
      </c>
      <c r="B413" s="7">
        <v>596884</v>
      </c>
      <c r="C413" s="8">
        <v>1.3622515400824042E-3</v>
      </c>
    </row>
    <row r="414" spans="1:3" x14ac:dyDescent="0.45">
      <c r="A414" s="2">
        <v>46054</v>
      </c>
      <c r="B414" s="7">
        <v>602258</v>
      </c>
      <c r="C414" s="8">
        <v>9.0034244509820116E-3</v>
      </c>
    </row>
    <row r="415" spans="1:3" x14ac:dyDescent="0.45">
      <c r="A415" s="2">
        <v>46082</v>
      </c>
      <c r="B415" s="7">
        <v>614158</v>
      </c>
      <c r="C415" s="8">
        <v>1.9758973728867035E-2</v>
      </c>
    </row>
    <row r="416" spans="1:3" x14ac:dyDescent="0.45">
      <c r="A416" s="2">
        <v>46113</v>
      </c>
      <c r="B416" s="7">
        <v>618378</v>
      </c>
      <c r="C416" s="8">
        <v>6.8711960114498094E-3</v>
      </c>
    </row>
    <row r="417" spans="1:3" x14ac:dyDescent="0.45">
      <c r="A417" s="2">
        <v>46143</v>
      </c>
      <c r="B417" s="7">
        <v>623444</v>
      </c>
      <c r="C417" s="8">
        <v>8.192400117727372E-3</v>
      </c>
    </row>
    <row r="418" spans="1:3" x14ac:dyDescent="0.45">
      <c r="A418" s="2">
        <v>46174</v>
      </c>
      <c r="B418" s="7">
        <v>625024</v>
      </c>
      <c r="C418" s="8">
        <f>B418/B417-1</f>
        <v>2.5343094167238345E-3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Dashboard</vt:lpstr>
      <vt:lpstr>PHILLY</vt:lpstr>
      <vt:lpstr>CLAIMS</vt:lpstr>
      <vt:lpstr>UMCSI</vt:lpstr>
      <vt:lpstr>CHIPMI</vt:lpstr>
      <vt:lpstr>NFP</vt:lpstr>
      <vt:lpstr>UNEMP</vt:lpstr>
      <vt:lpstr>CAPU</vt:lpstr>
      <vt:lpstr>ISM</vt:lpstr>
      <vt:lpstr>RETX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Khajuria</dc:creator>
  <cp:lastModifiedBy>Nikhil Khajuria</cp:lastModifiedBy>
  <dcterms:created xsi:type="dcterms:W3CDTF">2026-07-05T02:15:00Z</dcterms:created>
  <dcterms:modified xsi:type="dcterms:W3CDTF">2026-08-10T08:46:27Z</dcterms:modified>
</cp:coreProperties>
</file>